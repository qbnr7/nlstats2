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chartsheet+xml" PartName="/xl/chartsheets/sheet1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 - NL" sheetId="1" r:id="rId4"/>
    <sheet state="visible" name="Officials and games" sheetId="2" r:id="rId5"/>
    <sheet state="visible" name="Former Officials" sheetId="3" r:id="rId6"/>
    <sheet state="hidden" name="Plan - NL + 1. Div backup" sheetId="4" r:id="rId7"/>
    <sheet state="visible" name="2021 status" sheetId="5" r:id="rId8"/>
    <sheet state="hidden" name="Status data" sheetId="6" r:id="rId9"/>
    <sheet state="hidden" name="2020 status" sheetId="7" r:id="rId10"/>
    <sheet state="visible" name="Tasks" sheetId="8" r:id="rId11"/>
    <sheet state="visible" name="Stats" sheetId="9" r:id="rId12"/>
    <sheet state="visible" name="DATA" sheetId="10" r:id="rId13"/>
    <sheet state="visible" name="Upload tid" sheetId="11" r:id="rId14"/>
    <sheet state="visible" name="Pivottabel 1" sheetId="12" r:id="rId15"/>
    <sheet state="hidden" name="Kilometerdata" sheetId="13" r:id="rId16"/>
  </sheets>
  <definedNames>
    <definedName hidden="1" localSheetId="1" name="_xlnm._FilterDatabase">'Officials and games'!$A$2:$Q$36</definedName>
    <definedName hidden="1" localSheetId="2" name="_xlnm._FilterDatabase">'Former Officials'!$A$2:$Q$9</definedName>
    <definedName hidden="1" localSheetId="3" name="_xlnm._FilterDatabase">'Plan - NL + 1. Div backup'!$A$1:$AG$62</definedName>
    <definedName hidden="1" localSheetId="4" name="_xlnm._FilterDatabase">'2021 status'!$A$1:$F$31</definedName>
    <definedName hidden="1" localSheetId="6" name="_xlnm._FilterDatabase">'2020 status'!$A$1:$E$30</definedName>
    <definedName hidden="1" localSheetId="12" name="_xlnm._FilterDatabase">Kilometerdata!$A$1:$AB$81</definedName>
  </definedNames>
  <calcPr/>
  <pivotCaches>
    <pivotCache cacheId="0" r:id="rId17"/>
  </pivotCaches>
  <extLst>
    <ext uri="GoogleSheetsCustomDataVersion2">
      <go:sheetsCustomData xmlns:go="http://customooxmlschemas.google.com/" r:id="rId18" roundtripDataChecksum="1cb1Fwu89G3EFIQZIuvi2bwCHrfIOnayeBGTaie2VQY="/>
    </ext>
  </extLst>
</workbook>
</file>

<file path=xl/sharedStrings.xml><?xml version="1.0" encoding="utf-8"?>
<sst xmlns="http://schemas.openxmlformats.org/spreadsheetml/2006/main" count="1987" uniqueCount="462">
  <si>
    <t xml:space="preserve"> </t>
  </si>
  <si>
    <t>Runde</t>
  </si>
  <si>
    <t>Dag</t>
  </si>
  <si>
    <t>Dato</t>
  </si>
  <si>
    <t>Måned</t>
  </si>
  <si>
    <t>Tidspunkt</t>
  </si>
  <si>
    <t>Hjemme</t>
  </si>
  <si>
    <t>Ude</t>
  </si>
  <si>
    <t>R</t>
  </si>
  <si>
    <t>U</t>
  </si>
  <si>
    <t>H</t>
  </si>
  <si>
    <t>L</t>
  </si>
  <si>
    <t>B</t>
  </si>
  <si>
    <t>F</t>
  </si>
  <si>
    <t>S</t>
  </si>
  <si>
    <t>C</t>
  </si>
  <si>
    <t>Note</t>
  </si>
  <si>
    <t>Antal tilmeldte VK 
25-03 23:47</t>
  </si>
  <si>
    <t>1s</t>
  </si>
  <si>
    <t>2s</t>
  </si>
  <si>
    <t>3s</t>
  </si>
  <si>
    <t>Taske</t>
  </si>
  <si>
    <t>Taske IND</t>
  </si>
  <si>
    <t>Taske UD</t>
  </si>
  <si>
    <t>Betaling</t>
  </si>
  <si>
    <t>Video</t>
  </si>
  <si>
    <t>Gennemseer</t>
  </si>
  <si>
    <t>GameID</t>
  </si>
  <si>
    <t>Game start</t>
  </si>
  <si>
    <t>Game end</t>
  </si>
  <si>
    <t>Video Exchanged.</t>
  </si>
  <si>
    <t>Game time (easy)</t>
  </si>
  <si>
    <t>Intercut time (min)</t>
  </si>
  <si>
    <t>Exchange of Breakdown data</t>
  </si>
  <si>
    <t>Return of break down data</t>
  </si>
  <si>
    <t>Upload time</t>
  </si>
  <si>
    <t>Breakdown time</t>
  </si>
  <si>
    <t>Game time</t>
  </si>
  <si>
    <t>Vedligeholdende</t>
  </si>
  <si>
    <t>Lørdag</t>
  </si>
  <si>
    <t>Marts</t>
  </si>
  <si>
    <t>Tigers</t>
  </si>
  <si>
    <t>Wolves</t>
  </si>
  <si>
    <t>NI</t>
  </si>
  <si>
    <t>AR</t>
  </si>
  <si>
    <t>BT</t>
  </si>
  <si>
    <t>OBS! Spilles i Aalborg - Klubcrew: Selvdømmer</t>
  </si>
  <si>
    <t>Oaks</t>
  </si>
  <si>
    <t>Hurricanes</t>
  </si>
  <si>
    <t>FR</t>
  </si>
  <si>
    <t>VN</t>
  </si>
  <si>
    <t>AT</t>
  </si>
  <si>
    <t>EL</t>
  </si>
  <si>
    <t>Klubcrew: Towers</t>
  </si>
  <si>
    <t>Søndag</t>
  </si>
  <si>
    <t>Towers</t>
  </si>
  <si>
    <t>Razorbacks</t>
  </si>
  <si>
    <t>DS</t>
  </si>
  <si>
    <t>FK</t>
  </si>
  <si>
    <t>HP</t>
  </si>
  <si>
    <t>Klubcrew: Raptors</t>
  </si>
  <si>
    <t>April</t>
  </si>
  <si>
    <t>Demons</t>
  </si>
  <si>
    <t>JL</t>
  </si>
  <si>
    <t>MR</t>
  </si>
  <si>
    <t>Klubcrew: Tigers</t>
  </si>
  <si>
    <t>KJ</t>
  </si>
  <si>
    <t>JK</t>
  </si>
  <si>
    <t>Klubcrew: Demons</t>
  </si>
  <si>
    <t>NL</t>
  </si>
  <si>
    <t>89ers</t>
  </si>
  <si>
    <t>FK(DE)</t>
  </si>
  <si>
    <t>DK(DE)</t>
  </si>
  <si>
    <t>ER</t>
  </si>
  <si>
    <t>JE + RH</t>
  </si>
  <si>
    <t>ME(DE)</t>
  </si>
  <si>
    <t>SB(DE)</t>
  </si>
  <si>
    <t>MT(DE)</t>
  </si>
  <si>
    <t>Gold_Diggers</t>
  </si>
  <si>
    <t>TO</t>
  </si>
  <si>
    <t>KL</t>
  </si>
  <si>
    <t>Flyttet fra Søllerød</t>
  </si>
  <si>
    <t>Fredag</t>
  </si>
  <si>
    <t>Maj</t>
  </si>
  <si>
    <t>MM</t>
  </si>
  <si>
    <t>JE</t>
  </si>
  <si>
    <t>AL</t>
  </si>
  <si>
    <t>Flyttet fra Aarhus. TV-kamp</t>
  </si>
  <si>
    <t>TK</t>
  </si>
  <si>
    <t>TS</t>
  </si>
  <si>
    <t>TV-kamp</t>
  </si>
  <si>
    <t>Juni</t>
  </si>
  <si>
    <t>TV-kamp. Aflyst. MR, AR, NI, JL, BT, KL</t>
  </si>
  <si>
    <t>August</t>
  </si>
  <si>
    <t>KE</t>
  </si>
  <si>
    <t>BB</t>
  </si>
  <si>
    <t>AF</t>
  </si>
  <si>
    <t>TM</t>
  </si>
  <si>
    <t>Muligvis TV-kamp</t>
  </si>
  <si>
    <t>MP</t>
  </si>
  <si>
    <t>September</t>
  </si>
  <si>
    <t>Oktober</t>
  </si>
  <si>
    <t>TBD</t>
  </si>
  <si>
    <t>Mermaid Bowl</t>
  </si>
  <si>
    <t>U17 NM, uge 42 @ København - Onsdag + Lørdag</t>
  </si>
  <si>
    <t>3-4 dommere per nation, Scandic Sydhavn, Gentofte evt. Gladsaxe</t>
  </si>
  <si>
    <t>Navn</t>
  </si>
  <si>
    <t>Initialer</t>
  </si>
  <si>
    <t>Kurser</t>
  </si>
  <si>
    <t>NL forår</t>
  </si>
  <si>
    <t>Vest forår</t>
  </si>
  <si>
    <t>Øst forår</t>
  </si>
  <si>
    <t>Assignment
Forår</t>
  </si>
  <si>
    <t>NL efterår
(grundspil)</t>
  </si>
  <si>
    <t>LL
Efterår</t>
  </si>
  <si>
    <t>NL totalt (grundspil)</t>
  </si>
  <si>
    <t>In-stribes
Total (grundspil)</t>
  </si>
  <si>
    <t>Michael Rahbek</t>
  </si>
  <si>
    <t>Frank Rasmussen</t>
  </si>
  <si>
    <t>medium</t>
  </si>
  <si>
    <t>Frank Kristensen</t>
  </si>
  <si>
    <t>Asbjørn Rohold</t>
  </si>
  <si>
    <t>MEDIAN</t>
  </si>
  <si>
    <t>s</t>
  </si>
  <si>
    <t>stats</t>
  </si>
  <si>
    <t>Vincent Nordkov</t>
  </si>
  <si>
    <t>Dennis Svensson</t>
  </si>
  <si>
    <t>PROJECTED 2</t>
  </si>
  <si>
    <t>t</t>
  </si>
  <si>
    <t>tv</t>
  </si>
  <si>
    <t>Benjamin Behnke</t>
  </si>
  <si>
    <t>Niels Ilberg</t>
  </si>
  <si>
    <t>Jesper Lytzen</t>
  </si>
  <si>
    <t>Thomas Siggaard</t>
  </si>
  <si>
    <t>Søren R. Petersen</t>
  </si>
  <si>
    <t>SR</t>
  </si>
  <si>
    <t>Jonas Krum</t>
  </si>
  <si>
    <t>Martin Mikkelsen</t>
  </si>
  <si>
    <t>Hans Peter Roth</t>
  </si>
  <si>
    <t>Albert Fosberg</t>
  </si>
  <si>
    <t>Mark Poulsen</t>
  </si>
  <si>
    <t>Alex Lind</t>
  </si>
  <si>
    <t>Kent Johansen</t>
  </si>
  <si>
    <t>Kim Larsen</t>
  </si>
  <si>
    <t>Claus Nordberg</t>
  </si>
  <si>
    <t>OJ</t>
  </si>
  <si>
    <t>Mads Åkjær</t>
  </si>
  <si>
    <t>MÅ</t>
  </si>
  <si>
    <t>Kim Johannsen</t>
  </si>
  <si>
    <t>Erik Rasmussen</t>
  </si>
  <si>
    <t>Jeppe Sejerø</t>
  </si>
  <si>
    <t>Brian Baagøe Andersen</t>
  </si>
  <si>
    <t>BA</t>
  </si>
  <si>
    <t>Emil Riisgaard</t>
  </si>
  <si>
    <t>EM</t>
  </si>
  <si>
    <t>Martin Elskjær Møller</t>
  </si>
  <si>
    <t>ME</t>
  </si>
  <si>
    <t>Anders Tronier</t>
  </si>
  <si>
    <t>Bo Thygesen</t>
  </si>
  <si>
    <t>Troels Kristensen</t>
  </si>
  <si>
    <t>Emil Skov Lundager</t>
  </si>
  <si>
    <t xml:space="preserve">Ronnie Hansen </t>
  </si>
  <si>
    <t>RH</t>
  </si>
  <si>
    <t>Tommy Lønstrup Nielsen</t>
  </si>
  <si>
    <t>Jan Holst</t>
  </si>
  <si>
    <t>JH</t>
  </si>
  <si>
    <t>Ulf Overbeck</t>
  </si>
  <si>
    <t>UO</t>
  </si>
  <si>
    <t>Thomas Lund-Hansen</t>
  </si>
  <si>
    <t>TH</t>
  </si>
  <si>
    <t>Toke Lund</t>
  </si>
  <si>
    <t>TL</t>
  </si>
  <si>
    <t>best</t>
  </si>
  <si>
    <t>Søren Ekander Jensen</t>
  </si>
  <si>
    <t>SE</t>
  </si>
  <si>
    <t>Niclas Pedersen</t>
  </si>
  <si>
    <t>NP</t>
  </si>
  <si>
    <t>Michael Søndergaard Pedersen</t>
  </si>
  <si>
    <t>MS</t>
  </si>
  <si>
    <t>Kim Mørch Nørgaard</t>
  </si>
  <si>
    <t>KN</t>
  </si>
  <si>
    <t>Mohammad Ajine</t>
  </si>
  <si>
    <t>MA</t>
  </si>
  <si>
    <t>Martin Borg Andersen</t>
  </si>
  <si>
    <t>MB</t>
  </si>
  <si>
    <t>Jens S. Pedersen</t>
  </si>
  <si>
    <t>JP</t>
  </si>
  <si>
    <t>Jacob Weber</t>
  </si>
  <si>
    <t>JW</t>
  </si>
  <si>
    <t>Kasper Kristoffersen</t>
  </si>
  <si>
    <t>KK</t>
  </si>
  <si>
    <t>Christian Jørgensen</t>
  </si>
  <si>
    <t>CJ</t>
  </si>
  <si>
    <t>Slava Kuzmin</t>
  </si>
  <si>
    <t>SK</t>
  </si>
  <si>
    <t>Thomas Myrup</t>
  </si>
  <si>
    <t>Rasmus Bukhave</t>
  </si>
  <si>
    <t>RB</t>
  </si>
  <si>
    <t>Thomas Begonja</t>
  </si>
  <si>
    <t>TB</t>
  </si>
  <si>
    <t>Mohammed Chatle</t>
  </si>
  <si>
    <t>MC</t>
  </si>
  <si>
    <t>Games</t>
  </si>
  <si>
    <t>Status</t>
  </si>
  <si>
    <t>EDK</t>
  </si>
  <si>
    <t>Primær</t>
  </si>
  <si>
    <t>Sekundær</t>
  </si>
  <si>
    <t>Licens</t>
  </si>
  <si>
    <t>Licens #</t>
  </si>
  <si>
    <t>Landsdel</t>
  </si>
  <si>
    <t>Klub</t>
  </si>
  <si>
    <t>Test</t>
  </si>
  <si>
    <t>Telefon</t>
  </si>
  <si>
    <t>Mail</t>
  </si>
  <si>
    <t>Total</t>
  </si>
  <si>
    <t>Primary 
position</t>
  </si>
  <si>
    <t>In primary group 
(not primary position)</t>
  </si>
  <si>
    <t xml:space="preserve">Outside primary group </t>
  </si>
  <si>
    <t>Anders Tronier Hansen</t>
  </si>
  <si>
    <t>Øst</t>
  </si>
  <si>
    <t>Uafhængig</t>
  </si>
  <si>
    <t>atronierh@gmail.com</t>
  </si>
  <si>
    <t>Jeppe Sejerø Ternander</t>
  </si>
  <si>
    <t>Ja</t>
  </si>
  <si>
    <t>Anything</t>
  </si>
  <si>
    <t>I</t>
  </si>
  <si>
    <t>jeppe_s_holm@hotmail.com</t>
  </si>
  <si>
    <t>Brian Andersen</t>
  </si>
  <si>
    <t>Pause (barn)</t>
  </si>
  <si>
    <t>Nej</t>
  </si>
  <si>
    <t>Deep / Wing</t>
  </si>
  <si>
    <t>Vest</t>
  </si>
  <si>
    <t>Badgers</t>
  </si>
  <si>
    <t>Claus Nordberg Larsen</t>
  </si>
  <si>
    <t>Ude (skade)</t>
  </si>
  <si>
    <t>nordberg20@gmail.com</t>
  </si>
  <si>
    <t>Semi</t>
  </si>
  <si>
    <t>emilriisgaard@hotmail.com</t>
  </si>
  <si>
    <t>S/B</t>
  </si>
  <si>
    <t>erikrasmussen23@gmail.com</t>
  </si>
  <si>
    <t>Ude (ELF)</t>
  </si>
  <si>
    <t>fk110871@gmail.com</t>
  </si>
  <si>
    <t>k.m.larzen@gmail.com</t>
  </si>
  <si>
    <t>F/S</t>
  </si>
  <si>
    <t>kim.johannsen@gmail.com</t>
  </si>
  <si>
    <t>H/L</t>
  </si>
  <si>
    <t>Dyb</t>
  </si>
  <si>
    <t>mrtn.mkklsn@gmail.com</t>
  </si>
  <si>
    <t>H (F/S)</t>
  </si>
  <si>
    <t>lytzen13@gmail.com</t>
  </si>
  <si>
    <t>jonaskrum@gmail.com</t>
  </si>
  <si>
    <t>mads_aakjaer@hotmail.com</t>
  </si>
  <si>
    <t>L/H</t>
  </si>
  <si>
    <t>niels@ilberg.dk</t>
  </si>
  <si>
    <t>dommer484@gmail.com</t>
  </si>
  <si>
    <t>mohammed780_2@hotmail.com</t>
  </si>
  <si>
    <t>michael.g.rahbek@gmail.com</t>
  </si>
  <si>
    <t>Søren Rosenlund Pedersen</t>
  </si>
  <si>
    <t>Mangler</t>
  </si>
  <si>
    <t>srosenlund88@gmail.com</t>
  </si>
  <si>
    <t>Pause</t>
  </si>
  <si>
    <t>eyez@eyez.dk</t>
  </si>
  <si>
    <t>thsiggaard@gmail.com</t>
  </si>
  <si>
    <t>vincentnordkov@hotmail.com</t>
  </si>
  <si>
    <t>Ude (SGD)</t>
  </si>
  <si>
    <t>MØ</t>
  </si>
  <si>
    <t>Martin Møller</t>
  </si>
  <si>
    <t>Tilkalder</t>
  </si>
  <si>
    <t>Wing</t>
  </si>
  <si>
    <t>Ronnie Hansen</t>
  </si>
  <si>
    <t>Prospect</t>
  </si>
  <si>
    <t>R*</t>
  </si>
  <si>
    <t>U*</t>
  </si>
  <si>
    <t>Pause*</t>
  </si>
  <si>
    <t>F*</t>
  </si>
  <si>
    <t>Inde?</t>
  </si>
  <si>
    <t>S*</t>
  </si>
  <si>
    <t>B*</t>
  </si>
  <si>
    <t>Ude*</t>
  </si>
  <si>
    <t>Tidlig plan</t>
  </si>
  <si>
    <t>Prospects med i første runde</t>
  </si>
  <si>
    <t>AD</t>
  </si>
  <si>
    <t>Adam Durucz</t>
  </si>
  <si>
    <t>Former</t>
  </si>
  <si>
    <t>christian@technobabble.dk</t>
  </si>
  <si>
    <t>JT</t>
  </si>
  <si>
    <t>Jeppe Bjerg Thanning</t>
  </si>
  <si>
    <t>Stallions</t>
  </si>
  <si>
    <t>pray@live.dk</t>
  </si>
  <si>
    <t>ST</t>
  </si>
  <si>
    <t>Søren Stiesen</t>
  </si>
  <si>
    <t>Stisen202@gmail.com</t>
  </si>
  <si>
    <t>airulf@hotmail.com</t>
  </si>
  <si>
    <t>NL (back in)</t>
  </si>
  <si>
    <t>H*</t>
  </si>
  <si>
    <t>Måske pause</t>
  </si>
  <si>
    <t>L*</t>
  </si>
  <si>
    <t>Kampnr.</t>
  </si>
  <si>
    <t>maj</t>
  </si>
  <si>
    <t>Stille med 2-3 NL dommere</t>
  </si>
  <si>
    <t>Rebels</t>
  </si>
  <si>
    <t>KEEP</t>
  </si>
  <si>
    <t>NL plan ud, 1. div næste uge</t>
  </si>
  <si>
    <t>Knights</t>
  </si>
  <si>
    <t>Demons / Wolfpack</t>
  </si>
  <si>
    <t>(JK)</t>
  </si>
  <si>
    <t>KBH fuldt crew</t>
  </si>
  <si>
    <t>Behold plan, til DU møde</t>
  </si>
  <si>
    <t>Dragons</t>
  </si>
  <si>
    <t>(AT)</t>
  </si>
  <si>
    <t>AT over - langt?</t>
  </si>
  <si>
    <t>1. Div; supervisors fx - ikke 7</t>
  </si>
  <si>
    <t>Monarchs</t>
  </si>
  <si>
    <t>Spartans</t>
  </si>
  <si>
    <t>(EM)</t>
  </si>
  <si>
    <t>KEEP, men overvej hvem der kan flyttes til d. 29. i Vejle</t>
  </si>
  <si>
    <t>Bil fra øst over under alle omstændigheder (B/deep/U). 
Hvis 8 på SNL; FK B, AT C. AT her</t>
  </si>
  <si>
    <t>juni</t>
  </si>
  <si>
    <t>KEEP, men prioriterer NL kampen i Jylland</t>
  </si>
  <si>
    <t>FR/JE</t>
  </si>
  <si>
    <t>TB? JE, FR, CJ</t>
  </si>
  <si>
    <t>Musketeers</t>
  </si>
  <si>
    <t>(JL)</t>
  </si>
  <si>
    <t>(KJ)</t>
  </si>
  <si>
    <t>august</t>
  </si>
  <si>
    <t>september</t>
  </si>
  <si>
    <t>Semi 1</t>
  </si>
  <si>
    <t>Semi 2</t>
  </si>
  <si>
    <t>3rd place</t>
  </si>
  <si>
    <t>oktober</t>
  </si>
  <si>
    <t>Lørdag/Søndag</t>
  </si>
  <si>
    <t>29/30</t>
  </si>
  <si>
    <t>AVERAGE</t>
  </si>
  <si>
    <t>bad</t>
  </si>
  <si>
    <t>PROJECTED 1</t>
  </si>
  <si>
    <t>e</t>
  </si>
  <si>
    <t>endzone</t>
  </si>
  <si>
    <t>Jeppe Holm</t>
  </si>
  <si>
    <t>Yes / No</t>
  </si>
  <si>
    <t>Commitment</t>
  </si>
  <si>
    <t>Position</t>
  </si>
  <si>
    <t>Level</t>
  </si>
  <si>
    <t>No</t>
  </si>
  <si>
    <t>Tilbage i Ungarn</t>
  </si>
  <si>
    <t>Yes</t>
  </si>
  <si>
    <t>Ok, vil gerne lære mere</t>
  </si>
  <si>
    <t>OK</t>
  </si>
  <si>
    <t>Måske</t>
  </si>
  <si>
    <t>Bachelor + Far</t>
  </si>
  <si>
    <t>Rejser til USA</t>
  </si>
  <si>
    <t>Ok, så meget som muligt</t>
  </si>
  <si>
    <t>Pause forår, knæ</t>
  </si>
  <si>
    <t>OK, så meget som muligt</t>
  </si>
  <si>
    <t>Ok, ja til ansvar</t>
  </si>
  <si>
    <t>Jeppe Thanning</t>
  </si>
  <si>
    <t>Ok</t>
  </si>
  <si>
    <t>Søren Rosenlund</t>
  </si>
  <si>
    <t>Ok, men ikke meget</t>
  </si>
  <si>
    <t>Tilbage</t>
  </si>
  <si>
    <t>Søren Skovsgaard Berthelsen</t>
  </si>
  <si>
    <t>SB</t>
  </si>
  <si>
    <t>?</t>
  </si>
  <si>
    <t>Initials</t>
  </si>
  <si>
    <t>Som 2019</t>
  </si>
  <si>
    <t>Orlov studie</t>
  </si>
  <si>
    <t>Virker mere klar end tidligere</t>
  </si>
  <si>
    <t>Far marts</t>
  </si>
  <si>
    <t>Might only be available until May</t>
  </si>
  <si>
    <t>NL tasks</t>
  </si>
  <si>
    <t>1. person</t>
  </si>
  <si>
    <t>2. person</t>
  </si>
  <si>
    <t>Kamppapirer</t>
  </si>
  <si>
    <t>Kamptasker</t>
  </si>
  <si>
    <t>Radioer</t>
  </si>
  <si>
    <t>Assignmemt</t>
  </si>
  <si>
    <t>KL / JE</t>
  </si>
  <si>
    <t>Gennemseening af kampe</t>
  </si>
  <si>
    <t>Deeps</t>
  </si>
  <si>
    <t>Wings</t>
  </si>
  <si>
    <t>Ref / Ump</t>
  </si>
  <si>
    <t>Kontakt til DAFF</t>
  </si>
  <si>
    <t>Dommerudgifter</t>
  </si>
  <si>
    <t>Gennemsnit</t>
  </si>
  <si>
    <t>Upload tid</t>
  </si>
  <si>
    <t>MXl</t>
  </si>
  <si>
    <t>Grænse</t>
  </si>
  <si>
    <t>Sluttidspunkt</t>
  </si>
  <si>
    <t>Varighed</t>
  </si>
  <si>
    <t>Varighed af kamp</t>
  </si>
  <si>
    <t>MXl for varighed</t>
  </si>
  <si>
    <t>AVERAGE of Upload time</t>
  </si>
  <si>
    <t>MAX of Upload time</t>
  </si>
  <si>
    <t>AVERAGE of Breakdown time</t>
  </si>
  <si>
    <t>MAX of Breakdown time</t>
  </si>
  <si>
    <t>AVERAGE of Game time</t>
  </si>
  <si>
    <t>Grand Total</t>
  </si>
  <si>
    <t>TS og NI eneste wings der har skrevet sig på...</t>
  </si>
  <si>
    <t>Positionkilometer</t>
  </si>
  <si>
    <t>Afstand til</t>
  </si>
  <si>
    <t>Lookup (position) i matrix - match/index</t>
  </si>
  <si>
    <t>Golddiggers</t>
  </si>
  <si>
    <t>JL eneste wing denne dag!
MÅ eneste S denne dag</t>
  </si>
  <si>
    <t>Slagelse</t>
  </si>
  <si>
    <t>Wings kan også byttes rundt (det er 2 x H, ingen øst-L'er denne dag)
S: KJ kan</t>
  </si>
  <si>
    <t>København</t>
  </si>
  <si>
    <t>Mandag</t>
  </si>
  <si>
    <t>2 x L, NI får kæden</t>
  </si>
  <si>
    <t>Odense</t>
  </si>
  <si>
    <t>S: KJ kan</t>
  </si>
  <si>
    <t>Vesterbro</t>
  </si>
  <si>
    <t>R/U: Evt. JT/UO som U og CJ som R? Og så VN på Søndags-kamp</t>
  </si>
  <si>
    <t>JT/UO</t>
  </si>
  <si>
    <t>R/U: Evt. CJ som R og VN som U</t>
  </si>
  <si>
    <t>Hvidovre</t>
  </si>
  <si>
    <t>KL/NI/JE IFAF @ Gentofte?
L: NI hvis ikke han skal til IFAF, JL hvis NI skal til IFAF
S:MÅ kan men transport?</t>
  </si>
  <si>
    <t>Tune</t>
  </si>
  <si>
    <t>Dagen efter IFAF @ Gentofte?
S: KJ på da MÅ ikke kan</t>
  </si>
  <si>
    <t>Jeppe Sejerø Holm</t>
  </si>
  <si>
    <t>København N</t>
  </si>
  <si>
    <t>Dagen efter IFAF @ Vejle?
S: KJ kan
C: AT med som C? Dog noget længere transport end 7 andre på crew</t>
  </si>
  <si>
    <t>Sønderborg</t>
  </si>
  <si>
    <t>Ingen L fra øst, derfor FR som L og FK som R</t>
  </si>
  <si>
    <t>Frederiksberg</t>
  </si>
  <si>
    <t>Torsdag</t>
  </si>
  <si>
    <t>U: CJ sat på, da MÅ alligevel over (eneste S). Samkørsel fra Slagelse
Mulighed med FK som R eller B og AT som C. Dog vil en ekstra øst-mand nok kræve en ekstra bil over broen. Hvis der committes til 2 biler kan JE også byde ind på C og der kan være 8 på kampen.</t>
  </si>
  <si>
    <t>JE enten her eller 2/6</t>
  </si>
  <si>
    <t>Allerød</t>
  </si>
  <si>
    <t>S: MÅ kan, men KL/TM på for at minimere transport</t>
  </si>
  <si>
    <t>Haderup</t>
  </si>
  <si>
    <t>S: Ingen S'er kan. JE sat på.
TM i stedet?</t>
  </si>
  <si>
    <t>JE enten her eller 30/5</t>
  </si>
  <si>
    <t>Randers</t>
  </si>
  <si>
    <t>F: JE er eneste F den dag</t>
  </si>
  <si>
    <t>Søborg</t>
  </si>
  <si>
    <t>C: AT med som C? Dog noget længere transport end 7 andre på crew</t>
  </si>
  <si>
    <t>Lyngby</t>
  </si>
  <si>
    <t>Kun 2 wings denne dag... KN og NI til 2 kampe</t>
  </si>
  <si>
    <t>Aalborg</t>
  </si>
  <si>
    <t>S: JE sat på da ingen S'er.
C/U: Evt. VN på U og CJ som CJ</t>
  </si>
  <si>
    <t>Mohammed Nasser Chatle</t>
  </si>
  <si>
    <t>Viby J</t>
  </si>
  <si>
    <t>S: MÅ sat på da FR over alligevel</t>
  </si>
  <si>
    <t>Aalborg SV</t>
  </si>
  <si>
    <t>S: KJ?</t>
  </si>
  <si>
    <t>S: JE/KJ kan
L: Kun vest-folk kan... (JL+NI)
SR hvis han kan</t>
  </si>
  <si>
    <t>Valby</t>
  </si>
  <si>
    <t>Odense SØ</t>
  </si>
  <si>
    <t>Status:</t>
  </si>
  <si>
    <t>Søren Stisen</t>
  </si>
  <si>
    <t>Aalestrup</t>
  </si>
  <si>
    <t>R: En del huller. Muligt med CJ på flere R-poster</t>
  </si>
  <si>
    <t>Gistrup</t>
  </si>
  <si>
    <t>U: 3 x (CJ/VN) i Aalborg. Mangler lidt sol&amp;vind-fordeling mellem 2xTop-kamp og en Badgers</t>
  </si>
  <si>
    <t>Dyb wing: MÅ kan på næsten alt S. Forslag stillet på en række kampe om fordeling ud til F'er (både øst og vest) som "MÅ (xx)"</t>
  </si>
  <si>
    <t>Septemb</t>
  </si>
  <si>
    <t>B: OK</t>
  </si>
  <si>
    <t>WC 1</t>
  </si>
  <si>
    <t>WC 2</t>
  </si>
  <si>
    <t>NL Kval 1</t>
  </si>
  <si>
    <t>Tomahawks</t>
  </si>
  <si>
    <t>Rasmus Søby</t>
  </si>
  <si>
    <t>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</si>
</sst>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hh.mm"/>
    <numFmt numFmtId="165" formatCode="&quot;kr &quot;#,##0.00"/>
    <numFmt numFmtId="166" formatCode="m/d/yyyy h:mm:ss"/>
    <numFmt numFmtId="167" formatCode="dd/mm/yyyy hh.mm"/>
    <numFmt numFmtId="168" formatCode="[h].mm.ss"/>
    <numFmt numFmtId="169" formatCode="HH.mm.ss"/>
    <numFmt numFmtId="170" formatCode="dd/mm/yyyy hh.mm.ss"/>
    <numFmt numFmtId="171" formatCode="d/m/yyyy hh.mm"/>
    <numFmt numFmtId="172" formatCode="d/m"/>
    <numFmt numFmtId="173" formatCode="#,##0.###############"/>
    <numFmt numFmtId="174" formatCode="hh.mm.ss"/>
    <numFmt numFmtId="175" formatCode="H:mm:ss"/>
    <numFmt numFmtId="176" formatCode="&quot;kr&quot;#,##0"/>
  </numFmts>
  <fonts count="28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i/>
      <sz val="10.0"/>
      <color theme="1"/>
      <name val="Arial"/>
    </font>
    <font>
      <b/>
      <sz val="10.0"/>
      <color rgb="FF000000"/>
      <name val="Arial"/>
    </font>
    <font>
      <sz val="10.0"/>
      <color theme="1"/>
      <name val="Arial"/>
      <scheme val="minor"/>
    </font>
    <font>
      <i/>
      <sz val="10.0"/>
      <color rgb="FF000000"/>
      <name val="Arial"/>
    </font>
    <font>
      <strike/>
      <sz val="10.0"/>
      <color rgb="FF000000"/>
      <name val="Arial"/>
    </font>
    <font>
      <strike/>
      <sz val="10.0"/>
      <color theme="1"/>
      <name val="Arial"/>
    </font>
    <font>
      <color theme="1"/>
      <name val="Arial"/>
    </font>
    <font>
      <b/>
      <i/>
      <sz val="10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b/>
      <color theme="1"/>
      <name val="Arial"/>
    </font>
    <font>
      <b/>
      <sz val="10.0"/>
      <color theme="1"/>
      <name val="Arial"/>
      <scheme val="minor"/>
    </font>
    <font>
      <color rgb="FF000000"/>
      <name val="Arial"/>
    </font>
    <font>
      <i/>
      <sz val="10.0"/>
      <color theme="1"/>
      <name val="Arial"/>
      <scheme val="minor"/>
    </font>
    <font>
      <sz val="11.0"/>
      <color rgb="FF000000"/>
      <name val="Calibri"/>
    </font>
    <font>
      <i/>
      <color rgb="FF000000"/>
      <name val="Arial"/>
    </font>
    <font>
      <strike/>
      <color rgb="FF000000"/>
      <name val="Arial"/>
    </font>
    <font>
      <i/>
      <strike/>
      <sz val="10.0"/>
      <color theme="1"/>
      <name val="Arial"/>
      <scheme val="minor"/>
    </font>
    <font>
      <strike/>
      <color theme="1"/>
      <name val="Arial"/>
    </font>
    <font>
      <strike/>
      <color theme="1"/>
      <name val="Arial"/>
      <scheme val="minor"/>
    </font>
    <font>
      <color rgb="FF1D2129"/>
      <name val="Inherit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EBF1DE"/>
        <bgColor rgb="FFEBF1DE"/>
      </patternFill>
    </fill>
    <fill>
      <patternFill patternType="solid">
        <fgColor rgb="FFC4D79B"/>
        <bgColor rgb="FFC4D79B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</fills>
  <borders count="20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2" fillId="0" fontId="3" numFmtId="0" xfId="0" applyAlignment="1" applyBorder="1" applyFont="1">
      <alignment shrinkToFit="0" vertical="center" wrapText="0"/>
    </xf>
    <xf borderId="2" fillId="0" fontId="2" numFmtId="0" xfId="0" applyAlignment="1" applyBorder="1" applyFont="1">
      <alignment shrinkToFit="0" vertical="center" wrapText="1"/>
    </xf>
    <xf borderId="2" fillId="0" fontId="2" numFmtId="164" xfId="0" applyAlignment="1" applyBorder="1" applyFont="1" applyNumberFormat="1">
      <alignment horizontal="right" shrinkToFit="0" vertical="center" wrapText="1"/>
    </xf>
    <xf borderId="2" fillId="0" fontId="2" numFmtId="0" xfId="0" applyAlignment="1" applyBorder="1" applyFont="1">
      <alignment horizontal="left" shrinkToFit="0" vertical="center" wrapText="1"/>
    </xf>
    <xf borderId="2" fillId="2" fontId="2" numFmtId="0" xfId="0" applyAlignment="1" applyBorder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center" wrapText="1"/>
    </xf>
    <xf borderId="2" fillId="0" fontId="5" numFmtId="3" xfId="0" applyAlignment="1" applyBorder="1" applyFont="1" applyNumberFormat="1">
      <alignment shrinkToFit="0" vertical="center" wrapText="0"/>
    </xf>
    <xf borderId="2" fillId="0" fontId="3" numFmtId="165" xfId="0" applyAlignment="1" applyBorder="1" applyFont="1" applyNumberFormat="1">
      <alignment shrinkToFit="0" vertical="center" wrapText="0"/>
    </xf>
    <xf borderId="2" fillId="3" fontId="2" numFmtId="0" xfId="0" applyAlignment="1" applyBorder="1" applyFill="1" applyFont="1">
      <alignment shrinkToFit="0" vertical="center" wrapText="1"/>
    </xf>
    <xf borderId="1" fillId="3" fontId="2" numFmtId="0" xfId="0" applyAlignment="1" applyBorder="1" applyFont="1">
      <alignment shrinkToFit="0" vertical="center" wrapText="1"/>
    </xf>
    <xf borderId="0" fillId="0" fontId="2" numFmtId="166" xfId="0" applyAlignment="1" applyFont="1" applyNumberFormat="1">
      <alignment shrinkToFit="0" vertical="center" wrapText="1"/>
    </xf>
    <xf borderId="0" fillId="0" fontId="2" numFmtId="167" xfId="0" applyAlignment="1" applyFont="1" applyNumberFormat="1">
      <alignment shrinkToFit="0" vertical="center" wrapText="1"/>
    </xf>
    <xf borderId="0" fillId="4" fontId="3" numFmtId="0" xfId="0" applyAlignment="1" applyFill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0" fontId="2" numFmtId="168" xfId="0" applyAlignment="1" applyFont="1" applyNumberFormat="1">
      <alignment shrinkToFit="0" vertical="center" wrapText="1"/>
    </xf>
    <xf borderId="0" fillId="5" fontId="3" numFmtId="168" xfId="0" applyAlignment="1" applyFont="1" applyNumberFormat="1">
      <alignment shrinkToFit="0" vertical="center" wrapText="0"/>
    </xf>
    <xf borderId="0" fillId="5" fontId="3" numFmtId="169" xfId="0" applyAlignment="1" applyFont="1" applyNumberFormat="1">
      <alignment shrinkToFit="0" vertical="center" wrapText="0"/>
    </xf>
    <xf borderId="0" fillId="0" fontId="6" numFmtId="0" xfId="0" applyAlignment="1" applyFont="1">
      <alignment shrinkToFit="0" wrapText="1"/>
    </xf>
    <xf borderId="2" fillId="0" fontId="4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shrinkToFit="0" vertical="center" wrapText="0"/>
    </xf>
    <xf borderId="3" fillId="0" fontId="2" numFmtId="0" xfId="0" applyAlignment="1" applyBorder="1" applyFont="1">
      <alignment shrinkToFit="0" vertical="center" wrapText="1"/>
    </xf>
    <xf borderId="3" fillId="0" fontId="2" numFmtId="164" xfId="0" applyAlignment="1" applyBorder="1" applyFont="1" applyNumberFormat="1">
      <alignment horizontal="right" shrinkToFit="0" vertical="center" wrapText="1"/>
    </xf>
    <xf borderId="3" fillId="0" fontId="2" numFmtId="0" xfId="0" applyAlignment="1" applyBorder="1" applyFont="1">
      <alignment horizontal="left" shrinkToFit="0" vertical="center" wrapText="1"/>
    </xf>
    <xf borderId="3" fillId="2" fontId="2" numFmtId="0" xfId="0" applyAlignment="1" applyBorder="1" applyFont="1">
      <alignment horizontal="left" shrinkToFit="0" vertical="center" wrapText="1"/>
    </xf>
    <xf borderId="4" fillId="0" fontId="4" numFmtId="0" xfId="0" applyAlignment="1" applyBorder="1" applyFont="1">
      <alignment shrinkToFit="0" vertical="center" wrapText="1"/>
    </xf>
    <xf borderId="4" fillId="0" fontId="1" numFmtId="3" xfId="0" applyAlignment="1" applyBorder="1" applyFont="1" applyNumberFormat="1">
      <alignment shrinkToFit="0" vertical="center" wrapText="1"/>
    </xf>
    <xf borderId="4" fillId="0" fontId="2" numFmtId="0" xfId="0" applyAlignment="1" applyBorder="1" applyFont="1">
      <alignment shrinkToFit="0" vertical="center" wrapText="1"/>
    </xf>
    <xf borderId="5" fillId="0" fontId="3" numFmtId="0" xfId="0" applyAlignment="1" applyBorder="1" applyFont="1">
      <alignment shrinkToFit="0" vertical="center" wrapText="0"/>
    </xf>
    <xf borderId="5" fillId="0" fontId="3" numFmtId="0" xfId="0" applyAlignment="1" applyBorder="1" applyFont="1">
      <alignment horizontal="right" shrinkToFit="0" vertical="bottom" wrapText="0"/>
    </xf>
    <xf borderId="6" fillId="0" fontId="2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right" shrinkToFit="0" vertical="center" wrapText="1"/>
    </xf>
    <xf borderId="6" fillId="0" fontId="2" numFmtId="164" xfId="0" applyAlignment="1" applyBorder="1" applyFont="1" applyNumberFormat="1">
      <alignment horizontal="right" shrinkToFit="0" vertical="center" wrapText="1"/>
    </xf>
    <xf borderId="7" fillId="2" fontId="2" numFmtId="0" xfId="0" applyAlignment="1" applyBorder="1" applyFont="1">
      <alignment horizontal="left" shrinkToFit="0" vertical="center" wrapText="1"/>
    </xf>
    <xf borderId="8" fillId="2" fontId="2" numFmtId="0" xfId="0" applyAlignment="1" applyBorder="1" applyFont="1">
      <alignment horizontal="left" readingOrder="0" shrinkToFit="0" vertical="center" wrapText="1"/>
    </xf>
    <xf borderId="8" fillId="2" fontId="2" numFmtId="0" xfId="0" applyAlignment="1" applyBorder="1" applyFont="1">
      <alignment horizontal="left" shrinkToFit="0" vertical="center" wrapText="1"/>
    </xf>
    <xf borderId="9" fillId="0" fontId="2" numFmtId="0" xfId="0" applyAlignment="1" applyBorder="1" applyFont="1">
      <alignment horizontal="left" shrinkToFit="0" vertical="center" wrapText="1"/>
    </xf>
    <xf borderId="1" fillId="0" fontId="3" numFmtId="165" xfId="0" applyAlignment="1" applyBorder="1" applyFont="1" applyNumberFormat="1">
      <alignment shrinkToFit="0" vertical="center" wrapText="0"/>
    </xf>
    <xf borderId="0" fillId="0" fontId="3" numFmtId="0" xfId="0" applyAlignment="1" applyFont="1">
      <alignment shrinkToFit="0" vertical="center" wrapText="1"/>
    </xf>
    <xf borderId="2" fillId="0" fontId="3" numFmtId="0" xfId="0" applyAlignment="1" applyBorder="1" applyFont="1">
      <alignment horizontal="right" shrinkToFit="0" vertical="bottom" wrapText="0"/>
    </xf>
    <xf borderId="5" fillId="2" fontId="2" numFmtId="0" xfId="0" applyAlignment="1" applyBorder="1" applyFont="1">
      <alignment horizontal="left" shrinkToFit="0" vertical="center" wrapText="1"/>
    </xf>
    <xf borderId="6" fillId="2" fontId="2" numFmtId="0" xfId="0" applyAlignment="1" applyBorder="1" applyFont="1">
      <alignment horizontal="left" shrinkToFit="0" vertical="center" wrapText="1"/>
    </xf>
    <xf borderId="10" fillId="0" fontId="2" numFmtId="0" xfId="0" applyAlignment="1" applyBorder="1" applyFont="1">
      <alignment horizontal="left" shrinkToFit="0" vertical="center" wrapText="1"/>
    </xf>
    <xf borderId="2" fillId="0" fontId="7" numFmtId="165" xfId="0" applyAlignment="1" applyBorder="1" applyFont="1" applyNumberFormat="1">
      <alignment shrinkToFit="0" vertical="center" wrapText="0"/>
    </xf>
    <xf borderId="1" fillId="0" fontId="2" numFmtId="0" xfId="0" applyAlignment="1" applyBorder="1" applyFont="1">
      <alignment shrinkToFit="0" vertical="center" wrapText="1"/>
    </xf>
    <xf borderId="5" fillId="2" fontId="2" numFmtId="0" xfId="0" applyAlignment="1" applyBorder="1" applyFont="1">
      <alignment horizontal="left" readingOrder="0" shrinkToFit="0" vertical="center" wrapText="1"/>
    </xf>
    <xf borderId="6" fillId="2" fontId="2" numFmtId="0" xfId="0" applyAlignment="1" applyBorder="1" applyFont="1">
      <alignment horizontal="left" readingOrder="0" shrinkToFit="0" vertical="center" wrapText="1"/>
    </xf>
    <xf borderId="10" fillId="0" fontId="1" numFmtId="0" xfId="0" applyAlignment="1" applyBorder="1" applyFont="1">
      <alignment horizontal="left" shrinkToFit="0" vertical="center" wrapText="1"/>
    </xf>
    <xf borderId="0" fillId="6" fontId="2" numFmtId="0" xfId="0" applyAlignment="1" applyFill="1" applyFont="1">
      <alignment shrinkToFit="0" vertical="center" wrapText="1"/>
    </xf>
    <xf borderId="2" fillId="0" fontId="2" numFmtId="0" xfId="0" applyAlignment="1" applyBorder="1" applyFont="1">
      <alignment horizontal="left" readingOrder="0" shrinkToFit="0" vertical="center" wrapText="1"/>
    </xf>
    <xf borderId="1" fillId="6" fontId="2" numFmtId="0" xfId="0" applyAlignment="1" applyBorder="1" applyFont="1">
      <alignment shrinkToFit="0" vertical="center" wrapText="1"/>
    </xf>
    <xf borderId="6" fillId="7" fontId="2" numFmtId="0" xfId="0" applyAlignment="1" applyBorder="1" applyFill="1" applyFont="1">
      <alignment horizontal="left" shrinkToFit="0" vertical="center" wrapText="1"/>
    </xf>
    <xf borderId="2" fillId="0" fontId="2" numFmtId="0" xfId="0" applyAlignment="1" applyBorder="1" applyFont="1">
      <alignment horizontal="right" shrinkToFit="0" vertical="center" wrapText="1"/>
    </xf>
    <xf borderId="2" fillId="7" fontId="2" numFmtId="0" xfId="0" applyAlignment="1" applyBorder="1" applyFont="1">
      <alignment horizontal="left" shrinkToFit="0" vertical="center" wrapText="1"/>
    </xf>
    <xf borderId="0" fillId="5" fontId="3" numFmtId="167" xfId="0" applyAlignment="1" applyFont="1" applyNumberFormat="1">
      <alignment shrinkToFit="0" vertical="center" wrapText="0"/>
    </xf>
    <xf borderId="0" fillId="0" fontId="2" numFmtId="170" xfId="0" applyAlignment="1" applyFont="1" applyNumberFormat="1">
      <alignment shrinkToFit="0" vertical="center" wrapText="1"/>
    </xf>
    <xf borderId="0" fillId="3" fontId="2" numFmtId="168" xfId="0" applyAlignment="1" applyFont="1" applyNumberFormat="1">
      <alignment shrinkToFit="0" vertical="center" wrapText="1"/>
    </xf>
    <xf borderId="0" fillId="3" fontId="2" numFmtId="167" xfId="0" applyAlignment="1" applyFont="1" applyNumberFormat="1">
      <alignment shrinkToFit="0" vertical="center" wrapText="1"/>
    </xf>
    <xf borderId="2" fillId="6" fontId="2" numFmtId="0" xfId="0" applyAlignment="1" applyBorder="1" applyFont="1">
      <alignment horizontal="left" shrinkToFit="0" vertical="center" wrapText="1"/>
    </xf>
    <xf borderId="0" fillId="0" fontId="2" numFmtId="171" xfId="0" applyAlignment="1" applyFont="1" applyNumberFormat="1">
      <alignment shrinkToFit="0" vertical="center" wrapText="1"/>
    </xf>
    <xf borderId="0" fillId="3" fontId="2" numFmtId="0" xfId="0" applyAlignment="1" applyFont="1">
      <alignment shrinkToFit="0" vertical="center" wrapText="1"/>
    </xf>
    <xf borderId="2" fillId="8" fontId="8" numFmtId="0" xfId="0" applyAlignment="1" applyBorder="1" applyFill="1" applyFont="1">
      <alignment shrinkToFit="0" vertical="center" wrapText="0"/>
    </xf>
    <xf borderId="2" fillId="8" fontId="8" numFmtId="0" xfId="0" applyAlignment="1" applyBorder="1" applyFont="1">
      <alignment horizontal="right" shrinkToFit="0" vertical="bottom" wrapText="0"/>
    </xf>
    <xf borderId="2" fillId="8" fontId="9" numFmtId="0" xfId="0" applyAlignment="1" applyBorder="1" applyFont="1">
      <alignment shrinkToFit="0" vertical="center" wrapText="1"/>
    </xf>
    <xf borderId="2" fillId="8" fontId="9" numFmtId="0" xfId="0" applyAlignment="1" applyBorder="1" applyFont="1">
      <alignment horizontal="right" shrinkToFit="0" vertical="center" wrapText="1"/>
    </xf>
    <xf borderId="2" fillId="8" fontId="9" numFmtId="164" xfId="0" applyAlignment="1" applyBorder="1" applyFont="1" applyNumberFormat="1">
      <alignment horizontal="right" shrinkToFit="0" vertical="center" wrapText="1"/>
    </xf>
    <xf borderId="2" fillId="8" fontId="9" numFmtId="0" xfId="0" applyAlignment="1" applyBorder="1" applyFont="1">
      <alignment horizontal="left" shrinkToFit="0" vertical="center" wrapText="1"/>
    </xf>
    <xf borderId="11" fillId="0" fontId="3" numFmtId="0" xfId="0" applyAlignment="1" applyBorder="1" applyFont="1">
      <alignment shrinkToFit="0" vertical="center" wrapText="0"/>
    </xf>
    <xf borderId="12" fillId="0" fontId="3" numFmtId="0" xfId="0" applyAlignment="1" applyBorder="1" applyFont="1">
      <alignment horizontal="right" shrinkToFit="0" vertical="bottom" wrapText="0"/>
    </xf>
    <xf borderId="13" fillId="0" fontId="2" numFmtId="0" xfId="0" applyAlignment="1" applyBorder="1" applyFont="1">
      <alignment shrinkToFit="0" vertical="center" wrapText="1"/>
    </xf>
    <xf borderId="13" fillId="0" fontId="2" numFmtId="0" xfId="0" applyAlignment="1" applyBorder="1" applyFont="1">
      <alignment horizontal="right" shrinkToFit="0" vertical="center" wrapText="1"/>
    </xf>
    <xf borderId="13" fillId="0" fontId="2" numFmtId="164" xfId="0" applyAlignment="1" applyBorder="1" applyFont="1" applyNumberFormat="1">
      <alignment horizontal="right" shrinkToFit="0" vertical="center" wrapText="1"/>
    </xf>
    <xf borderId="3" fillId="0" fontId="2" numFmtId="0" xfId="0" applyAlignment="1" applyBorder="1" applyFont="1">
      <alignment horizontal="left" readingOrder="0" shrinkToFit="0" vertical="center" wrapText="1"/>
    </xf>
    <xf borderId="3" fillId="7" fontId="2" numFmtId="0" xfId="0" applyAlignment="1" applyBorder="1" applyFont="1">
      <alignment horizontal="left" shrinkToFit="0" vertical="center" wrapText="1"/>
    </xf>
    <xf borderId="13" fillId="0" fontId="4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shrinkToFit="0" vertical="center" wrapText="0"/>
    </xf>
    <xf borderId="3" fillId="3" fontId="2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horizontal="left" shrinkToFit="0" vertical="center" wrapText="1"/>
    </xf>
    <xf borderId="5" fillId="7" fontId="2" numFmtId="0" xfId="0" applyAlignment="1" applyBorder="1" applyFont="1">
      <alignment horizontal="left" shrinkToFit="0" vertical="center" wrapText="1"/>
    </xf>
    <xf borderId="5" fillId="0" fontId="3" numFmtId="165" xfId="0" applyAlignment="1" applyBorder="1" applyFont="1" applyNumberFormat="1">
      <alignment shrinkToFit="0" vertical="center" wrapText="0"/>
    </xf>
    <xf borderId="5" fillId="0" fontId="2" numFmtId="0" xfId="0" applyAlignment="1" applyBorder="1" applyFont="1">
      <alignment shrinkToFit="0" vertical="center" wrapText="1"/>
    </xf>
    <xf borderId="5" fillId="3" fontId="2" numFmtId="0" xfId="0" applyAlignment="1" applyBorder="1" applyFont="1">
      <alignment shrinkToFit="0" vertical="center" wrapText="1"/>
    </xf>
    <xf borderId="14" fillId="0" fontId="4" numFmtId="0" xfId="0" applyAlignment="1" applyBorder="1" applyFont="1">
      <alignment shrinkToFit="0" vertical="center" wrapText="1"/>
    </xf>
    <xf borderId="6" fillId="0" fontId="4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horizontal="left" shrinkToFit="0" vertical="center" wrapText="0"/>
    </xf>
    <xf borderId="2" fillId="0" fontId="2" numFmtId="165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horizontal="right" shrinkToFit="0" vertical="bottom" wrapText="0"/>
    </xf>
    <xf borderId="3" fillId="0" fontId="2" numFmtId="0" xfId="0" applyAlignment="1" applyBorder="1" applyFont="1">
      <alignment horizontal="right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4" numFmtId="0" xfId="0" applyAlignment="1" applyBorder="1" applyFont="1">
      <alignment shrinkToFit="0" vertical="center" wrapText="1"/>
    </xf>
    <xf borderId="3" fillId="0" fontId="2" numFmtId="165" xfId="0" applyAlignment="1" applyBorder="1" applyFont="1" applyNumberFormat="1">
      <alignment shrinkToFit="0" vertical="center" wrapText="1"/>
    </xf>
    <xf borderId="0" fillId="0" fontId="10" numFmtId="0" xfId="0" applyAlignment="1" applyFont="1">
      <alignment shrinkToFit="0" wrapText="1"/>
    </xf>
    <xf borderId="5" fillId="0" fontId="2" numFmtId="0" xfId="0" applyAlignment="1" applyBorder="1" applyFont="1">
      <alignment horizontal="right" shrinkToFit="0" vertical="center" wrapText="1"/>
    </xf>
    <xf borderId="5" fillId="3" fontId="11" numFmtId="164" xfId="0" applyAlignment="1" applyBorder="1" applyFont="1" applyNumberFormat="1">
      <alignment horizontal="right" shrinkToFit="0" vertical="center" wrapText="1"/>
    </xf>
    <xf borderId="5" fillId="0" fontId="10" numFmtId="0" xfId="0" applyAlignment="1" applyBorder="1" applyFont="1">
      <alignment shrinkToFit="0" wrapText="1"/>
    </xf>
    <xf borderId="5" fillId="0" fontId="2" numFmtId="0" xfId="0" applyAlignment="1" applyBorder="1" applyFont="1">
      <alignment horizontal="left" readingOrder="0" shrinkToFit="0" vertical="center" wrapText="1"/>
    </xf>
    <xf borderId="5" fillId="2" fontId="10" numFmtId="0" xfId="0" applyAlignment="1" applyBorder="1" applyFont="1">
      <alignment shrinkToFit="0" wrapText="1"/>
    </xf>
    <xf borderId="2" fillId="3" fontId="11" numFmtId="164" xfId="0" applyAlignment="1" applyBorder="1" applyFont="1" applyNumberFormat="1">
      <alignment horizontal="right" shrinkToFit="0" vertical="center" wrapText="1"/>
    </xf>
    <xf borderId="2" fillId="0" fontId="10" numFmtId="0" xfId="0" applyAlignment="1" applyBorder="1" applyFont="1">
      <alignment readingOrder="0" shrinkToFit="0" wrapText="1"/>
    </xf>
    <xf borderId="2" fillId="2" fontId="10" numFmtId="0" xfId="0" applyAlignment="1" applyBorder="1" applyFont="1">
      <alignment shrinkToFit="0" wrapText="1"/>
    </xf>
    <xf borderId="2" fillId="7" fontId="10" numFmtId="0" xfId="0" applyAlignment="1" applyBorder="1" applyFont="1">
      <alignment shrinkToFit="0" wrapText="1"/>
    </xf>
    <xf borderId="2" fillId="3" fontId="11" numFmtId="0" xfId="0" applyAlignment="1" applyBorder="1" applyFont="1">
      <alignment horizontal="right" shrinkToFit="0" vertical="center" wrapText="1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0" fillId="3" fontId="2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vertical="bottom" wrapText="1"/>
    </xf>
    <xf borderId="0" fillId="0" fontId="1" numFmtId="165" xfId="0" applyAlignment="1" applyFont="1" applyNumberFormat="1">
      <alignment shrinkToFit="0" vertical="center" wrapText="1"/>
    </xf>
    <xf borderId="1" fillId="0" fontId="1" numFmtId="165" xfId="0" applyAlignment="1" applyBorder="1" applyFont="1" applyNumberFormat="1">
      <alignment shrinkToFit="0" vertical="center" wrapText="1"/>
    </xf>
    <xf borderId="15" fillId="0" fontId="1" numFmtId="165" xfId="0" applyAlignment="1" applyBorder="1" applyFont="1" applyNumberFormat="1">
      <alignment shrinkToFit="0" vertical="center" wrapText="1"/>
    </xf>
    <xf borderId="2" fillId="0" fontId="1" numFmtId="165" xfId="0" applyAlignment="1" applyBorder="1" applyFont="1" applyNumberFormat="1">
      <alignment shrinkToFit="0" vertical="center" wrapText="1"/>
    </xf>
    <xf borderId="16" fillId="0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bottom" wrapText="1"/>
    </xf>
    <xf borderId="0" fillId="0" fontId="2" numFmtId="172" xfId="0" applyAlignment="1" applyFont="1" applyNumberFormat="1">
      <alignment shrinkToFit="0" vertical="center" wrapText="1"/>
    </xf>
    <xf borderId="0" fillId="0" fontId="4" numFmtId="0" xfId="0" applyAlignment="1" applyFont="1">
      <alignment shrinkToFit="0" wrapText="1"/>
    </xf>
    <xf borderId="0" fillId="7" fontId="2" numFmtId="0" xfId="0" applyAlignment="1" applyFont="1">
      <alignment shrinkToFit="0" vertical="center" wrapText="1"/>
    </xf>
    <xf borderId="0" fillId="0" fontId="12" numFmtId="0" xfId="0" applyAlignment="1" applyFont="1">
      <alignment shrinkToFit="0" wrapText="1"/>
    </xf>
    <xf borderId="0" fillId="3" fontId="13" numFmtId="0" xfId="0" applyAlignment="1" applyFont="1">
      <alignment horizontal="center" shrinkToFit="0" vertical="bottom" wrapText="1"/>
    </xf>
    <xf borderId="0" fillId="0" fontId="13" numFmtId="0" xfId="0" applyAlignment="1" applyFont="1">
      <alignment shrinkToFit="0" wrapText="1"/>
    </xf>
    <xf borderId="0" fillId="0" fontId="12" numFmtId="0" xfId="0" applyAlignment="1" applyFont="1">
      <alignment shrinkToFit="0" vertical="center" wrapText="1"/>
    </xf>
    <xf borderId="15" fillId="0" fontId="12" numFmtId="0" xfId="0" applyAlignment="1" applyBorder="1" applyFont="1">
      <alignment shrinkToFit="0" wrapText="1"/>
    </xf>
    <xf borderId="16" fillId="3" fontId="12" numFmtId="0" xfId="0" applyAlignment="1" applyBorder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0" fillId="0" fontId="12" numFmtId="0" xfId="0" applyAlignment="1" applyFont="1">
      <alignment horizontal="left" shrinkToFit="0" wrapText="1"/>
    </xf>
    <xf borderId="0" fillId="3" fontId="12" numFmtId="0" xfId="0" applyAlignment="1" applyFont="1">
      <alignment shrinkToFit="0" vertical="center" wrapText="1"/>
    </xf>
    <xf borderId="15" fillId="0" fontId="14" numFmtId="0" xfId="0" applyAlignment="1" applyBorder="1" applyFont="1">
      <alignment shrinkToFit="0" wrapText="1"/>
    </xf>
    <xf borderId="0" fillId="0" fontId="10" numFmtId="0" xfId="0" applyAlignment="1" applyFont="1">
      <alignment shrinkToFit="0" vertical="bottom" wrapText="1"/>
    </xf>
    <xf borderId="17" fillId="0" fontId="12" numFmtId="0" xfId="0" applyAlignment="1" applyBorder="1" applyFont="1">
      <alignment shrinkToFit="0" wrapText="1"/>
    </xf>
    <xf borderId="0" fillId="0" fontId="15" numFmtId="0" xfId="0" applyAlignment="1" applyFont="1">
      <alignment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horizontal="left" shrinkToFit="0" vertical="bottom" wrapText="1"/>
    </xf>
    <xf borderId="0" fillId="0" fontId="10" numFmtId="0" xfId="0" applyAlignment="1" applyFont="1">
      <alignment horizontal="right" shrinkToFit="0" vertical="bottom" wrapText="1"/>
    </xf>
    <xf borderId="0" fillId="0" fontId="10" numFmtId="166" xfId="0" applyAlignment="1" applyFont="1" applyNumberFormat="1">
      <alignment horizontal="right" shrinkToFit="0" vertical="bottom" wrapText="1"/>
    </xf>
    <xf borderId="0" fillId="0" fontId="12" numFmtId="0" xfId="0" applyAlignment="1" applyFont="1">
      <alignment shrinkToFit="0" wrapText="1"/>
    </xf>
    <xf borderId="0" fillId="0" fontId="12" numFmtId="0" xfId="0" applyAlignment="1" applyFont="1">
      <alignment shrinkToFit="0" wrapText="0"/>
    </xf>
    <xf borderId="0" fillId="0" fontId="16" numFmtId="0" xfId="0" applyAlignment="1" applyFont="1">
      <alignment horizontal="right" shrinkToFit="0" vertical="bottom" wrapText="1"/>
    </xf>
    <xf borderId="0" fillId="0" fontId="10" numFmtId="0" xfId="0" applyAlignment="1" applyFont="1">
      <alignment horizontal="right" shrinkToFit="0" wrapText="1"/>
    </xf>
    <xf borderId="0" fillId="0" fontId="17" numFmtId="0" xfId="0" applyAlignment="1" applyFont="1">
      <alignment shrinkToFit="0" vertical="center" wrapText="1"/>
    </xf>
    <xf borderId="0" fillId="0" fontId="13" numFmtId="0" xfId="0" applyAlignment="1" applyFont="1">
      <alignment shrinkToFit="0" vertical="center" wrapText="1"/>
    </xf>
    <xf borderId="1" fillId="0" fontId="13" numFmtId="0" xfId="0" applyAlignment="1" applyBorder="1" applyFont="1">
      <alignment shrinkToFit="0" vertical="center" wrapText="1"/>
    </xf>
    <xf borderId="1" fillId="0" fontId="13" numFmtId="0" xfId="0" applyAlignment="1" applyBorder="1" applyFont="1">
      <alignment horizontal="left" shrinkToFit="0" vertical="center" wrapText="1"/>
    </xf>
    <xf borderId="2" fillId="9" fontId="18" numFmtId="0" xfId="0" applyAlignment="1" applyBorder="1" applyFill="1" applyFont="1">
      <alignment shrinkToFit="0" vertical="center" wrapText="0"/>
    </xf>
    <xf borderId="2" fillId="9" fontId="19" numFmtId="0" xfId="0" applyAlignment="1" applyBorder="1" applyFont="1">
      <alignment horizontal="right" shrinkToFit="0" vertical="center" wrapText="1"/>
    </xf>
    <xf borderId="5" fillId="9" fontId="19" numFmtId="0" xfId="0" applyAlignment="1" applyBorder="1" applyFont="1">
      <alignment shrinkToFit="0" vertical="center" wrapText="1"/>
    </xf>
    <xf borderId="2" fillId="9" fontId="19" numFmtId="164" xfId="0" applyAlignment="1" applyBorder="1" applyFont="1" applyNumberFormat="1">
      <alignment horizontal="right" shrinkToFit="0" vertical="center" wrapText="1"/>
    </xf>
    <xf borderId="6" fillId="9" fontId="19" numFmtId="0" xfId="0" applyAlignment="1" applyBorder="1" applyFont="1">
      <alignment shrinkToFit="0" vertical="center" wrapText="1"/>
    </xf>
    <xf borderId="5" fillId="2" fontId="10" numFmtId="0" xfId="0" applyAlignment="1" applyBorder="1" applyFont="1">
      <alignment shrinkToFit="0" vertical="center" wrapText="1"/>
    </xf>
    <xf borderId="2" fillId="0" fontId="12" numFmtId="0" xfId="0" applyAlignment="1" applyBorder="1" applyFont="1">
      <alignment shrinkToFit="0" vertical="center" wrapText="1"/>
    </xf>
    <xf borderId="2" fillId="0" fontId="12" numFmtId="165" xfId="0" applyAlignment="1" applyBorder="1" applyFont="1" applyNumberFormat="1">
      <alignment shrinkToFit="0" vertical="center" wrapText="1"/>
    </xf>
    <xf borderId="6" fillId="3" fontId="10" numFmtId="0" xfId="0" applyAlignment="1" applyBorder="1" applyFont="1">
      <alignment shrinkToFit="0" vertical="center" wrapText="1"/>
    </xf>
    <xf borderId="2" fillId="0" fontId="12" numFmtId="165" xfId="0" applyAlignment="1" applyBorder="1" applyFont="1" applyNumberFormat="1">
      <alignment horizontal="right" shrinkToFit="0" vertical="center" wrapText="1"/>
    </xf>
    <xf borderId="16" fillId="0" fontId="12" numFmtId="0" xfId="0" applyAlignment="1" applyBorder="1" applyFont="1">
      <alignment shrinkToFit="0" vertical="center" wrapText="1"/>
    </xf>
    <xf borderId="0" fillId="0" fontId="12" numFmtId="166" xfId="0" applyAlignment="1" applyFont="1" applyNumberFormat="1">
      <alignment shrinkToFit="0" vertical="center" wrapText="1"/>
    </xf>
    <xf borderId="0" fillId="4" fontId="20" numFmtId="0" xfId="0" applyAlignment="1" applyFont="1">
      <alignment shrinkToFit="0" vertical="center" wrapText="0"/>
    </xf>
    <xf borderId="0" fillId="5" fontId="20" numFmtId="0" xfId="0" applyAlignment="1" applyFont="1">
      <alignment shrinkToFit="0" vertical="center" wrapText="0"/>
    </xf>
    <xf borderId="0" fillId="5" fontId="20" numFmtId="167" xfId="0" applyAlignment="1" applyFont="1" applyNumberFormat="1">
      <alignment shrinkToFit="0" vertical="center" wrapText="0"/>
    </xf>
    <xf borderId="0" fillId="0" fontId="12" numFmtId="168" xfId="0" applyAlignment="1" applyFont="1" applyNumberFormat="1">
      <alignment shrinkToFit="0" vertical="center" wrapText="1"/>
    </xf>
    <xf borderId="0" fillId="5" fontId="20" numFmtId="168" xfId="0" applyAlignment="1" applyFont="1" applyNumberFormat="1">
      <alignment shrinkToFit="0" vertical="center" wrapText="0"/>
    </xf>
    <xf borderId="0" fillId="5" fontId="20" numFmtId="169" xfId="0" applyAlignment="1" applyFont="1" applyNumberFormat="1">
      <alignment shrinkToFit="0" vertical="center" wrapText="0"/>
    </xf>
    <xf borderId="2" fillId="0" fontId="13" numFmtId="0" xfId="0" applyAlignment="1" applyBorder="1" applyFont="1">
      <alignment shrinkToFit="0" vertical="center" wrapText="1"/>
    </xf>
    <xf borderId="0" fillId="3" fontId="18" numFmtId="167" xfId="0" applyAlignment="1" applyFont="1" applyNumberFormat="1">
      <alignment shrinkToFit="0" vertical="center" wrapText="1"/>
    </xf>
    <xf borderId="0" fillId="5" fontId="20" numFmtId="171" xfId="0" applyAlignment="1" applyFont="1" applyNumberFormat="1">
      <alignment shrinkToFit="0" vertical="center" wrapText="0"/>
    </xf>
    <xf borderId="5" fillId="6" fontId="10" numFmtId="0" xfId="0" applyAlignment="1" applyBorder="1" applyFont="1">
      <alignment shrinkToFit="0" vertical="center" wrapText="1"/>
    </xf>
    <xf borderId="2" fillId="2" fontId="12" numFmtId="0" xfId="0" applyAlignment="1" applyBorder="1" applyFont="1">
      <alignment shrinkToFit="0" vertical="center" wrapText="1"/>
    </xf>
    <xf borderId="2" fillId="0" fontId="20" numFmtId="165" xfId="0" applyAlignment="1" applyBorder="1" applyFont="1" applyNumberFormat="1">
      <alignment shrinkToFit="0" vertical="center" wrapText="0"/>
    </xf>
    <xf borderId="2" fillId="3" fontId="18" numFmtId="0" xfId="0" applyAlignment="1" applyBorder="1" applyFont="1">
      <alignment shrinkToFit="0" vertical="center" wrapText="0"/>
    </xf>
    <xf borderId="2" fillId="3" fontId="6" numFmtId="0" xfId="0" applyAlignment="1" applyBorder="1" applyFont="1">
      <alignment horizontal="right" shrinkToFit="0" vertical="center" wrapText="1"/>
    </xf>
    <xf borderId="2" fillId="3" fontId="6" numFmtId="0" xfId="0" applyAlignment="1" applyBorder="1" applyFont="1">
      <alignment shrinkToFit="0" vertical="center" wrapText="1"/>
    </xf>
    <xf borderId="5" fillId="3" fontId="6" numFmtId="0" xfId="0" applyAlignment="1" applyBorder="1" applyFont="1">
      <alignment shrinkToFit="0" vertical="center" wrapText="1"/>
    </xf>
    <xf borderId="2" fillId="3" fontId="6" numFmtId="164" xfId="0" applyAlignment="1" applyBorder="1" applyFont="1" applyNumberFormat="1">
      <alignment horizontal="right" shrinkToFit="0" vertical="center" wrapText="1"/>
    </xf>
    <xf borderId="2" fillId="10" fontId="10" numFmtId="0" xfId="0" applyAlignment="1" applyBorder="1" applyFill="1" applyFont="1">
      <alignment shrinkToFit="0" vertical="center" wrapText="1"/>
    </xf>
    <xf borderId="2" fillId="10" fontId="12" numFmtId="0" xfId="0" applyAlignment="1" applyBorder="1" applyFont="1">
      <alignment shrinkToFit="0" vertical="center" wrapText="1"/>
    </xf>
    <xf borderId="2" fillId="3" fontId="10" numFmtId="0" xfId="0" applyAlignment="1" applyBorder="1" applyFont="1">
      <alignment shrinkToFit="0" vertical="center" wrapText="1"/>
    </xf>
    <xf borderId="0" fillId="0" fontId="12" numFmtId="167" xfId="0" applyAlignment="1" applyFont="1" applyNumberFormat="1">
      <alignment shrinkToFit="0" vertical="center" wrapText="1"/>
    </xf>
    <xf borderId="2" fillId="3" fontId="6" numFmtId="0" xfId="0" applyAlignment="1" applyBorder="1" applyFont="1">
      <alignment readingOrder="0" shrinkToFit="0" vertical="center" wrapText="1"/>
    </xf>
    <xf borderId="0" fillId="0" fontId="12" numFmtId="170" xfId="0" applyAlignment="1" applyFont="1" applyNumberFormat="1">
      <alignment shrinkToFit="0" vertical="center" wrapText="1"/>
    </xf>
    <xf borderId="18" fillId="3" fontId="18" numFmtId="0" xfId="0" applyAlignment="1" applyBorder="1" applyFont="1">
      <alignment shrinkToFit="0" vertical="center" wrapText="0"/>
    </xf>
    <xf borderId="18" fillId="3" fontId="6" numFmtId="0" xfId="0" applyAlignment="1" applyBorder="1" applyFont="1">
      <alignment horizontal="right" shrinkToFit="0" vertical="center" wrapText="1"/>
    </xf>
    <xf borderId="18" fillId="3" fontId="6" numFmtId="0" xfId="0" applyAlignment="1" applyBorder="1" applyFont="1">
      <alignment shrinkToFit="0" vertical="center" wrapText="1"/>
    </xf>
    <xf borderId="18" fillId="3" fontId="6" numFmtId="164" xfId="0" applyAlignment="1" applyBorder="1" applyFont="1" applyNumberFormat="1">
      <alignment horizontal="right" shrinkToFit="0" vertical="center" wrapText="1"/>
    </xf>
    <xf borderId="18" fillId="3" fontId="6" numFmtId="0" xfId="0" applyAlignment="1" applyBorder="1" applyFont="1">
      <alignment readingOrder="0" shrinkToFit="0" vertical="center" wrapText="1"/>
    </xf>
    <xf borderId="18" fillId="10" fontId="10" numFmtId="0" xfId="0" applyAlignment="1" applyBorder="1" applyFont="1">
      <alignment shrinkToFit="0" vertical="center" wrapText="1"/>
    </xf>
    <xf borderId="18" fillId="10" fontId="12" numFmtId="0" xfId="0" applyAlignment="1" applyBorder="1" applyFont="1">
      <alignment shrinkToFit="0" vertical="center" wrapText="1"/>
    </xf>
    <xf borderId="0" fillId="3" fontId="12" numFmtId="168" xfId="0" applyAlignment="1" applyFont="1" applyNumberFormat="1">
      <alignment shrinkToFit="0" vertical="center" wrapText="1"/>
    </xf>
    <xf borderId="0" fillId="3" fontId="12" numFmtId="167" xfId="0" applyAlignment="1" applyFont="1" applyNumberFormat="1">
      <alignment shrinkToFit="0" vertical="center" wrapText="1"/>
    </xf>
    <xf borderId="5" fillId="9" fontId="21" numFmtId="0" xfId="0" applyAlignment="1" applyBorder="1" applyFont="1">
      <alignment shrinkToFit="0" vertical="center" wrapText="0"/>
    </xf>
    <xf borderId="5" fillId="9" fontId="19" numFmtId="0" xfId="0" applyAlignment="1" applyBorder="1" applyFont="1">
      <alignment horizontal="right" shrinkToFit="0" vertical="center" wrapText="1"/>
    </xf>
    <xf borderId="5" fillId="9" fontId="19" numFmtId="164" xfId="0" applyAlignment="1" applyBorder="1" applyFont="1" applyNumberFormat="1">
      <alignment horizontal="right" shrinkToFit="0" vertical="center" wrapText="1"/>
    </xf>
    <xf borderId="5" fillId="10" fontId="10" numFmtId="0" xfId="0" applyAlignment="1" applyBorder="1" applyFont="1">
      <alignment shrinkToFit="0" vertical="center" wrapText="1"/>
    </xf>
    <xf borderId="5" fillId="10" fontId="12" numFmtId="0" xfId="0" applyAlignment="1" applyBorder="1" applyFont="1">
      <alignment shrinkToFit="0" vertical="center" wrapText="1"/>
    </xf>
    <xf borderId="0" fillId="0" fontId="12" numFmtId="171" xfId="0" applyAlignment="1" applyFont="1" applyNumberFormat="1">
      <alignment shrinkToFit="0" vertical="center" wrapText="1"/>
    </xf>
    <xf borderId="5" fillId="3" fontId="18" numFmtId="0" xfId="0" applyAlignment="1" applyBorder="1" applyFont="1">
      <alignment shrinkToFit="0" vertical="center" wrapText="0"/>
    </xf>
    <xf borderId="5" fillId="3" fontId="6" numFmtId="0" xfId="0" applyAlignment="1" applyBorder="1" applyFont="1">
      <alignment horizontal="right" shrinkToFit="0" vertical="center" wrapText="1"/>
    </xf>
    <xf borderId="5" fillId="3" fontId="6" numFmtId="164" xfId="0" applyAlignment="1" applyBorder="1" applyFont="1" applyNumberFormat="1">
      <alignment horizontal="right" shrinkToFit="0" vertical="center" wrapText="1"/>
    </xf>
    <xf borderId="5" fillId="3" fontId="6" numFmtId="0" xfId="0" applyAlignment="1" applyBorder="1" applyFont="1">
      <alignment readingOrder="0" shrinkToFit="0" vertical="center" wrapText="1"/>
    </xf>
    <xf borderId="2" fillId="3" fontId="12" numFmtId="0" xfId="0" applyAlignment="1" applyBorder="1" applyFont="1">
      <alignment shrinkToFit="0" vertical="center" wrapText="1"/>
    </xf>
    <xf borderId="2" fillId="0" fontId="10" numFmtId="0" xfId="0" applyAlignment="1" applyBorder="1" applyFont="1">
      <alignment shrinkToFit="0" vertical="bottom" wrapText="0"/>
    </xf>
    <xf borderId="6" fillId="2" fontId="10" numFmtId="0" xfId="0" applyAlignment="1" applyBorder="1" applyFont="1">
      <alignment shrinkToFit="0" vertical="center" wrapText="1"/>
    </xf>
    <xf borderId="2" fillId="0" fontId="12" numFmtId="0" xfId="0" applyAlignment="1" applyBorder="1" applyFont="1">
      <alignment horizontal="left" shrinkToFit="0" vertical="center" wrapText="1"/>
    </xf>
    <xf borderId="6" fillId="7" fontId="10" numFmtId="0" xfId="0" applyAlignment="1" applyBorder="1" applyFont="1">
      <alignment shrinkToFit="0" vertical="center" wrapText="1"/>
    </xf>
    <xf borderId="2" fillId="3" fontId="2" numFmtId="164" xfId="0" applyAlignment="1" applyBorder="1" applyFont="1" applyNumberFormat="1">
      <alignment horizontal="right" shrinkToFit="0" vertical="center" wrapText="1"/>
    </xf>
    <xf borderId="2" fillId="0" fontId="10" numFmtId="0" xfId="0" applyAlignment="1" applyBorder="1" applyFont="1">
      <alignment shrinkToFit="0" vertical="center" wrapText="1"/>
    </xf>
    <xf borderId="2" fillId="9" fontId="22" numFmtId="0" xfId="0" applyAlignment="1" applyBorder="1" applyFont="1">
      <alignment shrinkToFit="0" vertical="center" wrapText="0"/>
    </xf>
    <xf borderId="2" fillId="9" fontId="23" numFmtId="0" xfId="0" applyAlignment="1" applyBorder="1" applyFont="1">
      <alignment horizontal="right" shrinkToFit="0" vertical="center" wrapText="1"/>
    </xf>
    <xf borderId="5" fillId="9" fontId="23" numFmtId="0" xfId="0" applyAlignment="1" applyBorder="1" applyFont="1">
      <alignment shrinkToFit="0" vertical="center" wrapText="1"/>
    </xf>
    <xf borderId="2" fillId="9" fontId="23" numFmtId="164" xfId="0" applyAlignment="1" applyBorder="1" applyFont="1" applyNumberFormat="1">
      <alignment horizontal="right" shrinkToFit="0" vertical="center" wrapText="1"/>
    </xf>
    <xf borderId="6" fillId="9" fontId="23" numFmtId="0" xfId="0" applyAlignment="1" applyBorder="1" applyFont="1">
      <alignment shrinkToFit="0" vertical="center" wrapText="1"/>
    </xf>
    <xf borderId="2" fillId="10" fontId="24" numFmtId="0" xfId="0" applyAlignment="1" applyBorder="1" applyFont="1">
      <alignment shrinkToFit="0" vertical="center" wrapText="1"/>
    </xf>
    <xf borderId="2" fillId="10" fontId="25" numFmtId="0" xfId="0" applyAlignment="1" applyBorder="1" applyFont="1">
      <alignment shrinkToFit="0" vertical="center" wrapText="1"/>
    </xf>
    <xf borderId="1" fillId="0" fontId="12" numFmtId="0" xfId="0" applyAlignment="1" applyBorder="1" applyFont="1">
      <alignment shrinkToFit="0" vertical="center" wrapText="1"/>
    </xf>
    <xf borderId="0" fillId="0" fontId="12" numFmtId="0" xfId="0" applyAlignment="1" applyFont="1">
      <alignment horizontal="left" shrinkToFit="0" vertical="center" wrapText="1"/>
    </xf>
    <xf borderId="0" fillId="0" fontId="17" numFmtId="165" xfId="0" applyAlignment="1" applyFont="1" applyNumberFormat="1">
      <alignment shrinkToFit="0" vertical="center" wrapText="1"/>
    </xf>
    <xf borderId="15" fillId="0" fontId="17" numFmtId="165" xfId="0" applyAlignment="1" applyBorder="1" applyFont="1" applyNumberFormat="1">
      <alignment shrinkToFit="0" vertical="center" wrapText="1"/>
    </xf>
    <xf borderId="2" fillId="0" fontId="17" numFmtId="165" xfId="0" applyAlignment="1" applyBorder="1" applyFont="1" applyNumberFormat="1">
      <alignment shrinkToFit="0" vertical="center" wrapText="1"/>
    </xf>
    <xf borderId="16" fillId="0" fontId="12" numFmtId="0" xfId="0" applyAlignment="1" applyBorder="1" applyFont="1">
      <alignment horizontal="left" shrinkToFit="0" vertical="center" wrapText="1"/>
    </xf>
    <xf borderId="0" fillId="0" fontId="12" numFmtId="165" xfId="0" applyAlignment="1" applyFont="1" applyNumberFormat="1">
      <alignment shrinkToFit="0" vertical="center" wrapText="1"/>
    </xf>
    <xf borderId="0" fillId="7" fontId="12" numFmtId="0" xfId="0" applyAlignment="1" applyFont="1">
      <alignment shrinkToFit="0" vertical="center" wrapText="1"/>
    </xf>
    <xf borderId="0" fillId="3" fontId="6" numFmtId="0" xfId="0" applyAlignment="1" applyFont="1">
      <alignment shrinkToFit="0" vertical="center" wrapText="1"/>
    </xf>
    <xf borderId="0" fillId="3" fontId="26" numFmtId="0" xfId="0" applyAlignment="1" applyFont="1">
      <alignment horizontal="left" shrinkToFit="0" wrapText="0"/>
    </xf>
    <xf borderId="0" fillId="3" fontId="26" numFmtId="0" xfId="0" applyAlignment="1" applyFont="1">
      <alignment horizontal="right" shrinkToFit="0" wrapText="0"/>
    </xf>
    <xf borderId="0" fillId="0" fontId="12" numFmtId="165" xfId="0" applyAlignment="1" applyFont="1" applyNumberFormat="1">
      <alignment shrinkToFit="0" wrapText="1"/>
    </xf>
    <xf borderId="0" fillId="0" fontId="12" numFmtId="173" xfId="0" applyAlignment="1" applyFont="1" applyNumberFormat="1">
      <alignment shrinkToFit="0" wrapText="1"/>
    </xf>
    <xf borderId="0" fillId="0" fontId="12" numFmtId="0" xfId="0" applyAlignment="1" applyFont="1">
      <alignment horizontal="right" shrinkToFit="0" vertical="bottom" wrapText="1"/>
    </xf>
    <xf borderId="0" fillId="0" fontId="12" numFmtId="174" xfId="0" applyAlignment="1" applyFont="1" applyNumberFormat="1">
      <alignment shrinkToFit="0" wrapText="1"/>
    </xf>
    <xf borderId="0" fillId="0" fontId="12" numFmtId="49" xfId="0" applyAlignment="1" applyFont="1" applyNumberFormat="1">
      <alignment shrinkToFit="0" wrapText="1"/>
    </xf>
    <xf borderId="0" fillId="0" fontId="12" numFmtId="168" xfId="0" applyAlignment="1" applyFont="1" applyNumberFormat="1">
      <alignment shrinkToFit="0" wrapText="1"/>
    </xf>
    <xf borderId="0" fillId="0" fontId="12" numFmtId="175" xfId="0" applyAlignment="1" applyFont="1" applyNumberFormat="1">
      <alignment shrinkToFit="0" wrapText="1"/>
    </xf>
    <xf borderId="0" fillId="0" fontId="12" numFmtId="175" xfId="0" applyAlignment="1" applyFont="1" applyNumberFormat="1">
      <alignment shrinkToFit="0" wrapText="1"/>
    </xf>
    <xf borderId="0" fillId="0" fontId="12" numFmtId="166" xfId="0" applyAlignment="1" applyFont="1" applyNumberFormat="1">
      <alignment shrinkToFit="0" wrapText="1"/>
    </xf>
    <xf borderId="0" fillId="0" fontId="12" numFmtId="19" xfId="0" applyAlignment="1" applyFont="1" applyNumberFormat="1">
      <alignment shrinkToFit="0" wrapText="1"/>
    </xf>
    <xf borderId="0" fillId="0" fontId="12" numFmtId="168" xfId="0" applyAlignment="1" applyFont="1" applyNumberFormat="1">
      <alignment shrinkToFit="0" wrapText="1"/>
    </xf>
    <xf borderId="14" fillId="3" fontId="6" numFmtId="0" xfId="0" applyAlignment="1" applyBorder="1" applyFont="1">
      <alignment shrinkToFit="0" vertical="center" wrapText="1"/>
    </xf>
    <xf borderId="2" fillId="2" fontId="10" numFmtId="0" xfId="0" applyAlignment="1" applyBorder="1" applyFont="1">
      <alignment shrinkToFit="0" vertical="center" wrapText="1"/>
    </xf>
    <xf borderId="19" fillId="0" fontId="12" numFmtId="165" xfId="0" applyAlignment="1" applyBorder="1" applyFont="1" applyNumberFormat="1">
      <alignment shrinkToFit="0" vertical="center" wrapText="1"/>
    </xf>
    <xf borderId="6" fillId="3" fontId="6" numFmtId="0" xfId="0" applyAlignment="1" applyBorder="1" applyFont="1">
      <alignment shrinkToFit="0" vertical="center" wrapText="1"/>
    </xf>
    <xf borderId="2" fillId="0" fontId="6" numFmtId="0" xfId="0" applyAlignment="1" applyBorder="1" applyFont="1">
      <alignment shrinkToFit="0" vertical="center" wrapText="1"/>
    </xf>
    <xf borderId="14" fillId="3" fontId="6" numFmtId="0" xfId="0" applyAlignment="1" applyBorder="1" applyFont="1">
      <alignment readingOrder="0" shrinkToFit="0" vertical="center" wrapText="1"/>
    </xf>
    <xf borderId="5" fillId="3" fontId="17" numFmtId="0" xfId="0" applyAlignment="1" applyBorder="1" applyFont="1">
      <alignment shrinkToFit="0" vertical="center" wrapText="1"/>
    </xf>
    <xf borderId="0" fillId="0" fontId="12" numFmtId="165" xfId="0" applyAlignment="1" applyFont="1" applyNumberFormat="1">
      <alignment horizontal="right" shrinkToFit="0" vertical="center" wrapText="1"/>
    </xf>
    <xf borderId="6" fillId="3" fontId="6" numFmtId="0" xfId="0" applyAlignment="1" applyBorder="1" applyFont="1">
      <alignment readingOrder="0" shrinkToFit="0" vertical="center" wrapText="1"/>
    </xf>
    <xf borderId="0" fillId="0" fontId="12" numFmtId="0" xfId="0" applyAlignment="1" applyFont="1">
      <alignment horizontal="right" shrinkToFit="0" vertical="center" wrapText="1"/>
    </xf>
    <xf borderId="19" fillId="0" fontId="20" numFmtId="165" xfId="0" applyAlignment="1" applyBorder="1" applyFont="1" applyNumberFormat="1">
      <alignment shrinkToFit="0" vertical="center" wrapText="0"/>
    </xf>
    <xf borderId="0" fillId="0" fontId="27" numFmtId="165" xfId="0" applyAlignment="1" applyFont="1" applyNumberFormat="1">
      <alignment shrinkToFit="0" vertical="center" wrapText="1"/>
    </xf>
    <xf borderId="17" fillId="0" fontId="12" numFmtId="0" xfId="0" applyAlignment="1" applyBorder="1" applyFont="1">
      <alignment shrinkToFit="0" vertical="center" wrapText="1"/>
    </xf>
    <xf borderId="0" fillId="0" fontId="17" numFmtId="176" xfId="0" applyAlignment="1" applyFont="1" applyNumberFormat="1">
      <alignment shrinkToFit="0" vertical="center" wrapText="1"/>
    </xf>
    <xf borderId="0" fillId="3" fontId="6" numFmtId="0" xfId="0" applyAlignment="1" applyFon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b/>
        <i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1.xml"/><Relationship Id="rId14" Type="http://schemas.openxmlformats.org/officeDocument/2006/relationships/chartsheet" Target="chartsheets/sheet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000000"/>
                </a:solidFill>
                <a:latin typeface="Arial Narrow"/>
              </a:defRPr>
            </a:pPr>
            <a:r>
              <a:rPr b="0" i="0">
                <a:solidFill>
                  <a:srgbClr val="000000"/>
                </a:solidFill>
                <a:latin typeface="Arial Narrow"/>
              </a:rPr>
              <a:t>Gennemsnits pris per kamp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'Plan - NL + 1. Div backup'!$P$51:$P$58</c:f>
            </c:strRef>
          </c:cat>
          <c:val>
            <c:numRef>
              <c:f>'Plan - NL + 1. Div backup'!$U$51:$U$58</c:f>
              <c:numCache/>
            </c:numRef>
          </c:val>
        </c:ser>
        <c:axId val="701437380"/>
        <c:axId val="750365777"/>
      </c:barChart>
      <c:catAx>
        <c:axId val="7014373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Arial Narrow"/>
              </a:defRPr>
            </a:pPr>
          </a:p>
        </c:txPr>
        <c:crossAx val="750365777"/>
      </c:catAx>
      <c:valAx>
        <c:axId val="75036577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701437380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000000"/>
                </a:solidFill>
                <a:latin typeface="Roboto"/>
              </a:defRPr>
            </a:pPr>
            <a:r>
              <a:rPr b="1" i="0" sz="1600">
                <a:solidFill>
                  <a:srgbClr val="000000"/>
                </a:solidFill>
                <a:latin typeface="Roboto"/>
              </a:rPr>
              <a:t>Upload tid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Stats!$K$1</c:f>
            </c:strRef>
          </c:tx>
          <c:spPr>
            <a:ln cmpd="sng">
              <a:solidFill>
                <a:srgbClr val="3366CC"/>
              </a:solidFill>
            </a:ln>
          </c:spPr>
          <c:marker>
            <c:symbol val="circle"/>
            <c:size val="7"/>
            <c:spPr>
              <a:solidFill>
                <a:srgbClr val="3366CC"/>
              </a:solidFill>
              <a:ln cmpd="sng">
                <a:solidFill>
                  <a:srgbClr val="3366CC"/>
                </a:solidFill>
              </a:ln>
            </c:spPr>
          </c:marker>
          <c:cat>
            <c:strRef>
              <c:f>Stats!$F$2:$F$51</c:f>
            </c:strRef>
          </c:cat>
          <c:val>
            <c:numRef>
              <c:f>Stats!$K$2:$K$51</c:f>
              <c:numCache/>
            </c:numRef>
          </c:val>
          <c:smooth val="0"/>
        </c:ser>
        <c:axId val="20865341"/>
        <c:axId val="1631863426"/>
      </c:lineChart>
      <c:catAx>
        <c:axId val="208653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Roboto"/>
                  </a:defRPr>
                </a:pPr>
                <a:r>
                  <a:rPr b="0" i="0">
                    <a:solidFill>
                      <a:srgbClr val="000000"/>
                    </a:solidFill>
                    <a:latin typeface="Roboto"/>
                  </a:rPr>
                  <a:t>Kamp nr.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</a:p>
        </c:txPr>
        <c:crossAx val="1631863426"/>
      </c:catAx>
      <c:valAx>
        <c:axId val="16318634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Roboto"/>
                  </a:defRPr>
                </a:pPr>
                <a:r>
                  <a:rPr b="0" i="0">
                    <a:solidFill>
                      <a:srgbClr val="000000"/>
                    </a:solidFill>
                    <a:latin typeface="Roboto"/>
                  </a:rPr>
                  <a:t>Timer fra end of game til delt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</a:p>
        </c:txPr>
        <c:crossAx val="20865341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Roboto"/>
            </a:defRPr>
          </a:pPr>
        </a:p>
      </c:txPr>
    </c:legend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'Pivottabel 1'!$A$2</c:f>
            </c:strRef>
          </c:tx>
          <c:spPr>
            <a:solidFill>
              <a:srgbClr val="FF000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'Pivottabel 1'!$B$1:$E$1</c:f>
            </c:strRef>
          </c:cat>
          <c:val>
            <c:numRef>
              <c:f>'Pivottabel 1'!$B$2:$E$2</c:f>
              <c:numCache/>
            </c:numRef>
          </c:val>
        </c:ser>
        <c:axId val="1936022748"/>
        <c:axId val="119773966"/>
      </c:barChart>
      <c:catAx>
        <c:axId val="19360227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Tahoma"/>
              </a:defRPr>
            </a:pPr>
          </a:p>
        </c:txPr>
        <c:crossAx val="119773966"/>
      </c:catAx>
      <c:valAx>
        <c:axId val="1197739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Tahoma"/>
                  </a:defRPr>
                </a:pPr>
                <a:r>
                  <a:rPr b="0" i="0">
                    <a:solidFill>
                      <a:srgbClr val="000000"/>
                    </a:solidFill>
                    <a:latin typeface="Tahoma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Tahoma"/>
              </a:defRPr>
            </a:pPr>
          </a:p>
        </c:txPr>
        <c:crossAx val="193602274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Tahoma"/>
            </a:defRPr>
          </a:pPr>
        </a:p>
      </c:txPr>
    </c:legend>
    <c:plotVisOnly val="1"/>
  </c:chart>
  <c:spPr>
    <a:solidFill>
      <a:srgbClr val="CCCCCC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'Pivottabel 1'!$A$1</c:f>
            </c:strRef>
          </c:tx>
          <c:spPr>
            <a:solidFill>
              <a:srgbClr val="3366CC"/>
            </a:solidFill>
            <a:ln cmpd="sng">
              <a:solidFill>
                <a:srgbClr val="000000"/>
              </a:solidFill>
            </a:ln>
          </c:spPr>
          <c:val>
            <c:numRef>
              <c:f>'Pivottabel 1'!$A$2</c:f>
              <c:numCache/>
            </c:numRef>
          </c:val>
        </c:ser>
        <c:ser>
          <c:idx val="1"/>
          <c:order val="1"/>
          <c:tx>
            <c:strRef>
              <c:f>'Pivottabel 1'!$B$1</c:f>
            </c:strRef>
          </c:tx>
          <c:spPr>
            <a:solidFill>
              <a:srgbClr val="DC3912"/>
            </a:solidFill>
            <a:ln cmpd="sng">
              <a:solidFill>
                <a:srgbClr val="000000"/>
              </a:solidFill>
            </a:ln>
          </c:spPr>
          <c:val>
            <c:numRef>
              <c:f>'Pivottabel 1'!$B$2:$B$24</c:f>
              <c:numCache/>
            </c:numRef>
          </c:val>
        </c:ser>
        <c:ser>
          <c:idx val="2"/>
          <c:order val="2"/>
          <c:tx>
            <c:strRef>
              <c:f>'Pivottabel 1'!$C$1</c:f>
            </c:strRef>
          </c:tx>
          <c:spPr>
            <a:solidFill>
              <a:srgbClr val="FF9900"/>
            </a:solidFill>
            <a:ln cmpd="sng">
              <a:solidFill>
                <a:srgbClr val="000000"/>
              </a:solidFill>
            </a:ln>
          </c:spPr>
          <c:val>
            <c:numRef>
              <c:f>'Pivottabel 1'!$C$2:$C$24</c:f>
              <c:numCache/>
            </c:numRef>
          </c:val>
        </c:ser>
        <c:ser>
          <c:idx val="3"/>
          <c:order val="3"/>
          <c:tx>
            <c:strRef>
              <c:f>'Pivottabel 1'!$F$1</c:f>
            </c:strRef>
          </c:tx>
          <c:val>
            <c:numRef>
              <c:f>'Pivottabel 1'!$F$2:$F$24</c:f>
              <c:numCache/>
            </c:numRef>
          </c:val>
        </c:ser>
        <c:axId val="1387624674"/>
        <c:axId val="1467302289"/>
      </c:barChart>
      <c:catAx>
        <c:axId val="1387624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</a:p>
        </c:txPr>
        <c:crossAx val="1467302289"/>
      </c:catAx>
      <c:valAx>
        <c:axId val="1467302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</a:p>
        </c:txPr>
        <c:crossAx val="138762467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000000"/>
                </a:solidFill>
                <a:latin typeface="Arial Narrow"/>
              </a:defRPr>
            </a:pPr>
            <a:r>
              <a:rPr b="0" i="0">
                <a:solidFill>
                  <a:srgbClr val="000000"/>
                </a:solidFill>
                <a:latin typeface="Arial Narrow"/>
              </a:rPr>
              <a:t>Gennemsnits pris per kamp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Kilometerdata!$P$59:$P$66</c:f>
            </c:strRef>
          </c:cat>
          <c:val>
            <c:numRef>
              <c:f>Kilometerdata!$S$59:$S$66</c:f>
              <c:numCache/>
            </c:numRef>
          </c:val>
        </c:ser>
        <c:axId val="88257063"/>
        <c:axId val="943500340"/>
      </c:barChart>
      <c:catAx>
        <c:axId val="88257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Arial Narrow"/>
              </a:defRPr>
            </a:pPr>
          </a:p>
        </c:txPr>
        <c:crossAx val="943500340"/>
      </c:catAx>
      <c:valAx>
        <c:axId val="9435003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 kr.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Arial Narrow"/>
              </a:defRPr>
            </a:pPr>
          </a:p>
        </c:txPr>
        <c:crossAx val="88257063"/>
      </c:valAx>
    </c:plotArea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409575</xdr:colOff>
      <xdr:row>64</xdr:row>
      <xdr:rowOff>142875</xdr:rowOff>
    </xdr:from>
    <xdr:ext cx="5715000" cy="3533775"/>
    <xdr:graphicFrame>
      <xdr:nvGraphicFramePr>
        <xdr:cNvPr id="633869309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743533439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209550</xdr:colOff>
      <xdr:row>7</xdr:row>
      <xdr:rowOff>76200</xdr:rowOff>
    </xdr:from>
    <xdr:ext cx="5715000" cy="3533775"/>
    <xdr:graphicFrame>
      <xdr:nvGraphicFramePr>
        <xdr:cNvPr id="80334920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1038225</xdr:colOff>
      <xdr:row>9</xdr:row>
      <xdr:rowOff>161925</xdr:rowOff>
    </xdr:from>
    <xdr:ext cx="5715000" cy="3533775"/>
    <xdr:graphicFrame>
      <xdr:nvGraphicFramePr>
        <xdr:cNvPr id="1401755261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438150</xdr:colOff>
      <xdr:row>45</xdr:row>
      <xdr:rowOff>257175</xdr:rowOff>
    </xdr:from>
    <xdr:ext cx="5715000" cy="3533775"/>
    <xdr:graphicFrame>
      <xdr:nvGraphicFramePr>
        <xdr:cNvPr id="379722009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M22" sheet="Plan - NL"/>
  </cacheSource>
  <cacheFields>
    <cacheField name=" " numFmtId="0">
      <sharedItems>
        <s v="Vedligeholdende"/>
        <s v="NL"/>
      </sharedItems>
    </cacheField>
    <cacheField name="Runde" numFmtId="0">
      <sharedItems containsSemiMixedTypes="0" containsString="0" containsNumber="1" containsInteger="1">
        <n v="0.0"/>
        <n v="1.0"/>
        <n v="2.0"/>
        <n v="4.0"/>
        <n v="5.0"/>
        <n v="6.0"/>
        <n v="8.0"/>
        <n v="9.0"/>
        <n v="10.0"/>
        <n v="12.0"/>
        <n v="17.0"/>
      </sharedItems>
    </cacheField>
    <cacheField name="Dag" numFmtId="0">
      <sharedItems>
        <s v="Lørdag"/>
        <s v="Søndag"/>
        <s v="Fredag"/>
      </sharedItems>
    </cacheField>
    <cacheField name="Dato" numFmtId="0">
      <sharedItems containsSemiMixedTypes="0" containsString="0" containsNumber="1" containsInteger="1">
        <n v="29.0"/>
        <n v="30.0"/>
        <n v="5.0"/>
        <n v="6.0"/>
        <n v="12.0"/>
        <n v="13.0"/>
        <n v="27.0"/>
        <n v="2.0"/>
        <n v="10.0"/>
        <n v="11.0"/>
        <n v="24.0"/>
        <n v="25.0"/>
        <n v="31.0"/>
        <n v="7.0"/>
        <n v="8.0"/>
        <n v="22.0"/>
        <n v="23.0"/>
      </sharedItems>
    </cacheField>
    <cacheField name="Måned" numFmtId="0">
      <sharedItems>
        <s v="Marts"/>
        <s v="April"/>
        <s v="Maj"/>
        <s v="Juni"/>
        <s v="August"/>
      </sharedItems>
    </cacheField>
    <cacheField name="Tidspunkt" numFmtId="164">
      <sharedItems containsSemiMixedTypes="0" containsDate="1" containsString="0">
        <d v="1899-12-30T14:00:00Z"/>
        <d v="1899-12-30T13:00:00Z"/>
        <d v="1899-12-30T19:00:00Z"/>
      </sharedItems>
    </cacheField>
    <cacheField name="Hjemme" numFmtId="0">
      <sharedItems>
        <s v="Tigers"/>
        <s v="Oaks"/>
        <s v="Towers"/>
        <s v="Razorbacks"/>
        <s v="89ers"/>
        <s v="Gold_Diggers"/>
      </sharedItems>
    </cacheField>
    <cacheField name="Ude" numFmtId="0">
      <sharedItems>
        <s v="Wolves"/>
        <s v="Hurricanes"/>
        <s v="Razorbacks"/>
        <s v="Demons"/>
        <s v="Tigers"/>
        <s v="89ers"/>
        <s v="Gold_Diggers"/>
        <s v="Towers"/>
        <s v="Oaks"/>
      </sharedItems>
    </cacheField>
    <cacheField name="R" numFmtId="0">
      <sharedItems containsBlank="1">
        <s v="NI"/>
        <s v="FR"/>
        <s v="DS"/>
        <s v="JL"/>
        <s v="KJ"/>
        <s v="ME(DE)"/>
        <s v="JK"/>
        <s v="MR"/>
        <s v="FK"/>
        <s v="JE"/>
        <m/>
        <s v="AR"/>
      </sharedItems>
    </cacheField>
    <cacheField name="U" numFmtId="0">
      <sharedItems containsBlank="1">
        <s v="AR"/>
        <s v="VN"/>
        <s v="FK"/>
        <s v="JK"/>
        <s v="FK(DE)"/>
        <s v="SB(DE)"/>
        <s v="DS"/>
        <m/>
        <s v="BB"/>
      </sharedItems>
    </cacheField>
    <cacheField name="H" numFmtId="0">
      <sharedItems containsBlank="1">
        <s v="BT"/>
        <s v="AT"/>
        <s v="HP"/>
        <s v="NI"/>
        <s v="FR"/>
        <s v="VN"/>
        <s v="JK"/>
        <s v="JL"/>
        <s v="TO"/>
        <s v="MM"/>
        <s v="TS"/>
        <m/>
      </sharedItems>
    </cacheField>
    <cacheField name="L" numFmtId="0">
      <sharedItems containsBlank="1">
        <m/>
        <s v="EL"/>
        <s v="VN"/>
        <s v="MR"/>
        <s v="HP"/>
        <s v="DK(DE)"/>
        <s v="JE + RH"/>
        <s v="MT(DE)"/>
        <s v="FR"/>
        <s v="AL"/>
        <s v="JL"/>
        <s v="KE"/>
      </sharedItems>
    </cacheField>
    <cacheField name="B" numFmtId="0">
      <sharedItems containsBlank="1">
        <m/>
        <s v="BT"/>
        <s v="AT"/>
        <s v="EL"/>
        <s v="JE"/>
        <s v="KJ"/>
        <s v="FR"/>
      </sharedItems>
    </cacheField>
    <cacheField name="F" numFmtId="0">
      <sharedItems containsBlank="1">
        <m/>
        <s v="ER"/>
        <s v="EL"/>
        <s v="KJ"/>
        <s v="KL"/>
        <s v="TK"/>
      </sharedItems>
    </cacheField>
    <cacheField name="S" numFmtId="0">
      <sharedItems containsBlank="1">
        <m/>
        <s v="KJ"/>
        <s v="HP"/>
        <s v="ER"/>
        <s v="AT"/>
        <s v="EL"/>
        <s v="FR"/>
        <s v="TK"/>
        <s v="MR"/>
      </sharedItems>
    </cacheField>
    <cacheField name="C" numFmtId="0">
      <sharedItems containsString="0" containsBlank="1">
        <m/>
      </sharedItems>
    </cacheField>
    <cacheField name="Note" numFmtId="0">
      <sharedItems containsBlank="1">
        <s v="OBS! Spilles i Aalborg - Klubcrew: Selvdømmer"/>
        <s v="Klubcrew: Towers"/>
        <s v="Klubcrew: Raptors"/>
        <s v="Klubcrew: Tigers"/>
        <s v="Klubcrew: Demons"/>
        <m/>
        <s v="Flyttet fra Søllerød"/>
        <s v="Flyttet fra Aarhus. TV-kamp"/>
        <s v="TV-kamp"/>
        <s v="TV-kamp. Aflyst. MR, AR, NI, JL, BT, KL"/>
      </sharedItems>
    </cacheField>
    <cacheField name="Antal tilmeldte VK &#10;25-03 23:47" numFmtId="3">
      <sharedItems containsString="0" containsBlank="1" containsNumber="1" containsInteger="1">
        <n v="1.0"/>
        <n v="5.0"/>
        <n v="0.0"/>
        <m/>
      </sharedItems>
    </cacheField>
    <cacheField name="1s" numFmtId="0">
      <sharedItems containsString="0" containsBlank="1" containsNumber="1" containsInteger="1">
        <m/>
        <n v="0.0"/>
        <n v="2.0"/>
        <n v="4.0"/>
      </sharedItems>
    </cacheField>
    <cacheField name="2s" numFmtId="0">
      <sharedItems containsString="0" containsBlank="1" containsNumber="1" containsInteger="1">
        <m/>
        <n v="0.0"/>
        <n v="1.0"/>
      </sharedItems>
    </cacheField>
    <cacheField name="3s" numFmtId="0">
      <sharedItems containsString="0" containsBlank="1" containsNumber="1" containsInteger="1">
        <m/>
        <n v="0.0"/>
        <n v="1.0"/>
        <n v="2.0"/>
      </sharedItems>
    </cacheField>
    <cacheField name="Taske" numFmtId="0">
      <sharedItems containsString="0" containsBlank="1">
        <m/>
      </sharedItems>
    </cacheField>
    <cacheField name="Taske IND" numFmtId="0">
      <sharedItems containsString="0" containsBlank="1">
        <m/>
      </sharedItems>
    </cacheField>
    <cacheField name="Taske UD" numFmtId="0">
      <sharedItems containsString="0" containsBlank="1">
        <m/>
      </sharedItems>
    </cacheField>
    <cacheField name="Betaling" numFmtId="0">
      <sharedItems containsString="0" containsBlank="1">
        <m/>
      </sharedItems>
    </cacheField>
    <cacheField name="Video" numFmtId="0">
      <sharedItems containsString="0" containsBlank="1">
        <m/>
      </sharedItems>
    </cacheField>
    <cacheField name="Gennemseer" numFmtId="0">
      <sharedItems containsString="0" containsBlank="1">
        <m/>
      </sharedItems>
    </cacheField>
    <cacheField name="GameID" numFmtId="0">
      <sharedItems containsBlank="1">
        <m/>
        <s v="12April-Tigers-v-89ers"/>
        <s v="13April-Oaks-v-Razorbacks"/>
        <s v="27April-Razorbacks-v-89ers"/>
        <s v="27April-Tigers-v-Gold_Diggers"/>
        <s v="2Maj-Oaks-v-Towers"/>
        <s v="10Maj-89ers-v-Oaks"/>
        <s v="11Maj-Gold_Diggers-v-Tigers"/>
        <s v="24Maj-Oaks-v-Tigers"/>
        <s v="25Maj-Razorbacks-v-Gold_Diggers"/>
        <s v="31Maj-89ers-v-Towers"/>
        <s v="7Juni-Gold_Diggers-v-89ers"/>
        <s v="8Juni-Razorbacks-v-Oaks"/>
        <s v="22Juni-Tigers-v-Razorbacks"/>
        <s v="22Juni-Gold_Diggers-v-Towers"/>
        <s v="23August-Towers-v-Tigers"/>
        <s v="24August-89ers-v-Razorbacks"/>
      </sharedItems>
    </cacheField>
    <cacheField name="Game start" numFmtId="0">
      <sharedItems containsString="0" containsBlank="1">
        <m/>
      </sharedItems>
    </cacheField>
    <cacheField name="Game end" numFmtId="0">
      <sharedItems containsString="0" containsBlank="1">
        <m/>
      </sharedItems>
    </cacheField>
    <cacheField name="Video Exchanged." numFmtId="0">
      <sharedItems containsString="0" containsBlank="1">
        <m/>
      </sharedItems>
    </cacheField>
    <cacheField name="Game time (easy)" numFmtId="0">
      <sharedItems containsBlank="1">
        <m/>
        <s v="0h0m"/>
      </sharedItems>
    </cacheField>
    <cacheField name="Intercut time (min)" numFmtId="0">
      <sharedItems containsString="0" containsBlank="1">
        <m/>
      </sharedItems>
    </cacheField>
    <cacheField name="Exchange of Breakdown data" numFmtId="0">
      <sharedItems containsString="0" containsBlank="1">
        <m/>
      </sharedItems>
    </cacheField>
    <cacheField name="Return of break down data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Upload time" numFmtId="0">
      <sharedItems containsDate="1" containsString="0" containsBlank="1">
        <m/>
        <d v="1899-12-30T00:00:00Z"/>
      </sharedItems>
    </cacheField>
    <cacheField name="Breakdown time" numFmtId="0">
      <sharedItems containsString="0" containsBlank="1">
        <m/>
      </sharedItems>
    </cacheField>
    <cacheField name="Game time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el 1" cacheId="0" dataCaption="" compact="0" compactData="0">
  <location ref="A1:F13" firstHeaderRow="0" firstDataRow="2" firstDataCol="0"/>
  <pivotFields>
    <pivotField name=" " compact="0" outline="0" multipleItemSelectionAllowed="1" showAll="0">
      <items>
        <item x="0"/>
        <item x="1"/>
        <item t="default"/>
      </items>
    </pivotField>
    <pivotField name="Runde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Dag" compact="0" outline="0" multipleItemSelectionAllowed="1" showAll="0">
      <items>
        <item x="0"/>
        <item x="1"/>
        <item x="2"/>
        <item t="default"/>
      </items>
    </pivotField>
    <pivotField name="Da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Måned" compact="0" outline="0" multipleItemSelectionAllowed="1" showAll="0">
      <items>
        <item x="0"/>
        <item x="1"/>
        <item x="2"/>
        <item x="3"/>
        <item x="4"/>
        <item t="default"/>
      </items>
    </pivotField>
    <pivotField name="Tidspunkt" compact="0" numFmtId="164" outline="0" multipleItemSelectionAllowed="1" showAll="0">
      <items>
        <item x="0"/>
        <item x="1"/>
        <item x="2"/>
        <item t="default"/>
      </items>
    </pivotField>
    <pivotField name="Hjemm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B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F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" compact="0" outline="0" multipleItemSelectionAllowed="1" showAll="0">
      <items>
        <item x="0"/>
        <item t="default"/>
      </items>
    </pivotField>
    <pivotField name="No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Antal tilmeldte VK &#10;25-03 23:47" compact="0" numFmtId="3" outline="0" multipleItemSelectionAllowed="1" showAll="0">
      <items>
        <item x="0"/>
        <item x="1"/>
        <item x="2"/>
        <item x="3"/>
        <item t="default"/>
      </items>
    </pivotField>
    <pivotField name="1s" compact="0" outline="0" multipleItemSelectionAllowed="1" showAll="0">
      <items>
        <item x="0"/>
        <item x="1"/>
        <item x="2"/>
        <item x="3"/>
        <item t="default"/>
      </items>
    </pivotField>
    <pivotField name="2s" compact="0" outline="0" multipleItemSelectionAllowed="1" showAll="0">
      <items>
        <item x="0"/>
        <item x="1"/>
        <item x="2"/>
        <item t="default"/>
      </items>
    </pivotField>
    <pivotField name="3s" compact="0" outline="0" multipleItemSelectionAllowed="1" showAll="0">
      <items>
        <item x="0"/>
        <item x="1"/>
        <item x="2"/>
        <item x="3"/>
        <item t="default"/>
      </items>
    </pivotField>
    <pivotField name="Taske" compact="0" outline="0" multipleItemSelectionAllowed="1" showAll="0">
      <items>
        <item x="0"/>
        <item t="default"/>
      </items>
    </pivotField>
    <pivotField name="Taske IND" compact="0" outline="0" multipleItemSelectionAllowed="1" showAll="0">
      <items>
        <item x="0"/>
        <item t="default"/>
      </items>
    </pivotField>
    <pivotField name="Taske UD" compact="0" outline="0" multipleItemSelectionAllowed="1" showAll="0">
      <items>
        <item x="0"/>
        <item t="default"/>
      </items>
    </pivotField>
    <pivotField name="Betaling" compact="0" outline="0" multipleItemSelectionAllowed="1" showAll="0">
      <items>
        <item x="0"/>
        <item t="default"/>
      </items>
    </pivotField>
    <pivotField name="Video" compact="0" outline="0" multipleItemSelectionAllowed="1" showAll="0">
      <items>
        <item x="0"/>
        <item t="default"/>
      </items>
    </pivotField>
    <pivotField name="Gennemseer" compact="0" outline="0" multipleItemSelectionAllowed="1" showAll="0">
      <items>
        <item x="0"/>
        <item t="default"/>
      </items>
    </pivotField>
    <pivotField name="Game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Game start" compact="0" outline="0" multipleItemSelectionAllowed="1" showAll="0">
      <items>
        <item x="0"/>
        <item t="default"/>
      </items>
    </pivotField>
    <pivotField name="Game end" compact="0" outline="0" multipleItemSelectionAllowed="1" showAll="0">
      <items>
        <item x="0"/>
        <item t="default"/>
      </items>
    </pivotField>
    <pivotField name="Video Exchanged." compact="0" outline="0" multipleItemSelectionAllowed="1" showAll="0">
      <items>
        <item x="0"/>
        <item t="default"/>
      </items>
    </pivotField>
    <pivotField name="Game time (easy)" compact="0" outline="0" multipleItemSelectionAllowed="1" showAll="0">
      <items>
        <item x="0"/>
        <item x="1"/>
        <item t="default"/>
      </items>
    </pivotField>
    <pivotField name="Intercut time (min)" compact="0" outline="0" multipleItemSelectionAllowed="1" showAll="0">
      <items>
        <item x="0"/>
        <item t="default"/>
      </items>
    </pivotField>
    <pivotField name="Exchange of Breakdown data" compact="0" outline="0" multipleItemSelectionAllowed="1" showAll="0">
      <items>
        <item x="0"/>
        <item t="default"/>
      </items>
    </pivotField>
    <pivotField name="Return of break down data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Upload time" dataField="1" compact="0" outline="0" multipleItemSelectionAllowed="1" showAll="0">
      <items>
        <item x="0"/>
        <item x="1"/>
        <item t="default"/>
      </items>
    </pivotField>
    <pivotField name="Breakdown time" dataField="1" compact="0" outline="0" multipleItemSelectionAllowed="1" showAll="0">
      <items>
        <item x="0"/>
        <item t="default"/>
      </items>
    </pivotField>
    <pivotField name="Game time" dataField="1" compact="0" outline="0" multipleItemSelectionAllowed="1" showAll="0">
      <items>
        <item x="0"/>
        <item t="default"/>
      </items>
    </pivotField>
  </pivotFields>
  <rowFields>
    <field x="1"/>
  </rowFields>
  <colFields>
    <field x="-2"/>
  </colFields>
  <dataFields>
    <dataField name="AVERAGE of Upload time" fld="36" subtotal="average" baseField="0"/>
    <dataField name="MAX of Upload time" fld="36" subtotal="max" baseField="0"/>
    <dataField name="AVERAGE of Breakdown time" fld="37" subtotal="average" baseField="0"/>
    <dataField name="MAX of Breakdown time" fld="37" subtotal="max" baseField="0"/>
    <dataField name="AVERAGE of Game time" fld="38" subtotal="average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mailto:skjernvej12@gmail.com" TargetMode="External"/><Relationship Id="rId10" Type="http://schemas.openxmlformats.org/officeDocument/2006/relationships/hyperlink" Target="mailto:mads_aakjaer@hotmail.com" TargetMode="External"/><Relationship Id="rId13" Type="http://schemas.openxmlformats.org/officeDocument/2006/relationships/hyperlink" Target="mailto:mohammed780_2@hotmail.com" TargetMode="External"/><Relationship Id="rId12" Type="http://schemas.openxmlformats.org/officeDocument/2006/relationships/hyperlink" Target="mailto:dommer484@gmail.com" TargetMode="External"/><Relationship Id="rId1" Type="http://schemas.openxmlformats.org/officeDocument/2006/relationships/hyperlink" Target="mailto:jeppe_s_holm@hotmail.com" TargetMode="External"/><Relationship Id="rId2" Type="http://schemas.openxmlformats.org/officeDocument/2006/relationships/hyperlink" Target="mailto:nordberg20@gmail.com" TargetMode="External"/><Relationship Id="rId3" Type="http://schemas.openxmlformats.org/officeDocument/2006/relationships/hyperlink" Target="mailto:emilriisgaard@hotmail.com" TargetMode="External"/><Relationship Id="rId4" Type="http://schemas.openxmlformats.org/officeDocument/2006/relationships/hyperlink" Target="mailto:erikrasmussen23@gmail.com" TargetMode="External"/><Relationship Id="rId9" Type="http://schemas.openxmlformats.org/officeDocument/2006/relationships/hyperlink" Target="mailto:jonaskrum@gmail.com" TargetMode="External"/><Relationship Id="rId15" Type="http://schemas.openxmlformats.org/officeDocument/2006/relationships/hyperlink" Target="mailto:thsiggaard@gmail.com" TargetMode="External"/><Relationship Id="rId14" Type="http://schemas.openxmlformats.org/officeDocument/2006/relationships/hyperlink" Target="mailto:michael.g.rahbek@gmail.com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mailto:vincentnordkov@hotmail.com" TargetMode="External"/><Relationship Id="rId5" Type="http://schemas.openxmlformats.org/officeDocument/2006/relationships/hyperlink" Target="mailto:fk110871@gmail.com" TargetMode="External"/><Relationship Id="rId6" Type="http://schemas.openxmlformats.org/officeDocument/2006/relationships/hyperlink" Target="mailto:k.m.larzen@gmail.com" TargetMode="External"/><Relationship Id="rId7" Type="http://schemas.openxmlformats.org/officeDocument/2006/relationships/hyperlink" Target="mailto:kim.johannsen@gmail.com" TargetMode="External"/><Relationship Id="rId8" Type="http://schemas.openxmlformats.org/officeDocument/2006/relationships/hyperlink" Target="mailto:mrtn.mkklsn@gmail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mailto:christian@technobabble.dk" TargetMode="External"/><Relationship Id="rId2" Type="http://schemas.openxmlformats.org/officeDocument/2006/relationships/hyperlink" Target="mailto:pray@live.dk" TargetMode="External"/><Relationship Id="rId3" Type="http://schemas.openxmlformats.org/officeDocument/2006/relationships/hyperlink" Target="mailto:airulf@hotmail.com" TargetMode="External"/><Relationship Id="rId4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2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13"/>
    <col customWidth="1" min="2" max="2" width="7.25"/>
    <col customWidth="1" min="3" max="3" width="6.88"/>
    <col customWidth="1" min="4" max="4" width="4.75"/>
    <col customWidth="1" min="5" max="5" width="9.13"/>
    <col customWidth="1" min="6" max="6" width="8.88"/>
    <col customWidth="1" min="7" max="7" width="15.13"/>
    <col customWidth="1" min="8" max="8" width="12.0"/>
    <col customWidth="1" min="9" max="9" width="9.25"/>
    <col customWidth="1" min="10" max="10" width="11.75"/>
    <col customWidth="1" min="11" max="11" width="9.5"/>
    <col customWidth="1" min="12" max="12" width="6.75"/>
    <col customWidth="1" min="13" max="16" width="5.88"/>
    <col customWidth="1" min="17" max="17" width="40.0"/>
    <col customWidth="1" min="18" max="18" width="16.88"/>
    <col customWidth="1" hidden="1" min="19" max="19" width="5.38"/>
    <col customWidth="1" hidden="1" min="20" max="20" width="5.25"/>
    <col customWidth="1" hidden="1" min="21" max="21" width="6.5"/>
    <col customWidth="1" min="22" max="22" width="23.75"/>
    <col customWidth="1" min="23" max="23" width="14.75"/>
    <col customWidth="1" min="24" max="24" width="17.0"/>
    <col customWidth="1" min="25" max="25" width="7.63"/>
    <col customWidth="1" min="26" max="26" width="5.5"/>
    <col customWidth="1" min="27" max="27" width="11.13"/>
    <col customWidth="1" min="28" max="28" width="16.88"/>
    <col customWidth="1" min="29" max="29" width="9.25"/>
    <col customWidth="1" min="30" max="30" width="8.75"/>
    <col customWidth="1" min="31" max="31" width="9.75"/>
    <col customWidth="1" min="32" max="32" width="14.25"/>
    <col customWidth="1" min="33" max="33" width="14.38"/>
    <col customWidth="1" min="34" max="34" width="13.0"/>
    <col customWidth="1" min="35" max="35" width="9.63"/>
    <col customWidth="1" min="36" max="36" width="12.63"/>
    <col customWidth="1" min="37" max="37" width="9.88"/>
    <col customWidth="1" min="38" max="38" width="13.0"/>
    <col customWidth="1" min="39" max="39" width="9.13"/>
    <col customWidth="1" min="40" max="42" width="15.13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2" t="s">
        <v>23</v>
      </c>
      <c r="Y1" s="2" t="s">
        <v>24</v>
      </c>
      <c r="Z1" s="3" t="s">
        <v>25</v>
      </c>
      <c r="AA1" s="2" t="s">
        <v>26</v>
      </c>
      <c r="AB1" s="4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0</v>
      </c>
      <c r="AK1" s="5" t="s">
        <v>35</v>
      </c>
      <c r="AL1" s="5" t="s">
        <v>36</v>
      </c>
      <c r="AM1" s="5" t="s">
        <v>37</v>
      </c>
      <c r="AN1" s="5"/>
      <c r="AO1" s="5"/>
      <c r="AP1" s="5"/>
    </row>
    <row r="2" ht="15.75" customHeight="1">
      <c r="A2" s="6" t="s">
        <v>38</v>
      </c>
      <c r="B2" s="6">
        <v>0.0</v>
      </c>
      <c r="C2" s="7" t="s">
        <v>39</v>
      </c>
      <c r="D2" s="7">
        <v>29.0</v>
      </c>
      <c r="E2" s="7" t="s">
        <v>40</v>
      </c>
      <c r="F2" s="8">
        <v>0.5833333333333334</v>
      </c>
      <c r="G2" s="9" t="s">
        <v>41</v>
      </c>
      <c r="H2" s="9" t="s">
        <v>42</v>
      </c>
      <c r="I2" s="10" t="s">
        <v>43</v>
      </c>
      <c r="J2" s="10" t="s">
        <v>44</v>
      </c>
      <c r="K2" s="10" t="s">
        <v>45</v>
      </c>
      <c r="L2" s="10"/>
      <c r="M2" s="9"/>
      <c r="N2" s="9"/>
      <c r="O2" s="9"/>
      <c r="P2" s="9"/>
      <c r="Q2" s="11" t="s">
        <v>46</v>
      </c>
      <c r="R2" s="12">
        <v>1.0</v>
      </c>
      <c r="S2" s="7"/>
      <c r="T2" s="7"/>
      <c r="U2" s="7"/>
      <c r="V2" s="13"/>
      <c r="W2" s="13"/>
      <c r="X2" s="14"/>
      <c r="Y2" s="14"/>
      <c r="Z2" s="14"/>
      <c r="AA2" s="15"/>
      <c r="AB2" s="5"/>
      <c r="AC2" s="16"/>
      <c r="AD2" s="16"/>
      <c r="AE2" s="17"/>
      <c r="AF2" s="18"/>
      <c r="AG2" s="19"/>
      <c r="AH2" s="16"/>
      <c r="AI2" s="19"/>
      <c r="AJ2" s="19"/>
      <c r="AK2" s="20"/>
      <c r="AL2" s="21"/>
      <c r="AM2" s="22"/>
      <c r="AN2" s="22"/>
      <c r="AO2" s="22"/>
      <c r="AP2" s="22"/>
    </row>
    <row r="3" ht="15.75" customHeight="1">
      <c r="A3" s="6" t="s">
        <v>38</v>
      </c>
      <c r="B3" s="6">
        <v>0.0</v>
      </c>
      <c r="C3" s="7" t="s">
        <v>39</v>
      </c>
      <c r="D3" s="7">
        <v>29.0</v>
      </c>
      <c r="E3" s="23" t="s">
        <v>40</v>
      </c>
      <c r="F3" s="8">
        <v>0.5833333333333334</v>
      </c>
      <c r="G3" s="9" t="s">
        <v>47</v>
      </c>
      <c r="H3" s="9" t="s">
        <v>48</v>
      </c>
      <c r="I3" s="10" t="s">
        <v>49</v>
      </c>
      <c r="J3" s="10" t="s">
        <v>50</v>
      </c>
      <c r="K3" s="10" t="s">
        <v>51</v>
      </c>
      <c r="L3" s="10" t="s">
        <v>52</v>
      </c>
      <c r="M3" s="9"/>
      <c r="N3" s="9"/>
      <c r="O3" s="9"/>
      <c r="P3" s="9"/>
      <c r="Q3" s="24" t="s">
        <v>53</v>
      </c>
      <c r="R3" s="12">
        <v>5.0</v>
      </c>
      <c r="S3" s="7"/>
      <c r="T3" s="7"/>
      <c r="U3" s="7"/>
      <c r="V3" s="13"/>
      <c r="W3" s="13"/>
      <c r="X3" s="14"/>
      <c r="Y3" s="14"/>
      <c r="Z3" s="14"/>
      <c r="AA3" s="15"/>
      <c r="AB3" s="5"/>
      <c r="AC3" s="16"/>
      <c r="AD3" s="16"/>
      <c r="AE3" s="17"/>
      <c r="AF3" s="18"/>
      <c r="AG3" s="19"/>
      <c r="AH3" s="16"/>
      <c r="AI3" s="19"/>
      <c r="AJ3" s="19"/>
      <c r="AK3" s="20"/>
      <c r="AL3" s="21"/>
      <c r="AM3" s="22"/>
      <c r="AN3" s="22"/>
      <c r="AO3" s="22"/>
      <c r="AP3" s="22"/>
    </row>
    <row r="4" ht="15.75" customHeight="1">
      <c r="A4" s="6" t="s">
        <v>38</v>
      </c>
      <c r="B4" s="6">
        <v>0.0</v>
      </c>
      <c r="C4" s="7" t="s">
        <v>54</v>
      </c>
      <c r="D4" s="7">
        <v>30.0</v>
      </c>
      <c r="E4" s="7" t="s">
        <v>40</v>
      </c>
      <c r="F4" s="8">
        <v>0.5833333333333334</v>
      </c>
      <c r="G4" s="9" t="s">
        <v>55</v>
      </c>
      <c r="H4" s="9" t="s">
        <v>56</v>
      </c>
      <c r="I4" s="10" t="s">
        <v>57</v>
      </c>
      <c r="J4" s="10" t="s">
        <v>58</v>
      </c>
      <c r="K4" s="10" t="s">
        <v>59</v>
      </c>
      <c r="L4" s="10" t="s">
        <v>50</v>
      </c>
      <c r="M4" s="9"/>
      <c r="N4" s="9"/>
      <c r="O4" s="9"/>
      <c r="P4" s="9"/>
      <c r="Q4" s="24" t="s">
        <v>60</v>
      </c>
      <c r="R4" s="12">
        <v>0.0</v>
      </c>
      <c r="S4" s="7"/>
      <c r="T4" s="7"/>
      <c r="U4" s="7"/>
      <c r="V4" s="13"/>
      <c r="W4" s="13"/>
      <c r="X4" s="14"/>
      <c r="Y4" s="14"/>
      <c r="Z4" s="14"/>
      <c r="AA4" s="15"/>
      <c r="AB4" s="5"/>
      <c r="AC4" s="16"/>
      <c r="AD4" s="16"/>
      <c r="AE4" s="17"/>
      <c r="AF4" s="18"/>
      <c r="AG4" s="19"/>
      <c r="AH4" s="16"/>
      <c r="AI4" s="19"/>
      <c r="AJ4" s="19"/>
      <c r="AK4" s="20"/>
      <c r="AL4" s="21"/>
      <c r="AM4" s="22"/>
      <c r="AN4" s="22"/>
      <c r="AO4" s="22"/>
      <c r="AP4" s="22"/>
    </row>
    <row r="5" ht="15.75" customHeight="1">
      <c r="A5" s="6" t="s">
        <v>38</v>
      </c>
      <c r="B5" s="6">
        <v>1.0</v>
      </c>
      <c r="C5" s="7" t="s">
        <v>39</v>
      </c>
      <c r="D5" s="7">
        <v>5.0</v>
      </c>
      <c r="E5" s="7" t="s">
        <v>61</v>
      </c>
      <c r="F5" s="8">
        <v>0.5833333333333334</v>
      </c>
      <c r="G5" s="9" t="s">
        <v>56</v>
      </c>
      <c r="H5" s="9" t="s">
        <v>62</v>
      </c>
      <c r="I5" s="10" t="s">
        <v>63</v>
      </c>
      <c r="J5" s="10" t="s">
        <v>44</v>
      </c>
      <c r="K5" s="10" t="s">
        <v>43</v>
      </c>
      <c r="L5" s="10" t="s">
        <v>64</v>
      </c>
      <c r="M5" s="9"/>
      <c r="N5" s="9"/>
      <c r="O5" s="9"/>
      <c r="P5" s="9"/>
      <c r="Q5" s="24" t="s">
        <v>65</v>
      </c>
      <c r="R5" s="12">
        <v>0.0</v>
      </c>
      <c r="S5" s="7"/>
      <c r="T5" s="7"/>
      <c r="U5" s="7"/>
      <c r="V5" s="13"/>
      <c r="W5" s="13"/>
      <c r="X5" s="14"/>
      <c r="Y5" s="14"/>
      <c r="Z5" s="14"/>
      <c r="AA5" s="15"/>
      <c r="AB5" s="5"/>
      <c r="AC5" s="16"/>
      <c r="AD5" s="16"/>
      <c r="AE5" s="17"/>
      <c r="AF5" s="18"/>
      <c r="AG5" s="19"/>
      <c r="AH5" s="16"/>
      <c r="AI5" s="19"/>
      <c r="AJ5" s="19"/>
      <c r="AK5" s="20"/>
      <c r="AL5" s="21"/>
      <c r="AM5" s="22"/>
      <c r="AN5" s="22"/>
      <c r="AO5" s="22"/>
      <c r="AP5" s="22"/>
    </row>
    <row r="6" ht="15.75" customHeight="1">
      <c r="A6" s="25" t="s">
        <v>38</v>
      </c>
      <c r="B6" s="25">
        <v>1.0</v>
      </c>
      <c r="C6" s="26" t="s">
        <v>54</v>
      </c>
      <c r="D6" s="26">
        <v>6.0</v>
      </c>
      <c r="E6" s="26" t="s">
        <v>61</v>
      </c>
      <c r="F6" s="27">
        <v>0.5833333333333334</v>
      </c>
      <c r="G6" s="28" t="s">
        <v>47</v>
      </c>
      <c r="H6" s="28" t="s">
        <v>41</v>
      </c>
      <c r="I6" s="29" t="s">
        <v>66</v>
      </c>
      <c r="J6" s="29" t="s">
        <v>67</v>
      </c>
      <c r="K6" s="29" t="s">
        <v>49</v>
      </c>
      <c r="L6" s="29" t="s">
        <v>59</v>
      </c>
      <c r="M6" s="28"/>
      <c r="N6" s="28"/>
      <c r="O6" s="28"/>
      <c r="P6" s="28"/>
      <c r="Q6" s="30" t="s">
        <v>68</v>
      </c>
      <c r="R6" s="31">
        <v>0.0</v>
      </c>
      <c r="S6" s="32"/>
      <c r="T6" s="32"/>
      <c r="U6" s="32"/>
      <c r="V6" s="32"/>
      <c r="W6" s="32"/>
      <c r="X6" s="15"/>
      <c r="Y6" s="15"/>
      <c r="Z6" s="15"/>
      <c r="AA6" s="15"/>
      <c r="AB6" s="5"/>
      <c r="AC6" s="16"/>
      <c r="AD6" s="16"/>
      <c r="AE6" s="17"/>
      <c r="AF6" s="18"/>
      <c r="AG6" s="19"/>
      <c r="AH6" s="16"/>
      <c r="AI6" s="19"/>
      <c r="AJ6" s="19"/>
      <c r="AK6" s="20"/>
      <c r="AL6" s="21"/>
      <c r="AM6" s="22"/>
      <c r="AN6" s="22"/>
      <c r="AO6" s="22"/>
      <c r="AP6" s="22"/>
    </row>
    <row r="7" ht="15.75" customHeight="1">
      <c r="A7" s="33" t="s">
        <v>69</v>
      </c>
      <c r="B7" s="34">
        <v>2.0</v>
      </c>
      <c r="C7" s="35" t="s">
        <v>39</v>
      </c>
      <c r="D7" s="36">
        <v>12.0</v>
      </c>
      <c r="E7" s="35" t="s">
        <v>61</v>
      </c>
      <c r="F7" s="37">
        <v>0.5416666666666666</v>
      </c>
      <c r="G7" s="9" t="s">
        <v>41</v>
      </c>
      <c r="H7" s="9" t="s">
        <v>70</v>
      </c>
      <c r="I7" s="38" t="s">
        <v>49</v>
      </c>
      <c r="J7" s="39" t="s">
        <v>71</v>
      </c>
      <c r="K7" s="40" t="s">
        <v>50</v>
      </c>
      <c r="L7" s="39" t="s">
        <v>72</v>
      </c>
      <c r="M7" s="40" t="s">
        <v>45</v>
      </c>
      <c r="N7" s="40" t="s">
        <v>73</v>
      </c>
      <c r="O7" s="40" t="s">
        <v>66</v>
      </c>
      <c r="P7" s="41"/>
      <c r="Q7" s="11"/>
      <c r="R7" s="42"/>
      <c r="S7" s="5"/>
      <c r="T7" s="5"/>
      <c r="U7" s="5"/>
      <c r="V7" s="42"/>
      <c r="W7" s="42"/>
      <c r="X7" s="15"/>
      <c r="Y7" s="15"/>
      <c r="Z7" s="15"/>
      <c r="AA7" s="15"/>
      <c r="AB7" s="43" t="str">
        <f t="shared" ref="AB7:AB32" si="1">D7&amp;E7&amp;"-"&amp;G7&amp;"-v-"&amp;H7</f>
        <v>12April-Tigers-v-89ers</v>
      </c>
      <c r="AC7" s="16"/>
      <c r="AD7" s="16"/>
      <c r="AE7" s="17"/>
      <c r="AF7" s="18"/>
      <c r="AG7" s="19"/>
      <c r="AH7" s="16"/>
      <c r="AI7" s="19"/>
      <c r="AJ7" s="19"/>
      <c r="AK7" s="20"/>
      <c r="AL7" s="21"/>
      <c r="AM7" s="22"/>
      <c r="AN7" s="22"/>
      <c r="AO7" s="22"/>
      <c r="AP7" s="22"/>
    </row>
    <row r="8" ht="15.75" customHeight="1">
      <c r="A8" s="33" t="s">
        <v>69</v>
      </c>
      <c r="B8" s="44">
        <v>2.0</v>
      </c>
      <c r="C8" s="35" t="s">
        <v>54</v>
      </c>
      <c r="D8" s="36">
        <v>13.0</v>
      </c>
      <c r="E8" s="35" t="s">
        <v>61</v>
      </c>
      <c r="F8" s="37">
        <v>0.5416666666666666</v>
      </c>
      <c r="G8" s="9" t="s">
        <v>47</v>
      </c>
      <c r="H8" s="9" t="s">
        <v>56</v>
      </c>
      <c r="I8" s="45" t="s">
        <v>57</v>
      </c>
      <c r="J8" s="46" t="s">
        <v>50</v>
      </c>
      <c r="K8" s="46" t="s">
        <v>67</v>
      </c>
      <c r="L8" s="46" t="s">
        <v>74</v>
      </c>
      <c r="M8" s="46" t="s">
        <v>51</v>
      </c>
      <c r="N8" s="46" t="s">
        <v>52</v>
      </c>
      <c r="O8" s="46" t="s">
        <v>59</v>
      </c>
      <c r="P8" s="47"/>
      <c r="Q8" s="48"/>
      <c r="R8" s="49"/>
      <c r="S8" s="5"/>
      <c r="T8" s="5"/>
      <c r="U8" s="5"/>
      <c r="V8" s="42"/>
      <c r="W8" s="42"/>
      <c r="X8" s="15"/>
      <c r="Y8" s="15"/>
      <c r="Z8" s="15"/>
      <c r="AA8" s="15"/>
      <c r="AB8" s="43" t="str">
        <f t="shared" si="1"/>
        <v>13April-Oaks-v-Razorbacks</v>
      </c>
      <c r="AC8" s="16"/>
      <c r="AD8" s="16"/>
      <c r="AE8" s="17"/>
      <c r="AF8" s="18"/>
      <c r="AG8" s="19"/>
      <c r="AH8" s="16"/>
      <c r="AI8" s="19"/>
      <c r="AJ8" s="19"/>
      <c r="AK8" s="20"/>
      <c r="AL8" s="21"/>
      <c r="AM8" s="22"/>
      <c r="AN8" s="22"/>
      <c r="AO8" s="22"/>
      <c r="AP8" s="22"/>
    </row>
    <row r="9" ht="15.75" customHeight="1">
      <c r="A9" s="33" t="s">
        <v>69</v>
      </c>
      <c r="B9" s="44">
        <v>4.0</v>
      </c>
      <c r="C9" s="35" t="s">
        <v>54</v>
      </c>
      <c r="D9" s="36">
        <v>27.0</v>
      </c>
      <c r="E9" s="35" t="s">
        <v>61</v>
      </c>
      <c r="F9" s="37">
        <v>0.5416666666666666</v>
      </c>
      <c r="G9" s="9" t="s">
        <v>56</v>
      </c>
      <c r="H9" s="9" t="s">
        <v>70</v>
      </c>
      <c r="I9" s="50" t="s">
        <v>75</v>
      </c>
      <c r="J9" s="50" t="s">
        <v>76</v>
      </c>
      <c r="K9" s="45" t="s">
        <v>63</v>
      </c>
      <c r="L9" s="51" t="s">
        <v>77</v>
      </c>
      <c r="M9" s="46" t="s">
        <v>52</v>
      </c>
      <c r="N9" s="46" t="s">
        <v>66</v>
      </c>
      <c r="O9" s="46" t="s">
        <v>73</v>
      </c>
      <c r="P9" s="52"/>
      <c r="Q9" s="11"/>
      <c r="R9" s="13"/>
      <c r="S9" s="13"/>
      <c r="T9" s="53"/>
      <c r="U9" s="53"/>
      <c r="V9" s="13"/>
      <c r="W9" s="13"/>
      <c r="X9" s="11"/>
      <c r="Y9" s="15"/>
      <c r="Z9" s="15"/>
      <c r="AA9" s="15"/>
      <c r="AB9" s="43" t="str">
        <f t="shared" si="1"/>
        <v>27April-Razorbacks-v-89ers</v>
      </c>
      <c r="AC9" s="16"/>
      <c r="AD9" s="16"/>
      <c r="AE9" s="17"/>
      <c r="AF9" s="18"/>
      <c r="AG9" s="19"/>
      <c r="AH9" s="16"/>
      <c r="AI9" s="19"/>
      <c r="AJ9" s="19"/>
      <c r="AK9" s="20"/>
      <c r="AL9" s="21"/>
      <c r="AM9" s="22"/>
      <c r="AN9" s="22"/>
      <c r="AO9" s="22"/>
      <c r="AP9" s="22"/>
    </row>
    <row r="10" ht="15.0" customHeight="1">
      <c r="A10" s="33" t="s">
        <v>69</v>
      </c>
      <c r="B10" s="44">
        <v>4.0</v>
      </c>
      <c r="C10" s="35" t="s">
        <v>54</v>
      </c>
      <c r="D10" s="36">
        <v>27.0</v>
      </c>
      <c r="E10" s="35" t="s">
        <v>61</v>
      </c>
      <c r="F10" s="37">
        <v>0.5416666666666666</v>
      </c>
      <c r="G10" s="9" t="s">
        <v>41</v>
      </c>
      <c r="H10" s="54" t="s">
        <v>78</v>
      </c>
      <c r="I10" s="45" t="s">
        <v>57</v>
      </c>
      <c r="J10" s="46" t="s">
        <v>44</v>
      </c>
      <c r="K10" s="46" t="s">
        <v>79</v>
      </c>
      <c r="L10" s="46" t="s">
        <v>49</v>
      </c>
      <c r="M10" s="46" t="s">
        <v>45</v>
      </c>
      <c r="N10" s="46" t="s">
        <v>80</v>
      </c>
      <c r="O10" s="46" t="s">
        <v>51</v>
      </c>
      <c r="P10" s="46"/>
      <c r="Q10" s="11" t="s">
        <v>81</v>
      </c>
      <c r="R10" s="13"/>
      <c r="S10" s="13"/>
      <c r="T10" s="55"/>
      <c r="U10" s="55"/>
      <c r="V10" s="13"/>
      <c r="W10" s="13"/>
      <c r="X10" s="11"/>
      <c r="Y10" s="15"/>
      <c r="Z10" s="15"/>
      <c r="AA10" s="15"/>
      <c r="AB10" s="43" t="str">
        <f t="shared" si="1"/>
        <v>27April-Tigers-v-Gold_Diggers</v>
      </c>
      <c r="AC10" s="16"/>
      <c r="AD10" s="16"/>
      <c r="AE10" s="17"/>
      <c r="AF10" s="18"/>
      <c r="AG10" s="19"/>
      <c r="AH10" s="16"/>
      <c r="AI10" s="19"/>
      <c r="AJ10" s="19"/>
      <c r="AK10" s="20"/>
      <c r="AL10" s="21"/>
      <c r="AM10" s="22"/>
      <c r="AN10" s="22"/>
      <c r="AO10" s="22"/>
      <c r="AP10" s="22"/>
    </row>
    <row r="11" ht="15.75" customHeight="1">
      <c r="A11" s="33" t="s">
        <v>69</v>
      </c>
      <c r="B11" s="44">
        <v>5.0</v>
      </c>
      <c r="C11" s="35" t="s">
        <v>82</v>
      </c>
      <c r="D11" s="36">
        <v>2.0</v>
      </c>
      <c r="E11" s="35" t="s">
        <v>83</v>
      </c>
      <c r="F11" s="37">
        <v>0.7916666666666666</v>
      </c>
      <c r="G11" s="9" t="s">
        <v>47</v>
      </c>
      <c r="H11" s="9" t="s">
        <v>55</v>
      </c>
      <c r="I11" s="45" t="s">
        <v>67</v>
      </c>
      <c r="J11" s="46" t="s">
        <v>57</v>
      </c>
      <c r="K11" s="46" t="s">
        <v>84</v>
      </c>
      <c r="L11" s="46" t="s">
        <v>49</v>
      </c>
      <c r="M11" s="56" t="s">
        <v>85</v>
      </c>
      <c r="N11" s="46" t="s">
        <v>66</v>
      </c>
      <c r="O11" s="46" t="s">
        <v>73</v>
      </c>
      <c r="P11" s="9"/>
      <c r="Q11" s="48"/>
      <c r="R11" s="13"/>
      <c r="S11" s="7">
        <f>COUNTIF('Status data'!$A5:$H5,"1")</f>
        <v>0</v>
      </c>
      <c r="T11" s="7">
        <f>COUNTIF('Status data'!$A5:$H5,"2")</f>
        <v>0</v>
      </c>
      <c r="U11" s="7">
        <f>COUNTIF('Status data'!$A5:$H5,"3")</f>
        <v>0</v>
      </c>
      <c r="V11" s="13"/>
      <c r="W11" s="42"/>
      <c r="X11" s="15"/>
      <c r="Y11" s="15"/>
      <c r="Z11" s="15"/>
      <c r="AA11" s="15"/>
      <c r="AB11" s="43" t="str">
        <f t="shared" si="1"/>
        <v>2Maj-Oaks-v-Towers</v>
      </c>
      <c r="AC11" s="16"/>
      <c r="AD11" s="16"/>
      <c r="AE11" s="17"/>
      <c r="AF11" s="18"/>
      <c r="AG11" s="19"/>
      <c r="AH11" s="16"/>
      <c r="AI11" s="19"/>
      <c r="AJ11" s="19"/>
      <c r="AK11" s="20"/>
      <c r="AL11" s="21"/>
      <c r="AM11" s="22"/>
      <c r="AN11" s="22"/>
      <c r="AO11" s="22"/>
      <c r="AP11" s="22"/>
    </row>
    <row r="12" ht="15.75" customHeight="1">
      <c r="A12" s="6" t="s">
        <v>69</v>
      </c>
      <c r="B12" s="44">
        <v>6.0</v>
      </c>
      <c r="C12" s="7" t="s">
        <v>39</v>
      </c>
      <c r="D12" s="57">
        <v>10.0</v>
      </c>
      <c r="E12" s="7" t="s">
        <v>83</v>
      </c>
      <c r="F12" s="8">
        <v>0.5416666666666666</v>
      </c>
      <c r="G12" s="9" t="s">
        <v>70</v>
      </c>
      <c r="H12" s="9" t="s">
        <v>47</v>
      </c>
      <c r="I12" s="10" t="s">
        <v>64</v>
      </c>
      <c r="J12" s="10" t="s">
        <v>44</v>
      </c>
      <c r="K12" s="58" t="s">
        <v>63</v>
      </c>
      <c r="L12" s="10" t="s">
        <v>86</v>
      </c>
      <c r="M12" s="10" t="s">
        <v>45</v>
      </c>
      <c r="N12" s="10" t="s">
        <v>80</v>
      </c>
      <c r="O12" s="10" t="s">
        <v>59</v>
      </c>
      <c r="P12" s="9"/>
      <c r="Q12" s="48"/>
      <c r="R12" s="13"/>
      <c r="S12" s="7">
        <f>COUNTIF('Status data'!$A6:$H6,"1")</f>
        <v>2</v>
      </c>
      <c r="T12" s="7">
        <f>COUNTIF('Status data'!$A6:$H6,"2")</f>
        <v>1</v>
      </c>
      <c r="U12" s="7">
        <f>COUNTIF('Status data'!$A6:$H6,"3")</f>
        <v>1</v>
      </c>
      <c r="V12" s="13"/>
      <c r="W12" s="13"/>
      <c r="X12" s="14"/>
      <c r="Y12" s="14"/>
      <c r="Z12" s="14"/>
      <c r="AA12" s="14"/>
      <c r="AB12" s="43" t="str">
        <f t="shared" si="1"/>
        <v>10Maj-89ers-v-Oaks</v>
      </c>
      <c r="AC12" s="16"/>
      <c r="AD12" s="16"/>
      <c r="AE12" s="16"/>
      <c r="AF12" s="18"/>
      <c r="AG12" s="19"/>
      <c r="AH12" s="59"/>
      <c r="AI12" s="19"/>
      <c r="AJ12" s="19"/>
      <c r="AK12" s="20"/>
      <c r="AL12" s="21"/>
      <c r="AM12" s="22"/>
      <c r="AN12" s="22"/>
      <c r="AO12" s="22"/>
      <c r="AP12" s="22"/>
    </row>
    <row r="13" ht="15.75" customHeight="1">
      <c r="A13" s="6" t="s">
        <v>69</v>
      </c>
      <c r="B13" s="44">
        <v>6.0</v>
      </c>
      <c r="C13" s="7" t="s">
        <v>54</v>
      </c>
      <c r="D13" s="57">
        <v>11.0</v>
      </c>
      <c r="E13" s="7" t="s">
        <v>83</v>
      </c>
      <c r="F13" s="8">
        <v>0.5416666666666666</v>
      </c>
      <c r="G13" s="54" t="s">
        <v>78</v>
      </c>
      <c r="H13" s="9" t="s">
        <v>41</v>
      </c>
      <c r="I13" s="10" t="s">
        <v>58</v>
      </c>
      <c r="J13" s="10" t="s">
        <v>57</v>
      </c>
      <c r="K13" s="10" t="s">
        <v>84</v>
      </c>
      <c r="L13" s="58" t="s">
        <v>50</v>
      </c>
      <c r="M13" s="10" t="s">
        <v>51</v>
      </c>
      <c r="N13" s="10" t="s">
        <v>66</v>
      </c>
      <c r="O13" s="10" t="s">
        <v>52</v>
      </c>
      <c r="P13" s="58"/>
      <c r="Q13" s="11" t="s">
        <v>87</v>
      </c>
      <c r="R13" s="13"/>
      <c r="S13" s="7">
        <f>COUNTIF('Status data'!$A7:$H7,"1")</f>
        <v>0</v>
      </c>
      <c r="T13" s="7">
        <f>COUNTIF('Status data'!$A7:$H7,"2")</f>
        <v>0</v>
      </c>
      <c r="U13" s="7">
        <f>COUNTIF('Status data'!$A7:$H7,"3")</f>
        <v>0</v>
      </c>
      <c r="V13" s="13"/>
      <c r="W13" s="13"/>
      <c r="X13" s="14"/>
      <c r="Y13" s="14"/>
      <c r="Z13" s="14"/>
      <c r="AA13" s="14"/>
      <c r="AB13" s="43" t="str">
        <f t="shared" si="1"/>
        <v>11Maj-Gold_Diggers-v-Tigers</v>
      </c>
      <c r="AC13" s="16"/>
      <c r="AD13" s="16"/>
      <c r="AE13" s="16"/>
      <c r="AF13" s="18"/>
      <c r="AG13" s="19"/>
      <c r="AH13" s="59"/>
      <c r="AI13" s="19"/>
      <c r="AJ13" s="19"/>
      <c r="AK13" s="20"/>
      <c r="AL13" s="21"/>
      <c r="AM13" s="22"/>
      <c r="AN13" s="22"/>
      <c r="AO13" s="22"/>
      <c r="AP13" s="22"/>
    </row>
    <row r="14" ht="15.75" customHeight="1">
      <c r="A14" s="6" t="s">
        <v>69</v>
      </c>
      <c r="B14" s="44">
        <v>8.0</v>
      </c>
      <c r="C14" s="7" t="s">
        <v>39</v>
      </c>
      <c r="D14" s="57">
        <v>24.0</v>
      </c>
      <c r="E14" s="7" t="s">
        <v>83</v>
      </c>
      <c r="F14" s="8">
        <v>0.5416666666666666</v>
      </c>
      <c r="G14" s="9" t="s">
        <v>47</v>
      </c>
      <c r="H14" s="9" t="s">
        <v>41</v>
      </c>
      <c r="I14" s="10" t="s">
        <v>85</v>
      </c>
      <c r="J14" s="10" t="s">
        <v>57</v>
      </c>
      <c r="K14" s="10" t="s">
        <v>84</v>
      </c>
      <c r="L14" s="10" t="s">
        <v>86</v>
      </c>
      <c r="M14" s="58" t="s">
        <v>66</v>
      </c>
      <c r="N14" s="10" t="s">
        <v>88</v>
      </c>
      <c r="O14" s="58" t="s">
        <v>73</v>
      </c>
      <c r="P14" s="58"/>
      <c r="Q14" s="48"/>
      <c r="R14" s="13"/>
      <c r="S14" s="7">
        <f>COUNTIF('Status data'!$A8:$H8,"1")</f>
        <v>0</v>
      </c>
      <c r="T14" s="7">
        <f>COUNTIF('Status data'!$A8:$H8,"2")</f>
        <v>0</v>
      </c>
      <c r="U14" s="7">
        <f>COUNTIF('Status data'!$A8:$H8,"3")</f>
        <v>0</v>
      </c>
      <c r="V14" s="13"/>
      <c r="W14" s="13"/>
      <c r="X14" s="14"/>
      <c r="Y14" s="14"/>
      <c r="Z14" s="14"/>
      <c r="AA14" s="14"/>
      <c r="AB14" s="43" t="str">
        <f t="shared" si="1"/>
        <v>24Maj-Oaks-v-Tigers</v>
      </c>
      <c r="AC14" s="17"/>
      <c r="AD14" s="16"/>
      <c r="AE14" s="60"/>
      <c r="AF14" s="18"/>
      <c r="AG14" s="61"/>
      <c r="AH14" s="62"/>
      <c r="AI14" s="61"/>
      <c r="AJ14" s="61"/>
      <c r="AK14" s="61"/>
      <c r="AL14" s="61"/>
      <c r="AM14" s="61"/>
      <c r="AN14" s="61"/>
      <c r="AO14" s="61"/>
      <c r="AP14" s="61"/>
    </row>
    <row r="15" ht="15.75" customHeight="1">
      <c r="A15" s="6" t="s">
        <v>69</v>
      </c>
      <c r="B15" s="44">
        <v>8.0</v>
      </c>
      <c r="C15" s="7" t="s">
        <v>54</v>
      </c>
      <c r="D15" s="57">
        <v>25.0</v>
      </c>
      <c r="E15" s="7" t="s">
        <v>83</v>
      </c>
      <c r="F15" s="8">
        <v>0.5416666666666666</v>
      </c>
      <c r="G15" s="9" t="s">
        <v>56</v>
      </c>
      <c r="H15" s="54" t="s">
        <v>78</v>
      </c>
      <c r="I15" s="10" t="s">
        <v>64</v>
      </c>
      <c r="J15" s="10" t="s">
        <v>57</v>
      </c>
      <c r="K15" s="10" t="s">
        <v>63</v>
      </c>
      <c r="L15" s="10" t="s">
        <v>59</v>
      </c>
      <c r="M15" s="10" t="s">
        <v>45</v>
      </c>
      <c r="N15" s="10" t="s">
        <v>80</v>
      </c>
      <c r="O15" s="10" t="s">
        <v>49</v>
      </c>
      <c r="P15" s="58"/>
      <c r="Q15" s="48"/>
      <c r="R15" s="13"/>
      <c r="S15" s="7">
        <f>COUNTIF('Status data'!$A9:$H9,"1")</f>
        <v>0</v>
      </c>
      <c r="T15" s="7">
        <f>COUNTIF('Status data'!$A9:$H9,"2")</f>
        <v>0</v>
      </c>
      <c r="U15" s="7">
        <f>COUNTIF('Status data'!$A9:$H9,"3")</f>
        <v>0</v>
      </c>
      <c r="V15" s="13"/>
      <c r="W15" s="13"/>
      <c r="X15" s="14"/>
      <c r="Y15" s="14"/>
      <c r="Z15" s="14"/>
      <c r="AA15" s="14"/>
      <c r="AB15" s="43" t="str">
        <f t="shared" si="1"/>
        <v>25Maj-Razorbacks-v-Gold_Diggers</v>
      </c>
      <c r="AC15" s="17"/>
      <c r="AD15" s="16"/>
      <c r="AE15" s="60"/>
      <c r="AF15" s="18" t="str">
        <f>HOUR(AD15-AC15)&amp;"h"&amp;minute(AD15-AC15)&amp;"m"</f>
        <v>0h0m</v>
      </c>
      <c r="AG15" s="61"/>
      <c r="AH15" s="62"/>
      <c r="AI15" s="61"/>
      <c r="AJ15" s="61"/>
      <c r="AK15" s="61">
        <f>AE15-AD15</f>
        <v>0</v>
      </c>
      <c r="AL15" s="61"/>
      <c r="AM15" s="61"/>
      <c r="AN15" s="61"/>
      <c r="AO15" s="61"/>
      <c r="AP15" s="61"/>
    </row>
    <row r="16" ht="15.75" customHeight="1">
      <c r="A16" s="6" t="s">
        <v>69</v>
      </c>
      <c r="B16" s="44">
        <v>9.0</v>
      </c>
      <c r="C16" s="7" t="s">
        <v>39</v>
      </c>
      <c r="D16" s="57">
        <v>31.0</v>
      </c>
      <c r="E16" s="7" t="s">
        <v>83</v>
      </c>
      <c r="F16" s="8">
        <v>0.5416666666666666</v>
      </c>
      <c r="G16" s="9" t="s">
        <v>70</v>
      </c>
      <c r="H16" s="9" t="s">
        <v>55</v>
      </c>
      <c r="I16" s="10" t="s">
        <v>64</v>
      </c>
      <c r="J16" s="10" t="s">
        <v>44</v>
      </c>
      <c r="K16" s="10" t="s">
        <v>89</v>
      </c>
      <c r="L16" s="10" t="s">
        <v>49</v>
      </c>
      <c r="M16" s="10" t="s">
        <v>45</v>
      </c>
      <c r="N16" s="10" t="s">
        <v>80</v>
      </c>
      <c r="O16" s="10" t="s">
        <v>66</v>
      </c>
      <c r="P16" s="63"/>
      <c r="Q16" s="48" t="s">
        <v>90</v>
      </c>
      <c r="R16" s="13"/>
      <c r="S16" s="7">
        <f>COUNTIF('Status data'!$A10:$H10,"1")</f>
        <v>0</v>
      </c>
      <c r="T16" s="7">
        <f>COUNTIF('Status data'!$A10:$H10,"2")</f>
        <v>0</v>
      </c>
      <c r="U16" s="7">
        <f>COUNTIF('Status data'!$A10:$H10,"3")</f>
        <v>0</v>
      </c>
      <c r="V16" s="13"/>
      <c r="W16" s="13"/>
      <c r="X16" s="14"/>
      <c r="Y16" s="14"/>
      <c r="Z16" s="14"/>
      <c r="AA16" s="14"/>
      <c r="AB16" s="43" t="str">
        <f t="shared" si="1"/>
        <v>31Maj-89ers-v-Towers</v>
      </c>
      <c r="AC16" s="16"/>
      <c r="AD16" s="16"/>
      <c r="AE16" s="64"/>
      <c r="AF16" s="18"/>
      <c r="AG16" s="65"/>
      <c r="AH16" s="61"/>
      <c r="AI16" s="61"/>
      <c r="AJ16" s="61"/>
      <c r="AK16" s="61"/>
      <c r="AL16" s="61"/>
      <c r="AM16" s="61"/>
      <c r="AN16" s="61"/>
      <c r="AO16" s="61"/>
      <c r="AP16" s="61"/>
    </row>
    <row r="17" ht="15.75" customHeight="1">
      <c r="A17" s="6" t="s">
        <v>69</v>
      </c>
      <c r="B17" s="44">
        <v>10.0</v>
      </c>
      <c r="C17" s="7" t="s">
        <v>39</v>
      </c>
      <c r="D17" s="57">
        <v>7.0</v>
      </c>
      <c r="E17" s="7" t="s">
        <v>91</v>
      </c>
      <c r="F17" s="8">
        <v>0.5416666666666666</v>
      </c>
      <c r="G17" s="54" t="s">
        <v>78</v>
      </c>
      <c r="H17" s="9" t="s">
        <v>70</v>
      </c>
      <c r="I17" s="10" t="s">
        <v>85</v>
      </c>
      <c r="J17" s="10" t="s">
        <v>57</v>
      </c>
      <c r="K17" s="10" t="s">
        <v>89</v>
      </c>
      <c r="L17" s="10" t="s">
        <v>59</v>
      </c>
      <c r="M17" s="10" t="s">
        <v>49</v>
      </c>
      <c r="N17" s="10" t="s">
        <v>73</v>
      </c>
      <c r="O17" s="10" t="s">
        <v>66</v>
      </c>
      <c r="P17" s="58"/>
      <c r="Q17" s="48"/>
      <c r="R17" s="13"/>
      <c r="S17" s="7">
        <f>COUNTIF('Status data'!$A11:$H11,"1")</f>
        <v>0</v>
      </c>
      <c r="T17" s="7">
        <f>COUNTIF('Status data'!$A11:$H11,"2")</f>
        <v>0</v>
      </c>
      <c r="U17" s="7">
        <f>COUNTIF('Status data'!$A11:$H11,"3")</f>
        <v>0</v>
      </c>
      <c r="V17" s="13"/>
      <c r="W17" s="13"/>
      <c r="X17" s="14"/>
      <c r="Y17" s="14"/>
      <c r="Z17" s="14"/>
      <c r="AA17" s="14"/>
      <c r="AB17" s="43" t="str">
        <f t="shared" si="1"/>
        <v>7Juni-Gold_Diggers-v-89ers</v>
      </c>
      <c r="AC17" s="16"/>
      <c r="AD17" s="16"/>
      <c r="AE17" s="64"/>
      <c r="AF17" s="18"/>
      <c r="AG17" s="65"/>
      <c r="AH17" s="61"/>
      <c r="AI17" s="61"/>
      <c r="AJ17" s="61"/>
      <c r="AK17" s="61"/>
      <c r="AL17" s="61"/>
      <c r="AM17" s="61"/>
      <c r="AN17" s="61"/>
      <c r="AO17" s="61"/>
      <c r="AP17" s="61"/>
    </row>
    <row r="18" ht="15.75" customHeight="1">
      <c r="A18" s="6" t="s">
        <v>69</v>
      </c>
      <c r="B18" s="44">
        <v>10.0</v>
      </c>
      <c r="C18" s="7" t="s">
        <v>54</v>
      </c>
      <c r="D18" s="57">
        <v>8.0</v>
      </c>
      <c r="E18" s="7" t="s">
        <v>91</v>
      </c>
      <c r="F18" s="8">
        <v>0.5833333333333334</v>
      </c>
      <c r="G18" s="9" t="s">
        <v>56</v>
      </c>
      <c r="H18" s="9" t="s">
        <v>47</v>
      </c>
      <c r="I18" s="10" t="s">
        <v>57</v>
      </c>
      <c r="J18" s="10" t="s">
        <v>44</v>
      </c>
      <c r="K18" s="10" t="s">
        <v>43</v>
      </c>
      <c r="L18" s="10" t="s">
        <v>63</v>
      </c>
      <c r="M18" s="10" t="s">
        <v>52</v>
      </c>
      <c r="N18" s="10" t="s">
        <v>80</v>
      </c>
      <c r="O18" s="10" t="s">
        <v>88</v>
      </c>
      <c r="P18" s="58"/>
      <c r="Q18" s="48" t="s">
        <v>90</v>
      </c>
      <c r="R18" s="13"/>
      <c r="S18" s="7">
        <f>COUNTIF('Status data'!$A12:$H12,"1")</f>
        <v>4</v>
      </c>
      <c r="T18" s="7">
        <f>COUNTIF('Status data'!$A12:$H12,"2")</f>
        <v>0</v>
      </c>
      <c r="U18" s="7">
        <f>COUNTIF('Status data'!$A12:$H12,"3")</f>
        <v>2</v>
      </c>
      <c r="V18" s="13"/>
      <c r="W18" s="7"/>
      <c r="X18" s="14"/>
      <c r="Y18" s="14"/>
      <c r="Z18" s="14"/>
      <c r="AA18" s="14"/>
      <c r="AB18" s="43" t="str">
        <f t="shared" si="1"/>
        <v>8Juni-Razorbacks-v-Oaks</v>
      </c>
      <c r="AC18" s="16"/>
      <c r="AD18" s="16"/>
      <c r="AE18" s="64"/>
      <c r="AF18" s="18"/>
      <c r="AG18" s="65"/>
      <c r="AH18" s="61"/>
      <c r="AI18" s="61"/>
      <c r="AJ18" s="61"/>
      <c r="AK18" s="61"/>
      <c r="AL18" s="61"/>
      <c r="AM18" s="61"/>
      <c r="AN18" s="61"/>
      <c r="AO18" s="61"/>
      <c r="AP18" s="61"/>
    </row>
    <row r="19" ht="15.75" customHeight="1">
      <c r="A19" s="66" t="s">
        <v>69</v>
      </c>
      <c r="B19" s="67">
        <v>12.0</v>
      </c>
      <c r="C19" s="68" t="s">
        <v>54</v>
      </c>
      <c r="D19" s="69">
        <v>22.0</v>
      </c>
      <c r="E19" s="68" t="s">
        <v>91</v>
      </c>
      <c r="F19" s="70">
        <v>0.5416666666666666</v>
      </c>
      <c r="G19" s="71" t="s">
        <v>41</v>
      </c>
      <c r="H19" s="71" t="s">
        <v>56</v>
      </c>
      <c r="I19" s="71"/>
      <c r="J19" s="71"/>
      <c r="K19" s="71"/>
      <c r="L19" s="71"/>
      <c r="M19" s="71"/>
      <c r="N19" s="71"/>
      <c r="O19" s="71"/>
      <c r="P19" s="71"/>
      <c r="Q19" s="48" t="s">
        <v>92</v>
      </c>
      <c r="R19" s="7"/>
      <c r="S19" s="13"/>
      <c r="T19" s="7">
        <f>COUNTIF('Status data'!$A13:$H13,"1")</f>
        <v>0</v>
      </c>
      <c r="U19" s="7">
        <f>COUNTIF('Status data'!$A13:$H13,"2")</f>
        <v>0</v>
      </c>
      <c r="V19" s="7"/>
      <c r="W19" s="13"/>
      <c r="X19" s="14"/>
      <c r="Y19" s="14"/>
      <c r="Z19" s="14"/>
      <c r="AA19" s="14"/>
      <c r="AB19" s="43" t="str">
        <f t="shared" si="1"/>
        <v>22Juni-Tigers-v-Razorbacks</v>
      </c>
      <c r="AC19" s="16"/>
      <c r="AD19" s="16"/>
      <c r="AE19" s="64"/>
      <c r="AF19" s="18"/>
      <c r="AG19" s="65"/>
      <c r="AH19" s="61"/>
      <c r="AI19" s="61"/>
      <c r="AJ19" s="61"/>
      <c r="AK19" s="61"/>
      <c r="AL19" s="61"/>
      <c r="AM19" s="61"/>
      <c r="AN19" s="61"/>
      <c r="AO19" s="61"/>
      <c r="AP19" s="61"/>
    </row>
    <row r="20" ht="15.75" customHeight="1">
      <c r="A20" s="72" t="s">
        <v>69</v>
      </c>
      <c r="B20" s="73">
        <v>12.0</v>
      </c>
      <c r="C20" s="74" t="s">
        <v>54</v>
      </c>
      <c r="D20" s="75">
        <v>22.0</v>
      </c>
      <c r="E20" s="74" t="s">
        <v>91</v>
      </c>
      <c r="F20" s="76">
        <v>0.5416666666666666</v>
      </c>
      <c r="G20" s="77" t="s">
        <v>78</v>
      </c>
      <c r="H20" s="28" t="s">
        <v>55</v>
      </c>
      <c r="I20" s="29" t="s">
        <v>49</v>
      </c>
      <c r="J20" s="29" t="s">
        <v>57</v>
      </c>
      <c r="K20" s="29" t="s">
        <v>84</v>
      </c>
      <c r="L20" s="29" t="s">
        <v>59</v>
      </c>
      <c r="M20" s="29" t="s">
        <v>85</v>
      </c>
      <c r="N20" s="29" t="s">
        <v>73</v>
      </c>
      <c r="O20" s="29" t="s">
        <v>66</v>
      </c>
      <c r="P20" s="78"/>
      <c r="Q20" s="79"/>
      <c r="R20" s="80"/>
      <c r="S20" s="26"/>
      <c r="T20" s="26"/>
      <c r="U20" s="26"/>
      <c r="V20" s="80"/>
      <c r="W20" s="80"/>
      <c r="X20" s="81"/>
      <c r="Y20" s="81"/>
      <c r="Z20" s="81"/>
      <c r="AA20" s="81"/>
      <c r="AB20" s="43" t="str">
        <f t="shared" si="1"/>
        <v>22Juni-Gold_Diggers-v-Towers</v>
      </c>
      <c r="AC20" s="16"/>
      <c r="AD20" s="16"/>
      <c r="AE20" s="64"/>
      <c r="AF20" s="18"/>
      <c r="AG20" s="65"/>
      <c r="AH20" s="61"/>
      <c r="AI20" s="61"/>
      <c r="AJ20" s="61"/>
      <c r="AK20" s="61"/>
      <c r="AL20" s="61"/>
      <c r="AM20" s="61"/>
      <c r="AN20" s="61"/>
      <c r="AO20" s="61"/>
      <c r="AP20" s="61"/>
    </row>
    <row r="21" ht="15.75" customHeight="1">
      <c r="A21" s="33" t="s">
        <v>69</v>
      </c>
      <c r="B21" s="34">
        <v>17.0</v>
      </c>
      <c r="C21" s="35" t="s">
        <v>39</v>
      </c>
      <c r="D21" s="36">
        <v>23.0</v>
      </c>
      <c r="E21" s="35" t="s">
        <v>93</v>
      </c>
      <c r="F21" s="37">
        <v>0.5416666666666666</v>
      </c>
      <c r="G21" s="82" t="s">
        <v>55</v>
      </c>
      <c r="H21" s="82" t="s">
        <v>41</v>
      </c>
      <c r="I21" s="50" t="s">
        <v>75</v>
      </c>
      <c r="J21" s="45" t="s">
        <v>57</v>
      </c>
      <c r="K21" s="45" t="s">
        <v>84</v>
      </c>
      <c r="L21" s="45" t="s">
        <v>94</v>
      </c>
      <c r="M21" s="83" t="s">
        <v>49</v>
      </c>
      <c r="N21" s="45" t="s">
        <v>66</v>
      </c>
      <c r="O21" s="45" t="s">
        <v>73</v>
      </c>
      <c r="P21" s="83"/>
      <c r="Q21" s="11"/>
      <c r="R21" s="84"/>
      <c r="S21" s="85"/>
      <c r="T21" s="85"/>
      <c r="U21" s="85"/>
      <c r="V21" s="84"/>
      <c r="W21" s="84"/>
      <c r="X21" s="86"/>
      <c r="Y21" s="86"/>
      <c r="Z21" s="86"/>
      <c r="AA21" s="86"/>
      <c r="AB21" s="43" t="str">
        <f t="shared" si="1"/>
        <v>23August-Towers-v-Tigers</v>
      </c>
      <c r="AC21" s="16"/>
      <c r="AD21" s="16"/>
      <c r="AE21" s="64"/>
      <c r="AF21" s="18"/>
      <c r="AG21" s="65"/>
      <c r="AH21" s="61"/>
      <c r="AI21" s="61"/>
      <c r="AJ21" s="61"/>
      <c r="AK21" s="61"/>
      <c r="AL21" s="61"/>
      <c r="AM21" s="61"/>
      <c r="AN21" s="61"/>
      <c r="AO21" s="61"/>
      <c r="AP21" s="61"/>
    </row>
    <row r="22" ht="15.75" customHeight="1">
      <c r="A22" s="33" t="s">
        <v>69</v>
      </c>
      <c r="B22" s="44">
        <v>17.0</v>
      </c>
      <c r="C22" s="35" t="s">
        <v>54</v>
      </c>
      <c r="D22" s="36">
        <v>24.0</v>
      </c>
      <c r="E22" s="35" t="s">
        <v>93</v>
      </c>
      <c r="F22" s="37">
        <v>0.5416666666666666</v>
      </c>
      <c r="G22" s="9" t="s">
        <v>70</v>
      </c>
      <c r="H22" s="9" t="s">
        <v>56</v>
      </c>
      <c r="I22" s="10" t="s">
        <v>44</v>
      </c>
      <c r="J22" s="10" t="s">
        <v>95</v>
      </c>
      <c r="K22" s="10" t="s">
        <v>43</v>
      </c>
      <c r="L22" s="10" t="s">
        <v>63</v>
      </c>
      <c r="M22" s="10" t="s">
        <v>45</v>
      </c>
      <c r="N22" s="10" t="s">
        <v>80</v>
      </c>
      <c r="O22" s="10" t="s">
        <v>64</v>
      </c>
      <c r="P22" s="58"/>
      <c r="Q22" s="87"/>
      <c r="R22" s="13"/>
      <c r="S22" s="7">
        <f>COUNTIF('Status data'!$A14:$H14,"1")</f>
        <v>0</v>
      </c>
      <c r="T22" s="7">
        <f>COUNTIF('Status data'!$A14:$H14,"2")</f>
        <v>0</v>
      </c>
      <c r="U22" s="7">
        <f>COUNTIF('Status data'!$A14:$H14,"3")</f>
        <v>0</v>
      </c>
      <c r="V22" s="13"/>
      <c r="W22" s="13"/>
      <c r="X22" s="14"/>
      <c r="Y22" s="14"/>
      <c r="Z22" s="14"/>
      <c r="AA22" s="14"/>
      <c r="AB22" s="43" t="str">
        <f t="shared" si="1"/>
        <v>24August-89ers-v-Razorbacks</v>
      </c>
      <c r="AC22" s="16"/>
      <c r="AD22" s="16"/>
      <c r="AE22" s="64"/>
      <c r="AF22" s="18"/>
      <c r="AG22" s="65"/>
      <c r="AH22" s="61"/>
      <c r="AI22" s="61"/>
      <c r="AJ22" s="61"/>
      <c r="AK22" s="61"/>
      <c r="AL22" s="61"/>
      <c r="AM22" s="61"/>
      <c r="AN22" s="61"/>
      <c r="AO22" s="61"/>
      <c r="AP22" s="61"/>
    </row>
    <row r="23" ht="15.75" customHeight="1">
      <c r="A23" s="33" t="s">
        <v>69</v>
      </c>
      <c r="B23" s="44">
        <v>17.0</v>
      </c>
      <c r="C23" s="35" t="s">
        <v>54</v>
      </c>
      <c r="D23" s="36">
        <v>24.0</v>
      </c>
      <c r="E23" s="35" t="s">
        <v>93</v>
      </c>
      <c r="F23" s="37">
        <v>0.5416666666666666</v>
      </c>
      <c r="G23" s="54" t="s">
        <v>78</v>
      </c>
      <c r="H23" s="9" t="s">
        <v>47</v>
      </c>
      <c r="I23" s="10" t="s">
        <v>49</v>
      </c>
      <c r="J23" s="10" t="s">
        <v>57</v>
      </c>
      <c r="K23" s="50" t="s">
        <v>75</v>
      </c>
      <c r="L23" s="10" t="s">
        <v>86</v>
      </c>
      <c r="M23" s="58" t="s">
        <v>96</v>
      </c>
      <c r="N23" s="10" t="s">
        <v>66</v>
      </c>
      <c r="O23" s="58" t="s">
        <v>52</v>
      </c>
      <c r="P23" s="58"/>
      <c r="Q23" s="88"/>
      <c r="R23" s="13"/>
      <c r="S23" s="7"/>
      <c r="T23" s="7"/>
      <c r="U23" s="7"/>
      <c r="V23" s="13"/>
      <c r="W23" s="13"/>
      <c r="X23" s="14"/>
      <c r="Y23" s="14"/>
      <c r="Z23" s="14"/>
      <c r="AA23" s="14"/>
      <c r="AB23" s="43" t="str">
        <f t="shared" si="1"/>
        <v>24August-Gold_Diggers-v-Oaks</v>
      </c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ht="15.75" customHeight="1">
      <c r="A24" s="6" t="s">
        <v>69</v>
      </c>
      <c r="B24" s="44">
        <v>18.0</v>
      </c>
      <c r="C24" s="7" t="s">
        <v>39</v>
      </c>
      <c r="D24" s="57">
        <v>30.0</v>
      </c>
      <c r="E24" s="7" t="s">
        <v>93</v>
      </c>
      <c r="F24" s="8">
        <v>0.5416666666666666</v>
      </c>
      <c r="G24" s="9" t="s">
        <v>70</v>
      </c>
      <c r="H24" s="54" t="s">
        <v>78</v>
      </c>
      <c r="I24" s="10" t="s">
        <v>64</v>
      </c>
      <c r="J24" s="10" t="s">
        <v>44</v>
      </c>
      <c r="K24" s="10" t="s">
        <v>89</v>
      </c>
      <c r="L24" s="10" t="s">
        <v>43</v>
      </c>
      <c r="M24" s="10" t="s">
        <v>45</v>
      </c>
      <c r="N24" s="10" t="s">
        <v>80</v>
      </c>
      <c r="O24" s="10" t="s">
        <v>97</v>
      </c>
      <c r="P24" s="58"/>
      <c r="Q24" s="24" t="s">
        <v>98</v>
      </c>
      <c r="R24" s="13"/>
      <c r="S24" s="7">
        <f>COUNTIF('Status data'!$A17:$H17,"1")</f>
        <v>0</v>
      </c>
      <c r="T24" s="7">
        <f>COUNTIF('Status data'!$A17:$H17,"2")</f>
        <v>0</v>
      </c>
      <c r="U24" s="7">
        <f>COUNTIF('Status data'!$A17:$H17,"3")</f>
        <v>0</v>
      </c>
      <c r="V24" s="13"/>
      <c r="W24" s="13"/>
      <c r="X24" s="14"/>
      <c r="Y24" s="14"/>
      <c r="Z24" s="14"/>
      <c r="AA24" s="14"/>
      <c r="AB24" s="43" t="str">
        <f t="shared" si="1"/>
        <v>30August-89ers-v-Gold_Diggers</v>
      </c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ht="15.75" customHeight="1">
      <c r="A25" s="6" t="s">
        <v>69</v>
      </c>
      <c r="B25" s="44">
        <v>18.0</v>
      </c>
      <c r="C25" s="7" t="s">
        <v>54</v>
      </c>
      <c r="D25" s="57">
        <v>31.0</v>
      </c>
      <c r="E25" s="7" t="s">
        <v>93</v>
      </c>
      <c r="F25" s="8">
        <v>0.5416666666666666</v>
      </c>
      <c r="G25" s="9" t="s">
        <v>55</v>
      </c>
      <c r="H25" s="9" t="s">
        <v>56</v>
      </c>
      <c r="I25" s="10" t="s">
        <v>57</v>
      </c>
      <c r="J25" s="10" t="s">
        <v>50</v>
      </c>
      <c r="K25" s="10" t="s">
        <v>84</v>
      </c>
      <c r="L25" s="10" t="s">
        <v>59</v>
      </c>
      <c r="M25" s="58" t="s">
        <v>89</v>
      </c>
      <c r="N25" s="10" t="s">
        <v>66</v>
      </c>
      <c r="O25" s="10" t="s">
        <v>88</v>
      </c>
      <c r="P25" s="58"/>
      <c r="Q25" s="24"/>
      <c r="R25" s="13"/>
      <c r="S25" s="7"/>
      <c r="T25" s="7"/>
      <c r="U25" s="7"/>
      <c r="V25" s="13"/>
      <c r="W25" s="13"/>
      <c r="X25" s="14"/>
      <c r="Y25" s="14"/>
      <c r="Z25" s="14"/>
      <c r="AA25" s="14"/>
      <c r="AB25" s="43" t="str">
        <f t="shared" si="1"/>
        <v>31August-Towers-v-Razorbacks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ht="15.75" customHeight="1">
      <c r="A26" s="6" t="s">
        <v>69</v>
      </c>
      <c r="B26" s="44">
        <v>18.0</v>
      </c>
      <c r="C26" s="7" t="s">
        <v>54</v>
      </c>
      <c r="D26" s="57">
        <v>31.0</v>
      </c>
      <c r="E26" s="7" t="s">
        <v>93</v>
      </c>
      <c r="F26" s="8">
        <v>0.5416666666666666</v>
      </c>
      <c r="G26" s="9" t="s">
        <v>41</v>
      </c>
      <c r="H26" s="9" t="s">
        <v>47</v>
      </c>
      <c r="I26" s="10" t="s">
        <v>43</v>
      </c>
      <c r="J26" s="10" t="s">
        <v>95</v>
      </c>
      <c r="K26" s="10" t="s">
        <v>63</v>
      </c>
      <c r="L26" s="10" t="s">
        <v>99</v>
      </c>
      <c r="M26" s="10" t="s">
        <v>97</v>
      </c>
      <c r="N26" s="10" t="s">
        <v>80</v>
      </c>
      <c r="O26" s="10" t="s">
        <v>73</v>
      </c>
      <c r="P26" s="58"/>
      <c r="Q26" s="24"/>
      <c r="R26" s="13"/>
      <c r="S26" s="7">
        <f>COUNTIF('Status data'!$A18:$H18,"1")</f>
        <v>0</v>
      </c>
      <c r="T26" s="7">
        <f>COUNTIF('Status data'!$A18:$H18,"2")</f>
        <v>0</v>
      </c>
      <c r="U26" s="7">
        <f>COUNTIF('Status data'!$A18:$H18,"3")</f>
        <v>0</v>
      </c>
      <c r="V26" s="13"/>
      <c r="W26" s="13"/>
      <c r="X26" s="14"/>
      <c r="Y26" s="14"/>
      <c r="Z26" s="14"/>
      <c r="AA26" s="14"/>
      <c r="AB26" s="43" t="str">
        <f t="shared" si="1"/>
        <v>31August-Tigers-v-Oaks</v>
      </c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ht="15.75" customHeight="1">
      <c r="A27" s="6" t="s">
        <v>69</v>
      </c>
      <c r="B27" s="44">
        <v>20.0</v>
      </c>
      <c r="C27" s="7" t="s">
        <v>82</v>
      </c>
      <c r="D27" s="57">
        <v>12.0</v>
      </c>
      <c r="E27" s="7" t="s">
        <v>100</v>
      </c>
      <c r="F27" s="8">
        <v>0.7916666666666666</v>
      </c>
      <c r="G27" s="9" t="s">
        <v>55</v>
      </c>
      <c r="H27" s="54" t="s">
        <v>78</v>
      </c>
      <c r="I27" s="89" t="s">
        <v>49</v>
      </c>
      <c r="J27" s="89" t="s">
        <v>57</v>
      </c>
      <c r="K27" s="89" t="s">
        <v>84</v>
      </c>
      <c r="L27" s="89" t="s">
        <v>86</v>
      </c>
      <c r="M27" s="89" t="s">
        <v>52</v>
      </c>
      <c r="N27" s="89" t="s">
        <v>73</v>
      </c>
      <c r="O27" s="89" t="s">
        <v>66</v>
      </c>
      <c r="P27" s="89" t="s">
        <v>59</v>
      </c>
      <c r="Q27" s="48" t="s">
        <v>90</v>
      </c>
      <c r="R27" s="90"/>
      <c r="S27" s="7"/>
      <c r="T27" s="7"/>
      <c r="U27" s="7"/>
      <c r="V27" s="90"/>
      <c r="W27" s="90"/>
      <c r="X27" s="90"/>
      <c r="Y27" s="90"/>
      <c r="Z27" s="9"/>
      <c r="AA27" s="7"/>
      <c r="AB27" s="43" t="str">
        <f t="shared" si="1"/>
        <v>12September-Towers-v-Gold_Diggers</v>
      </c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ht="15.75" customHeight="1">
      <c r="A28" s="6" t="s">
        <v>69</v>
      </c>
      <c r="B28" s="44">
        <v>20.0</v>
      </c>
      <c r="C28" s="7" t="s">
        <v>39</v>
      </c>
      <c r="D28" s="57">
        <v>13.0</v>
      </c>
      <c r="E28" s="7" t="s">
        <v>100</v>
      </c>
      <c r="F28" s="8">
        <v>0.5416666666666666</v>
      </c>
      <c r="G28" s="9" t="s">
        <v>47</v>
      </c>
      <c r="H28" s="9" t="s">
        <v>70</v>
      </c>
      <c r="I28" s="89" t="s">
        <v>57</v>
      </c>
      <c r="J28" s="89" t="s">
        <v>50</v>
      </c>
      <c r="K28" s="89" t="s">
        <v>67</v>
      </c>
      <c r="L28" s="89" t="s">
        <v>59</v>
      </c>
      <c r="M28" s="89" t="s">
        <v>96</v>
      </c>
      <c r="N28" s="89" t="s">
        <v>66</v>
      </c>
      <c r="O28" s="89" t="s">
        <v>58</v>
      </c>
      <c r="P28" s="89"/>
      <c r="Q28" s="24"/>
      <c r="R28" s="90"/>
      <c r="S28" s="7">
        <f>COUNTIF('Status data'!$A20:$H20,"1")</f>
        <v>0</v>
      </c>
      <c r="T28" s="7">
        <f>COUNTIF('Status data'!$A20:$H20,"2")</f>
        <v>0</v>
      </c>
      <c r="U28" s="7">
        <f>COUNTIF('Status data'!$A20:$H20,"3")</f>
        <v>0</v>
      </c>
      <c r="V28" s="90"/>
      <c r="W28" s="90"/>
      <c r="X28" s="90"/>
      <c r="Y28" s="90"/>
      <c r="Z28" s="9"/>
      <c r="AA28" s="7"/>
      <c r="AB28" s="43" t="str">
        <f t="shared" si="1"/>
        <v>13September-Oaks-v-89ers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ht="15.75" customHeight="1">
      <c r="A29" s="25" t="s">
        <v>69</v>
      </c>
      <c r="B29" s="91">
        <v>20.0</v>
      </c>
      <c r="C29" s="26" t="s">
        <v>54</v>
      </c>
      <c r="D29" s="92">
        <v>14.0</v>
      </c>
      <c r="E29" s="26" t="s">
        <v>100</v>
      </c>
      <c r="F29" s="27">
        <v>0.5416666666666666</v>
      </c>
      <c r="G29" s="28" t="s">
        <v>56</v>
      </c>
      <c r="H29" s="28" t="s">
        <v>41</v>
      </c>
      <c r="I29" s="93" t="s">
        <v>64</v>
      </c>
      <c r="J29" s="93" t="s">
        <v>44</v>
      </c>
      <c r="K29" s="93" t="s">
        <v>43</v>
      </c>
      <c r="L29" s="93" t="s">
        <v>63</v>
      </c>
      <c r="M29" s="93" t="s">
        <v>45</v>
      </c>
      <c r="N29" s="93" t="s">
        <v>80</v>
      </c>
      <c r="O29" s="93" t="s">
        <v>97</v>
      </c>
      <c r="P29" s="93"/>
      <c r="Q29" s="94"/>
      <c r="R29" s="95"/>
      <c r="S29" s="26">
        <f>COUNTIF('Status data'!$A23:$H23,"1")</f>
        <v>0</v>
      </c>
      <c r="T29" s="26">
        <f>COUNTIF('Status data'!$A23:$H23,"2")</f>
        <v>0</v>
      </c>
      <c r="U29" s="26">
        <f>COUNTIF('Status data'!$A23:$H23,"3")</f>
        <v>0</v>
      </c>
      <c r="V29" s="95"/>
      <c r="W29" s="95"/>
      <c r="X29" s="95"/>
      <c r="Y29" s="95"/>
      <c r="Z29" s="28"/>
      <c r="AA29" s="26"/>
      <c r="AB29" s="96" t="str">
        <f t="shared" si="1"/>
        <v>14September-Razorbacks-v-Tigers</v>
      </c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ht="15.75" customHeight="1">
      <c r="A30" s="33" t="s">
        <v>69</v>
      </c>
      <c r="B30" s="85">
        <v>22.0</v>
      </c>
      <c r="C30" s="85" t="s">
        <v>39</v>
      </c>
      <c r="D30" s="97">
        <v>27.0</v>
      </c>
      <c r="E30" s="85" t="s">
        <v>100</v>
      </c>
      <c r="F30" s="98">
        <v>0.5416666666666666</v>
      </c>
      <c r="G30" s="99" t="s">
        <v>70</v>
      </c>
      <c r="H30" s="100" t="s">
        <v>55</v>
      </c>
      <c r="I30" s="101" t="s">
        <v>64</v>
      </c>
      <c r="J30" s="101" t="s">
        <v>44</v>
      </c>
      <c r="K30" s="101" t="s">
        <v>59</v>
      </c>
      <c r="L30" s="101" t="s">
        <v>63</v>
      </c>
      <c r="M30" s="101" t="s">
        <v>45</v>
      </c>
      <c r="N30" s="101" t="s">
        <v>80</v>
      </c>
      <c r="O30" s="101" t="s">
        <v>52</v>
      </c>
      <c r="P30" s="101" t="s">
        <v>89</v>
      </c>
      <c r="Q30" s="85"/>
      <c r="R30" s="85"/>
      <c r="S30" s="85"/>
      <c r="T30" s="85"/>
      <c r="U30" s="85"/>
      <c r="V30" s="85"/>
      <c r="W30" s="85"/>
      <c r="X30" s="82"/>
      <c r="Y30" s="85"/>
      <c r="Z30" s="85"/>
      <c r="AA30" s="85"/>
      <c r="AB30" s="96" t="str">
        <f t="shared" si="1"/>
        <v>27September-89ers-v-Towers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ht="15.75" customHeight="1">
      <c r="A31" s="6" t="s">
        <v>69</v>
      </c>
      <c r="B31" s="7">
        <v>22.0</v>
      </c>
      <c r="C31" s="7" t="s">
        <v>39</v>
      </c>
      <c r="D31" s="57">
        <v>27.0</v>
      </c>
      <c r="E31" s="7" t="s">
        <v>100</v>
      </c>
      <c r="F31" s="102">
        <v>0.5416666666666666</v>
      </c>
      <c r="G31" s="103" t="s">
        <v>78</v>
      </c>
      <c r="H31" s="54" t="s">
        <v>47</v>
      </c>
      <c r="I31" s="104" t="s">
        <v>49</v>
      </c>
      <c r="J31" s="104" t="s">
        <v>57</v>
      </c>
      <c r="K31" s="104" t="s">
        <v>84</v>
      </c>
      <c r="L31" s="104" t="s">
        <v>67</v>
      </c>
      <c r="M31" s="104" t="s">
        <v>85</v>
      </c>
      <c r="N31" s="104" t="s">
        <v>73</v>
      </c>
      <c r="O31" s="104" t="s">
        <v>66</v>
      </c>
      <c r="P31" s="105"/>
      <c r="Q31" s="7"/>
      <c r="R31" s="7"/>
      <c r="S31" s="7"/>
      <c r="T31" s="7"/>
      <c r="U31" s="7"/>
      <c r="V31" s="7"/>
      <c r="W31" s="7"/>
      <c r="X31" s="9"/>
      <c r="Y31" s="7"/>
      <c r="Z31" s="7"/>
      <c r="AA31" s="7"/>
      <c r="AB31" s="96" t="str">
        <f t="shared" si="1"/>
        <v>27September-Gold_Diggers-v-Oaks</v>
      </c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ht="15.75" customHeight="1">
      <c r="A32" s="6" t="s">
        <v>69</v>
      </c>
      <c r="B32" s="7">
        <v>23.0</v>
      </c>
      <c r="C32" s="7" t="s">
        <v>39</v>
      </c>
      <c r="D32" s="57">
        <v>4.0</v>
      </c>
      <c r="E32" s="7" t="s">
        <v>101</v>
      </c>
      <c r="F32" s="106" t="s">
        <v>102</v>
      </c>
      <c r="G32" s="9" t="s">
        <v>103</v>
      </c>
      <c r="H32" s="9"/>
      <c r="I32" s="104" t="s">
        <v>64</v>
      </c>
      <c r="J32" s="104" t="s">
        <v>44</v>
      </c>
      <c r="K32" s="104" t="s">
        <v>84</v>
      </c>
      <c r="L32" s="104" t="s">
        <v>63</v>
      </c>
      <c r="M32" s="104" t="s">
        <v>45</v>
      </c>
      <c r="N32" s="104" t="s">
        <v>80</v>
      </c>
      <c r="O32" s="104" t="s">
        <v>66</v>
      </c>
      <c r="P32" s="104" t="s">
        <v>49</v>
      </c>
      <c r="Q32" s="7"/>
      <c r="R32" s="7"/>
      <c r="S32" s="7"/>
      <c r="T32" s="7"/>
      <c r="U32" s="7"/>
      <c r="V32" s="7"/>
      <c r="W32" s="7"/>
      <c r="X32" s="9"/>
      <c r="Y32" s="7"/>
      <c r="Z32" s="7"/>
      <c r="AA32" s="7"/>
      <c r="AB32" s="96" t="str">
        <f t="shared" si="1"/>
        <v>4Oktober-Mermaid Bowl-v-</v>
      </c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ht="15.75" customHeight="1">
      <c r="A33" s="1"/>
      <c r="B33" s="1"/>
      <c r="C33" s="107"/>
      <c r="D33" s="108"/>
      <c r="E33" s="108"/>
      <c r="F33" s="107"/>
      <c r="G33" s="108"/>
      <c r="H33" s="108"/>
      <c r="I33" s="108"/>
      <c r="J33" s="108"/>
      <c r="K33" s="109"/>
      <c r="L33" s="5"/>
      <c r="M33" s="5"/>
      <c r="N33" s="5"/>
      <c r="O33" s="5"/>
      <c r="P33" s="5"/>
      <c r="Q33" s="5"/>
      <c r="R33" s="5"/>
      <c r="S33" s="5"/>
      <c r="T33" s="5"/>
      <c r="U33" s="5"/>
      <c r="V33" s="49"/>
      <c r="W33" s="110"/>
      <c r="X33" s="5"/>
      <c r="Y33" s="5"/>
      <c r="Z33" s="5"/>
      <c r="AA33" s="5"/>
      <c r="AB33" s="96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ht="15.75" customHeight="1">
      <c r="A34" s="1"/>
      <c r="B34" s="1"/>
      <c r="C34" s="107"/>
      <c r="D34" s="108"/>
      <c r="E34" s="108"/>
      <c r="F34" s="107"/>
      <c r="G34" s="108"/>
      <c r="H34" s="108"/>
      <c r="I34" s="108"/>
      <c r="J34" s="108"/>
      <c r="K34" s="109"/>
      <c r="L34" s="5"/>
      <c r="M34" s="5"/>
      <c r="N34" s="5"/>
      <c r="O34" s="5"/>
      <c r="P34" s="5"/>
      <c r="Q34" s="5" t="s">
        <v>104</v>
      </c>
      <c r="R34" s="5"/>
      <c r="S34" s="5"/>
      <c r="T34" s="5"/>
      <c r="U34" s="5"/>
      <c r="V34" s="49"/>
      <c r="W34" s="110"/>
      <c r="X34" s="5"/>
      <c r="Y34" s="5"/>
      <c r="Z34" s="5"/>
      <c r="AA34" s="5"/>
      <c r="AB34" s="96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ht="15.75" customHeight="1">
      <c r="A35" s="1"/>
      <c r="B35" s="1"/>
      <c r="C35" s="107"/>
      <c r="D35" s="108"/>
      <c r="E35" s="108"/>
      <c r="F35" s="107"/>
      <c r="G35" s="108"/>
      <c r="H35" s="108"/>
      <c r="I35" s="108"/>
      <c r="J35" s="108"/>
      <c r="K35" s="109"/>
      <c r="L35" s="5"/>
      <c r="M35" s="5"/>
      <c r="N35" s="5"/>
      <c r="O35" s="5"/>
      <c r="P35" s="5"/>
      <c r="Q35" s="111" t="s">
        <v>105</v>
      </c>
      <c r="R35" s="5"/>
      <c r="S35" s="5"/>
      <c r="T35" s="5"/>
      <c r="U35" s="5"/>
      <c r="V35" s="49"/>
      <c r="W35" s="110"/>
      <c r="X35" s="5"/>
      <c r="Y35" s="5"/>
      <c r="Z35" s="5"/>
      <c r="AA35" s="5"/>
      <c r="AB35" s="96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ht="15.75" customHeight="1">
      <c r="A36" s="1" t="s">
        <v>106</v>
      </c>
      <c r="B36" s="1" t="s">
        <v>107</v>
      </c>
      <c r="C36" s="107" t="s">
        <v>108</v>
      </c>
      <c r="D36" s="108" t="s">
        <v>109</v>
      </c>
      <c r="E36" s="108" t="s">
        <v>110</v>
      </c>
      <c r="F36" s="108" t="s">
        <v>111</v>
      </c>
      <c r="G36" s="107" t="s">
        <v>112</v>
      </c>
      <c r="H36" s="108" t="s">
        <v>113</v>
      </c>
      <c r="I36" s="108" t="s">
        <v>114</v>
      </c>
      <c r="J36" s="108" t="s">
        <v>115</v>
      </c>
      <c r="K36" s="108" t="s">
        <v>116</v>
      </c>
      <c r="L36" s="109"/>
      <c r="M36" s="5"/>
      <c r="N36" s="5"/>
      <c r="O36" s="5"/>
      <c r="P36" s="5"/>
      <c r="Q36" s="5"/>
      <c r="R36" s="5"/>
      <c r="S36" s="5"/>
      <c r="T36" s="5"/>
      <c r="U36" s="5"/>
      <c r="V36" s="5"/>
      <c r="W36" s="49"/>
      <c r="X36" s="110"/>
      <c r="Y36" s="5"/>
      <c r="Z36" s="5"/>
      <c r="AA36" s="5"/>
      <c r="AB36" s="96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ht="15.75" customHeight="1">
      <c r="A37" s="109" t="s">
        <v>117</v>
      </c>
      <c r="B37" s="109" t="s">
        <v>64</v>
      </c>
      <c r="C37" s="112">
        <f t="array" ref="C37">IF($A37="","",SUM(($A$2:$A$32="Vedligeholdende")*($I$2:$P$32=$B37)))</f>
        <v>1</v>
      </c>
      <c r="D37" s="112">
        <f t="array" ref="D37">IF($A37="","",SUM(($A$2:$A$20="NL")*($I$2:$P$20=$B37)))</f>
        <v>3</v>
      </c>
      <c r="E37" s="113">
        <f t="array" ref="E37">IF($A37="","",SUM(($G$7:$G$20="Razorbacks")*($I$7:$P$20=$B37))+SUM(($G$7:$G$20="Tigers")*($I$7:$P$20=$B37))+SUM(($G$7:$G$20="89ers")*($I$7:$P$20=$B37)))</f>
        <v>3</v>
      </c>
      <c r="F37" s="113">
        <f t="array" ref="F37">IF($A37="","",SUM(($G$7:$G$20="Oaks")*($I$7:$P$20=$B37))+SUM(($G$7:$G$20="Gold Diggers")*($I$7:$P$20=$B37))+SUM(($G$7:$G$20="Towers")*($I$7:$P$20=$B37)))</f>
        <v>0</v>
      </c>
      <c r="G37" s="114">
        <f t="shared" ref="G37:G69" si="2">IF($A37="","",C37+D37)</f>
        <v>4</v>
      </c>
      <c r="H37" s="112">
        <f t="array" ref="H37">IF($A37="","",SUM(($A$21:$A$29="NL")*($I$21:$P$29=$B37)))</f>
        <v>3</v>
      </c>
      <c r="I37" s="115">
        <f t="shared" ref="I37:I69" si="3">IF($A37="","",COUNTIF($I$21:$P$29,$B37)-H37)</f>
        <v>0</v>
      </c>
      <c r="J37" s="112">
        <f t="array" ref="J37">IF($A37="","",SUM(($A$2:$A$29="NL")*($I$2:$P$29=$B37)))</f>
        <v>6</v>
      </c>
      <c r="K37" s="112">
        <f t="shared" ref="K37:K63" si="4">IF($A37="","",COUNTIF($I$2:$P$29,$B37)-C37)</f>
        <v>6</v>
      </c>
      <c r="L37" s="109"/>
      <c r="M37" s="5"/>
      <c r="N37" s="5"/>
      <c r="O37" s="5"/>
      <c r="P37" s="5"/>
      <c r="Q37" s="5"/>
      <c r="R37" s="5"/>
      <c r="S37" s="116"/>
      <c r="T37" s="116"/>
      <c r="U37" s="116"/>
      <c r="V37" s="116"/>
      <c r="W37" s="117"/>
      <c r="X37" s="110"/>
      <c r="Y37" s="5"/>
      <c r="Z37" s="5"/>
      <c r="AA37" s="5"/>
      <c r="AB37" s="96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ht="15.75" customHeight="1">
      <c r="A38" s="109" t="s">
        <v>118</v>
      </c>
      <c r="B38" s="109" t="s">
        <v>49</v>
      </c>
      <c r="C38" s="112">
        <f t="array" ref="C38">IF($A38="","",SUM(($A$2:$A$32="Vedligeholdende")*($I$2:$P$32=$B38)))</f>
        <v>2</v>
      </c>
      <c r="D38" s="112">
        <f t="array" ref="D38">IF($A38="","",SUM(($A$2:$A$20="NL")*($I$2:$P$20=$B38)))</f>
        <v>7</v>
      </c>
      <c r="E38" s="113">
        <f t="array" ref="E38">IF($A38="","",SUM(($G$7:$G$20="Razorbacks")*($I$7:$P$20=$B38))+SUM(($G$7:$G$20="Tigers")*($I$7:$P$20=$B38))+SUM(($G$7:$G$20="89ers")*($I$7:$P$20=$B38)))</f>
        <v>4</v>
      </c>
      <c r="F38" s="113">
        <f t="array" ref="F38">IF($A38="","",SUM(($G$7:$G$20="Oaks")*($I$7:$P$20=$B38))+SUM(($G$7:$G$20="Gold Diggers")*($I$7:$P$20=$B38))+SUM(($G$7:$G$20="Towers")*($I$7:$P$20=$B38)))</f>
        <v>1</v>
      </c>
      <c r="G38" s="114">
        <f t="shared" si="2"/>
        <v>9</v>
      </c>
      <c r="H38" s="112">
        <f t="array" ref="H38">IF($A38="","",SUM(($A$21:$A$29="NL")*($I$21:$P$29=$B38)))</f>
        <v>3</v>
      </c>
      <c r="I38" s="115">
        <f t="shared" si="3"/>
        <v>0</v>
      </c>
      <c r="J38" s="112">
        <f t="array" ref="J38">IF($A38="","",SUM(($A$2:$A$29="NL")*($I$2:$P$29=$B38)))</f>
        <v>10</v>
      </c>
      <c r="K38" s="112">
        <f t="shared" si="4"/>
        <v>10</v>
      </c>
      <c r="L38" s="109"/>
      <c r="M38" s="5"/>
      <c r="N38" s="5"/>
      <c r="O38" s="5"/>
      <c r="P38" s="5"/>
      <c r="Q38" s="5"/>
      <c r="R38" s="5" t="str">
        <f>DATA!I65</f>
        <v/>
      </c>
      <c r="S38" s="116"/>
      <c r="T38" s="116"/>
      <c r="U38" s="116"/>
      <c r="V38" s="118"/>
      <c r="W38" s="119">
        <f>SUM(Y1:Y28)</f>
        <v>0</v>
      </c>
      <c r="X38" s="120">
        <v>2.0</v>
      </c>
      <c r="Y38" s="5" t="s">
        <v>119</v>
      </c>
      <c r="Z38" s="5"/>
      <c r="AA38" s="5"/>
      <c r="AB38" s="96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ht="15.75" customHeight="1">
      <c r="A39" s="5" t="s">
        <v>120</v>
      </c>
      <c r="B39" s="5" t="s">
        <v>58</v>
      </c>
      <c r="C39" s="112">
        <f t="array" ref="C39">IF($A39="","",SUM(($A$2:$A$32="Vedligeholdende")*($I$2:$P$32=$B39)))</f>
        <v>1</v>
      </c>
      <c r="D39" s="112">
        <f t="array" ref="D39">IF($A39="","",SUM(($A$2:$A$20="NL")*($I$2:$P$20=$B39)))</f>
        <v>1</v>
      </c>
      <c r="E39" s="113">
        <f t="array" ref="E39">IF($A39="","",SUM(($G$7:$G$20="Razorbacks")*($I$7:$P$20=$B39))+SUM(($G$7:$G$20="Tigers")*($I$7:$P$20=$B39))+SUM(($G$7:$G$20="89ers")*($I$7:$P$20=$B39)))</f>
        <v>0</v>
      </c>
      <c r="F39" s="113">
        <f t="array" ref="F39">IF($A39="","",SUM(($G$7:$G$20="Oaks")*($I$7:$P$20=$B39))+SUM(($G$7:$G$20="Gold Diggers")*($I$7:$P$20=$B39))+SUM(($G$7:$G$20="Towers")*($I$7:$P$20=$B39)))</f>
        <v>0</v>
      </c>
      <c r="G39" s="114">
        <f t="shared" si="2"/>
        <v>2</v>
      </c>
      <c r="H39" s="112">
        <f t="array" ref="H39">IF($A39="","",SUM(($A$21:$A$29="NL")*($I$21:$P$29=$B39)))</f>
        <v>1</v>
      </c>
      <c r="I39" s="115">
        <f t="shared" si="3"/>
        <v>0</v>
      </c>
      <c r="J39" s="112">
        <f t="array" ref="J39">IF($A39="","",SUM(($A$2:$A$29="NL")*($I$2:$P$29=$B39)))</f>
        <v>2</v>
      </c>
      <c r="K39" s="112">
        <f t="shared" si="4"/>
        <v>2</v>
      </c>
      <c r="L39" s="109"/>
      <c r="M39" s="109"/>
      <c r="N39" s="109"/>
      <c r="O39" s="109"/>
      <c r="P39" s="109"/>
      <c r="Q39" s="109"/>
      <c r="R39" s="109"/>
      <c r="S39" s="5"/>
      <c r="T39" s="5"/>
      <c r="U39" s="5"/>
      <c r="V39" s="5"/>
      <c r="W39" s="5"/>
      <c r="X39" s="110"/>
      <c r="Y39" s="5"/>
      <c r="Z39" s="5"/>
      <c r="AA39" s="5"/>
      <c r="AB39" s="96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ht="15.75" customHeight="1">
      <c r="A40" s="121"/>
      <c r="B40" s="121"/>
      <c r="C40" s="112" t="str">
        <f t="array" ref="C40">IF($A40="","",SUM(($A$2:$A$32="Vedligeholdende")*($I$2:$P$32=$B40)))</f>
        <v/>
      </c>
      <c r="D40" s="112" t="str">
        <f t="array" ref="D40">IF($A40="","",SUM(($A$2:$A$20="NL")*($I$2:$P$20=$B40)))</f>
        <v/>
      </c>
      <c r="E40" s="113" t="str">
        <f t="array" ref="E40">IF($A40="","",SUM(($G$7:$G$20="Razorbacks")*($I$7:$P$20=$B40))+SUM(($G$7:$G$20="Tigers")*($I$7:$P$20=$B40))+SUM(($G$7:$G$20="89ers")*($I$7:$P$20=$B40)))</f>
        <v/>
      </c>
      <c r="F40" s="113" t="str">
        <f t="array" ref="F40">IF($A40="","",SUM(($G$7:$G$20="Oaks")*($I$7:$P$20=$B40))+SUM(($G$7:$G$20="Gold Diggers")*($I$7:$P$20=$B40))+SUM(($G$7:$G$20="Towers")*($I$7:$P$20=$B40)))</f>
        <v/>
      </c>
      <c r="G40" s="114" t="str">
        <f t="shared" si="2"/>
        <v/>
      </c>
      <c r="H40" s="112" t="str">
        <f t="array" ref="H40">IF($A40="","",SUM(($A$21:$A$29="NL")*($I$21:$P$29=$B40)))</f>
        <v/>
      </c>
      <c r="I40" s="115" t="str">
        <f t="shared" si="3"/>
        <v/>
      </c>
      <c r="J40" s="112" t="str">
        <f t="array" ref="J40">IF($A40="","",SUM(($A$2:$A$29="NL")*($I$2:$P$29=$B40)))</f>
        <v/>
      </c>
      <c r="K40" s="112" t="str">
        <f t="shared" si="4"/>
        <v/>
      </c>
      <c r="L40" s="109"/>
      <c r="M40" s="109"/>
      <c r="N40" s="109"/>
      <c r="O40" s="109"/>
      <c r="P40" s="109"/>
      <c r="Q40" s="109"/>
      <c r="R40" s="109"/>
      <c r="S40" s="5"/>
      <c r="T40" s="5"/>
      <c r="U40" s="5"/>
      <c r="V40" s="5"/>
      <c r="W40" s="5"/>
      <c r="X40" s="110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ht="15.75" customHeight="1">
      <c r="A41" s="109" t="s">
        <v>121</v>
      </c>
      <c r="B41" s="109" t="s">
        <v>44</v>
      </c>
      <c r="C41" s="112">
        <f t="array" ref="C41">IF($A41="","",SUM(($A$2:$A$32="Vedligeholdende")*($I$2:$P$32=$B41)))</f>
        <v>2</v>
      </c>
      <c r="D41" s="112">
        <f t="array" ref="D41">IF($A41="","",SUM(($A$2:$A$20="NL")*($I$2:$P$20=$B41)))</f>
        <v>4</v>
      </c>
      <c r="E41" s="113">
        <f t="array" ref="E41">IF($A41="","",SUM(($G$7:$G$20="Razorbacks")*($I$7:$P$20=$B41))+SUM(($G$7:$G$20="Tigers")*($I$7:$P$20=$B41))+SUM(($G$7:$G$20="89ers")*($I$7:$P$20=$B41)))</f>
        <v>4</v>
      </c>
      <c r="F41" s="113">
        <f t="array" ref="F41">IF($A41="","",SUM(($G$7:$G$20="Oaks")*($I$7:$P$20=$B41))+SUM(($G$7:$G$20="Gold Diggers")*($I$7:$P$20=$B41))+SUM(($G$7:$G$20="Towers")*($I$7:$P$20=$B41)))</f>
        <v>0</v>
      </c>
      <c r="G41" s="114">
        <f t="shared" si="2"/>
        <v>6</v>
      </c>
      <c r="H41" s="112">
        <f t="array" ref="H41">IF($A41="","",SUM(($A$21:$A$29="NL")*($I$21:$P$29=$B41)))</f>
        <v>3</v>
      </c>
      <c r="I41" s="115">
        <f t="shared" si="3"/>
        <v>0</v>
      </c>
      <c r="J41" s="112">
        <f t="array" ref="J41">IF($A41="","",SUM(($A$2:$A$29="NL")*($I$2:$P$29=$B41)))</f>
        <v>7</v>
      </c>
      <c r="K41" s="112">
        <f t="shared" si="4"/>
        <v>7</v>
      </c>
      <c r="L41" s="109"/>
      <c r="M41" s="5"/>
      <c r="N41" s="5"/>
      <c r="O41" s="5"/>
      <c r="P41" s="5"/>
      <c r="Q41" s="5"/>
      <c r="R41" s="5"/>
      <c r="S41" s="5"/>
      <c r="T41" s="5"/>
      <c r="U41" s="5"/>
      <c r="V41" s="5" t="s">
        <v>122</v>
      </c>
      <c r="W41" s="5" t="str">
        <f>MEDIAN(Y12:Y29)</f>
        <v>#NUM!</v>
      </c>
      <c r="X41" s="110" t="s">
        <v>123</v>
      </c>
      <c r="Y41" s="5" t="s">
        <v>124</v>
      </c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ht="15.75" customHeight="1">
      <c r="A42" s="109" t="s">
        <v>125</v>
      </c>
      <c r="B42" s="109" t="s">
        <v>50</v>
      </c>
      <c r="C42" s="112">
        <f t="array" ref="C42">IF($A42="","",SUM(($A$2:$A$32="Vedligeholdende")*($I$2:$P$32=$B42)))</f>
        <v>2</v>
      </c>
      <c r="D42" s="112">
        <f t="array" ref="D42">IF($A42="","",SUM(($A$2:$A$20="NL")*($I$2:$P$20=$B42)))</f>
        <v>3</v>
      </c>
      <c r="E42" s="113">
        <f t="array" ref="E42">IF($A42="","",SUM(($G$7:$G$20="Razorbacks")*($I$7:$P$20=$B42))+SUM(($G$7:$G$20="Tigers")*($I$7:$P$20=$B42))+SUM(($G$7:$G$20="89ers")*($I$7:$P$20=$B42)))</f>
        <v>1</v>
      </c>
      <c r="F42" s="113">
        <f t="array" ref="F42">IF($A42="","",SUM(($G$7:$G$20="Oaks")*($I$7:$P$20=$B42))+SUM(($G$7:$G$20="Gold Diggers")*($I$7:$P$20=$B42))+SUM(($G$7:$G$20="Towers")*($I$7:$P$20=$B42)))</f>
        <v>1</v>
      </c>
      <c r="G42" s="114">
        <f t="shared" si="2"/>
        <v>5</v>
      </c>
      <c r="H42" s="112">
        <f t="array" ref="H42">IF($A42="","",SUM(($A$21:$A$29="NL")*($I$21:$P$29=$B42)))</f>
        <v>2</v>
      </c>
      <c r="I42" s="115">
        <f t="shared" si="3"/>
        <v>0</v>
      </c>
      <c r="J42" s="112">
        <f t="array" ref="J42">IF($A42="","",SUM(($A$2:$A$29="NL")*($I$2:$P$29=$B42)))</f>
        <v>5</v>
      </c>
      <c r="K42" s="112">
        <f t="shared" si="4"/>
        <v>5</v>
      </c>
      <c r="L42" s="109"/>
      <c r="M42" s="5"/>
      <c r="N42" s="122"/>
      <c r="O42" s="5"/>
      <c r="P42" s="5"/>
      <c r="Q42" s="5"/>
      <c r="R42" s="5"/>
      <c r="S42" s="5"/>
      <c r="T42" s="5"/>
      <c r="U42" s="5"/>
      <c r="V42" s="5"/>
      <c r="W42" s="5"/>
      <c r="X42" s="110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ht="15.75" customHeight="1">
      <c r="A43" s="109" t="s">
        <v>126</v>
      </c>
      <c r="B43" s="109" t="s">
        <v>57</v>
      </c>
      <c r="C43" s="112">
        <f t="array" ref="C43">IF($A43="","",SUM(($A$2:$A$32="Vedligeholdende")*($I$2:$P$32=$B43)))</f>
        <v>1</v>
      </c>
      <c r="D43" s="112">
        <f t="array" ref="D43">IF($A43="","",SUM(($A$2:$A$20="NL")*($I$2:$P$20=$B43)))</f>
        <v>9</v>
      </c>
      <c r="E43" s="113">
        <f t="array" ref="E43">IF($A43="","",SUM(($G$7:$G$20="Razorbacks")*($I$7:$P$20=$B43))+SUM(($G$7:$G$20="Tigers")*($I$7:$P$20=$B43))+SUM(($G$7:$G$20="89ers")*($I$7:$P$20=$B43)))</f>
        <v>3</v>
      </c>
      <c r="F43" s="113">
        <f t="array" ref="F43">IF($A43="","",SUM(($G$7:$G$20="Oaks")*($I$7:$P$20=$B43))+SUM(($G$7:$G$20="Gold Diggers")*($I$7:$P$20=$B43))+SUM(($G$7:$G$20="Towers")*($I$7:$P$20=$B43)))</f>
        <v>3</v>
      </c>
      <c r="G43" s="114">
        <f t="shared" si="2"/>
        <v>10</v>
      </c>
      <c r="H43" s="112">
        <f t="array" ref="H43">IF($A43="","",SUM(($A$21:$A$29="NL")*($I$21:$P$29=$B43)))</f>
        <v>5</v>
      </c>
      <c r="I43" s="115">
        <f t="shared" si="3"/>
        <v>0</v>
      </c>
      <c r="J43" s="112">
        <f t="array" ref="J43">IF($A43="","",SUM(($A$2:$A$29="NL")*($I$2:$P$29=$B43)))</f>
        <v>14</v>
      </c>
      <c r="K43" s="112">
        <f t="shared" si="4"/>
        <v>14</v>
      </c>
      <c r="L43" s="109"/>
      <c r="M43" s="5"/>
      <c r="N43" s="5"/>
      <c r="O43" s="5"/>
      <c r="P43" s="5"/>
      <c r="Q43" s="5"/>
      <c r="R43" s="5"/>
      <c r="S43" s="5"/>
      <c r="T43" s="5"/>
      <c r="U43" s="5"/>
      <c r="V43" s="5" t="s">
        <v>127</v>
      </c>
      <c r="W43" s="5">
        <f>SUM(Y12:Y29)/23*40</f>
        <v>0</v>
      </c>
      <c r="X43" s="110" t="s">
        <v>128</v>
      </c>
      <c r="Y43" s="5" t="s">
        <v>129</v>
      </c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ht="15.75" customHeight="1">
      <c r="A44" s="121" t="s">
        <v>130</v>
      </c>
      <c r="B44" s="121" t="s">
        <v>95</v>
      </c>
      <c r="C44" s="112">
        <f t="array" ref="C44">IF($A44="","",SUM(($A$2:$A$32="Vedligeholdende")*($I$2:$P$32=$B44)))</f>
        <v>0</v>
      </c>
      <c r="D44" s="112">
        <f t="array" ref="D44">IF($A44="","",SUM(($A$2:$A$20="NL")*($I$2:$P$20=$B44)))</f>
        <v>0</v>
      </c>
      <c r="E44" s="113">
        <f t="array" ref="E44">IF($A44="","",SUM(($G$7:$G$20="Razorbacks")*($I$7:$P$20=$B44))+SUM(($G$7:$G$20="Tigers")*($I$7:$P$20=$B44))+SUM(($G$7:$G$20="89ers")*($I$7:$P$20=$B44)))</f>
        <v>0</v>
      </c>
      <c r="F44" s="113">
        <f t="array" ref="F44">IF($A44="","",SUM(($G$7:$G$20="Oaks")*($I$7:$P$20=$B44))+SUM(($G$7:$G$20="Gold Diggers")*($I$7:$P$20=$B44))+SUM(($G$7:$G$20="Towers")*($I$7:$P$20=$B44)))</f>
        <v>0</v>
      </c>
      <c r="G44" s="114">
        <f t="shared" si="2"/>
        <v>0</v>
      </c>
      <c r="H44" s="112">
        <f t="array" ref="H44">IF($A44="","",SUM(($A$21:$A$29="NL")*($I$21:$P$29=$B44)))</f>
        <v>2</v>
      </c>
      <c r="I44" s="115">
        <f t="shared" si="3"/>
        <v>0</v>
      </c>
      <c r="J44" s="112">
        <f t="array" ref="J44">IF($A44="","",SUM(($A$2:$A$29="NL")*($I$2:$P$29=$B44)))</f>
        <v>2</v>
      </c>
      <c r="K44" s="112">
        <f t="shared" si="4"/>
        <v>2</v>
      </c>
      <c r="L44" s="109"/>
      <c r="M44" s="109"/>
      <c r="N44" s="109"/>
      <c r="O44" s="109"/>
      <c r="P44" s="109"/>
      <c r="Q44" s="109"/>
      <c r="R44" s="109"/>
      <c r="S44" s="5"/>
      <c r="T44" s="5"/>
      <c r="U44" s="5"/>
      <c r="V44" s="5"/>
      <c r="W44" s="5"/>
      <c r="X44" s="110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ht="15.75" customHeight="1">
      <c r="A45" s="121"/>
      <c r="B45" s="121"/>
      <c r="C45" s="112" t="str">
        <f t="array" ref="C45">IF($A45="","",SUM(($A$2:$A$32="Vedligeholdende")*($I$2:$P$32=$B45)))</f>
        <v/>
      </c>
      <c r="D45" s="112" t="str">
        <f t="array" ref="D45">IF($A45="","",SUM(($A$2:$A$20="NL")*($I$2:$P$20=$B45)))</f>
        <v/>
      </c>
      <c r="E45" s="113" t="str">
        <f t="array" ref="E45">IF($A45="","",SUM(($G$7:$G$20="Razorbacks")*($I$7:$P$20=$B45))+SUM(($G$7:$G$20="Tigers")*($I$7:$P$20=$B45))+SUM(($G$7:$G$20="89ers")*($I$7:$P$20=$B45)))</f>
        <v/>
      </c>
      <c r="F45" s="113" t="str">
        <f t="array" ref="F45">IF($A45="","",SUM(($G$7:$G$20="Oaks")*($I$7:$P$20=$B45))+SUM(($G$7:$G$20="Gold Diggers")*($I$7:$P$20=$B45))+SUM(($G$7:$G$20="Towers")*($I$7:$P$20=$B45)))</f>
        <v/>
      </c>
      <c r="G45" s="114" t="str">
        <f t="shared" si="2"/>
        <v/>
      </c>
      <c r="H45" s="112" t="str">
        <f t="array" ref="H45">IF($A45="","",SUM(($A$21:$A$29="NL")*($I$21:$P$29=$B45)))</f>
        <v/>
      </c>
      <c r="I45" s="115" t="str">
        <f t="shared" si="3"/>
        <v/>
      </c>
      <c r="J45" s="112" t="str">
        <f t="array" ref="J45">IF($A45="","",SUM(($A$2:$A$29="NL")*($I$2:$P$29=$B45)))</f>
        <v/>
      </c>
      <c r="K45" s="112" t="str">
        <f t="shared" si="4"/>
        <v/>
      </c>
      <c r="L45" s="109"/>
      <c r="M45" s="109"/>
      <c r="N45" s="109"/>
      <c r="O45" s="109"/>
      <c r="P45" s="109"/>
      <c r="Q45" s="109"/>
      <c r="R45" s="109"/>
      <c r="S45" s="5"/>
      <c r="T45" s="5"/>
      <c r="U45" s="5"/>
      <c r="V45" s="5"/>
      <c r="W45" s="5"/>
      <c r="X45" s="110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ht="15.75" customHeight="1">
      <c r="A46" s="109" t="s">
        <v>131</v>
      </c>
      <c r="B46" s="109" t="s">
        <v>43</v>
      </c>
      <c r="C46" s="112">
        <f t="array" ref="C46">IF($A46="","",SUM(($A$2:$A$32="Vedligeholdende")*($I$2:$P$32=$B46)))</f>
        <v>2</v>
      </c>
      <c r="D46" s="112">
        <f t="array" ref="D46">IF($A46="","",SUM(($A$2:$A$20="NL")*($I$2:$P$20=$B46)))</f>
        <v>1</v>
      </c>
      <c r="E46" s="113">
        <f t="array" ref="E46">IF($A46="","",SUM(($G$7:$G$20="Razorbacks")*($I$7:$P$20=$B46))+SUM(($G$7:$G$20="Tigers")*($I$7:$P$20=$B46))+SUM(($G$7:$G$20="89ers")*($I$7:$P$20=$B46)))</f>
        <v>1</v>
      </c>
      <c r="F46" s="113">
        <f t="array" ref="F46">IF($A46="","",SUM(($G$7:$G$20="Oaks")*($I$7:$P$20=$B46))+SUM(($G$7:$G$20="Gold Diggers")*($I$7:$P$20=$B46))+SUM(($G$7:$G$20="Towers")*($I$7:$P$20=$B46)))</f>
        <v>0</v>
      </c>
      <c r="G46" s="114">
        <f t="shared" si="2"/>
        <v>3</v>
      </c>
      <c r="H46" s="112">
        <f t="array" ref="H46">IF($A46="","",SUM(($A$21:$A$29="NL")*($I$21:$P$29=$B46)))</f>
        <v>4</v>
      </c>
      <c r="I46" s="115">
        <f t="shared" si="3"/>
        <v>0</v>
      </c>
      <c r="J46" s="112">
        <f t="array" ref="J46">IF($A46="","",SUM(($A$2:$A$29="NL")*($I$2:$P$29=$B46)))</f>
        <v>5</v>
      </c>
      <c r="K46" s="112">
        <f t="shared" si="4"/>
        <v>5</v>
      </c>
      <c r="L46" s="109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110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ht="15.75" customHeight="1">
      <c r="A47" s="109" t="s">
        <v>132</v>
      </c>
      <c r="B47" s="109" t="s">
        <v>63</v>
      </c>
      <c r="C47" s="112">
        <f t="array" ref="C47">IF($A47="","",SUM(($A$2:$A$32="Vedligeholdende")*($I$2:$P$32=$B47)))</f>
        <v>1</v>
      </c>
      <c r="D47" s="112">
        <f t="array" ref="D47">IF($A47="","",SUM(($A$2:$A$20="NL")*($I$2:$P$20=$B47)))</f>
        <v>4</v>
      </c>
      <c r="E47" s="113">
        <f t="array" ref="E47">IF($A47="","",SUM(($G$7:$G$20="Razorbacks")*($I$7:$P$20=$B47))+SUM(($G$7:$G$20="Tigers")*($I$7:$P$20=$B47))+SUM(($G$7:$G$20="89ers")*($I$7:$P$20=$B47)))</f>
        <v>4</v>
      </c>
      <c r="F47" s="113">
        <f t="array" ref="F47">IF($A47="","",SUM(($G$7:$G$20="Oaks")*($I$7:$P$20=$B47))+SUM(($G$7:$G$20="Gold Diggers")*($I$7:$P$20=$B47))+SUM(($G$7:$G$20="Towers")*($I$7:$P$20=$B47)))</f>
        <v>0</v>
      </c>
      <c r="G47" s="114">
        <f t="shared" si="2"/>
        <v>5</v>
      </c>
      <c r="H47" s="112">
        <f t="array" ref="H47">IF($A47="","",SUM(($A$21:$A$29="NL")*($I$21:$P$29=$B47)))</f>
        <v>3</v>
      </c>
      <c r="I47" s="115">
        <f t="shared" si="3"/>
        <v>0</v>
      </c>
      <c r="J47" s="112">
        <f t="array" ref="J47">IF($A47="","",SUM(($A$2:$A$29="NL")*($I$2:$P$29=$B47)))</f>
        <v>7</v>
      </c>
      <c r="K47" s="112">
        <f t="shared" si="4"/>
        <v>7</v>
      </c>
      <c r="L47" s="109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110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ht="15.75" customHeight="1">
      <c r="A48" s="109" t="s">
        <v>133</v>
      </c>
      <c r="B48" s="109" t="s">
        <v>89</v>
      </c>
      <c r="C48" s="112">
        <f t="array" ref="C48">IF($A48="","",SUM(($A$2:$A$32="Vedligeholdende")*($I$2:$P$32=$B48)))</f>
        <v>0</v>
      </c>
      <c r="D48" s="112">
        <f t="array" ref="D48">IF($A48="","",SUM(($A$2:$A$20="NL")*($I$2:$P$20=$B48)))</f>
        <v>2</v>
      </c>
      <c r="E48" s="113">
        <f t="array" ref="E48">IF($A48="","",SUM(($G$7:$G$20="Razorbacks")*($I$7:$P$20=$B48))+SUM(($G$7:$G$20="Tigers")*($I$7:$P$20=$B48))+SUM(($G$7:$G$20="89ers")*($I$7:$P$20=$B48)))</f>
        <v>1</v>
      </c>
      <c r="F48" s="113">
        <f t="array" ref="F48">IF($A48="","",SUM(($G$7:$G$20="Oaks")*($I$7:$P$20=$B48))+SUM(($G$7:$G$20="Gold Diggers")*($I$7:$P$20=$B48))+SUM(($G$7:$G$20="Towers")*($I$7:$P$20=$B48)))</f>
        <v>0</v>
      </c>
      <c r="G48" s="114">
        <f t="shared" si="2"/>
        <v>2</v>
      </c>
      <c r="H48" s="112">
        <f t="array" ref="H48">IF($A48="","",SUM(($A$21:$A$29="NL")*($I$21:$P$29=$B48)))</f>
        <v>2</v>
      </c>
      <c r="I48" s="115">
        <f t="shared" si="3"/>
        <v>0</v>
      </c>
      <c r="J48" s="112">
        <f t="array" ref="J48">IF($A48="","",SUM(($A$2:$A$29="NL")*($I$2:$P$29=$B48)))</f>
        <v>4</v>
      </c>
      <c r="K48" s="112">
        <f t="shared" si="4"/>
        <v>4</v>
      </c>
      <c r="L48" s="109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110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ht="15.75" customHeight="1">
      <c r="A49" s="109" t="s">
        <v>134</v>
      </c>
      <c r="B49" s="109" t="s">
        <v>135</v>
      </c>
      <c r="C49" s="112">
        <f t="array" ref="C49">IF($A49="","",SUM(($A$2:$A$32="Vedligeholdende")*($I$2:$P$32=$B49)))</f>
        <v>0</v>
      </c>
      <c r="D49" s="112">
        <f t="array" ref="D49">IF($A49="","",SUM(($A$2:$A$20="NL")*($I$2:$P$20=$B49)))</f>
        <v>0</v>
      </c>
      <c r="E49" s="113">
        <f t="array" ref="E49">IF($A49="","",SUM(($G$7:$G$20="Razorbacks")*($I$7:$P$20=$B49))+SUM(($G$7:$G$20="Tigers")*($I$7:$P$20=$B49))+SUM(($G$7:$G$20="89ers")*($I$7:$P$20=$B49)))</f>
        <v>0</v>
      </c>
      <c r="F49" s="113">
        <f t="array" ref="F49">IF($A49="","",SUM(($G$7:$G$20="Oaks")*($I$7:$P$20=$B49))+SUM(($G$7:$G$20="Gold Diggers")*($I$7:$P$20=$B49))+SUM(($G$7:$G$20="Towers")*($I$7:$P$20=$B49)))</f>
        <v>0</v>
      </c>
      <c r="G49" s="114">
        <f t="shared" si="2"/>
        <v>0</v>
      </c>
      <c r="H49" s="112">
        <f t="array" ref="H49">IF($A49="","",SUM(($A$21:$A$29="NL")*($I$21:$P$29=$B49)))</f>
        <v>0</v>
      </c>
      <c r="I49" s="115">
        <f t="shared" si="3"/>
        <v>0</v>
      </c>
      <c r="J49" s="112">
        <f t="array" ref="J49">IF($A49="","",SUM(($A$2:$A$29="NL")*($I$2:$P$29=$B49)))</f>
        <v>0</v>
      </c>
      <c r="K49" s="112">
        <f t="shared" si="4"/>
        <v>0</v>
      </c>
      <c r="L49" s="109"/>
      <c r="M49" s="5"/>
      <c r="N49" s="5"/>
      <c r="O49" s="5"/>
      <c r="P49" s="5"/>
      <c r="Q49" s="65"/>
      <c r="R49" s="5"/>
      <c r="S49" s="5"/>
      <c r="T49" s="5"/>
      <c r="U49" s="5"/>
      <c r="V49" s="5"/>
      <c r="W49" s="5"/>
      <c r="X49" s="5"/>
      <c r="Y49" s="110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ht="15.75" customHeight="1">
      <c r="A50" s="109" t="s">
        <v>136</v>
      </c>
      <c r="B50" s="109" t="s">
        <v>67</v>
      </c>
      <c r="C50" s="112">
        <f t="array" ref="C50">IF($A50="","",SUM(($A$2:$A$32="Vedligeholdende")*($I$2:$P$32=$B50)))</f>
        <v>1</v>
      </c>
      <c r="D50" s="112">
        <f t="array" ref="D50">IF($A50="","",SUM(($A$2:$A$20="NL")*($I$2:$P$20=$B50)))</f>
        <v>2</v>
      </c>
      <c r="E50" s="113">
        <f t="array" ref="E50">IF($A50="","",SUM(($G$7:$G$20="Razorbacks")*($I$7:$P$20=$B50))+SUM(($G$7:$G$20="Tigers")*($I$7:$P$20=$B50))+SUM(($G$7:$G$20="89ers")*($I$7:$P$20=$B50)))</f>
        <v>0</v>
      </c>
      <c r="F50" s="113">
        <f t="array" ref="F50">IF($A50="","",SUM(($G$7:$G$20="Oaks")*($I$7:$P$20=$B50))+SUM(($G$7:$G$20="Gold Diggers")*($I$7:$P$20=$B50))+SUM(($G$7:$G$20="Towers")*($I$7:$P$20=$B50)))</f>
        <v>2</v>
      </c>
      <c r="G50" s="114">
        <f t="shared" si="2"/>
        <v>3</v>
      </c>
      <c r="H50" s="112">
        <f t="array" ref="H50">IF($A50="","",SUM(($A$21:$A$29="NL")*($I$21:$P$29=$B50)))</f>
        <v>1</v>
      </c>
      <c r="I50" s="115">
        <f t="shared" si="3"/>
        <v>0</v>
      </c>
      <c r="J50" s="112">
        <f t="array" ref="J50">IF($A50="","",SUM(($A$2:$A$29="NL")*($I$2:$P$29=$B50)))</f>
        <v>3</v>
      </c>
      <c r="K50" s="112">
        <f t="shared" si="4"/>
        <v>3</v>
      </c>
      <c r="L50" s="109"/>
      <c r="M50" s="5"/>
      <c r="N50" s="5"/>
      <c r="O50" s="5"/>
      <c r="P50" s="5"/>
      <c r="Q50" s="5"/>
      <c r="R50" s="5" t="str">
        <f>DATA!I66</f>
        <v/>
      </c>
      <c r="S50" s="5"/>
      <c r="T50" s="5"/>
      <c r="U50" s="5">
        <f>SUMIF(G$12:G$32,Q52,Y$12:Y$29)</f>
        <v>0</v>
      </c>
      <c r="V50" s="5" t="str">
        <f>U50/R52</f>
        <v>#DIV/0!</v>
      </c>
      <c r="W50" s="5"/>
      <c r="X50" s="5"/>
      <c r="Y50" s="110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ht="15.75" customHeight="1">
      <c r="A51" s="109" t="s">
        <v>137</v>
      </c>
      <c r="B51" s="109" t="s">
        <v>84</v>
      </c>
      <c r="C51" s="112">
        <f t="array" ref="C51">IF($A51="","",SUM(($A$2:$A$32="Vedligeholdende")*($I$2:$P$32=$B51)))</f>
        <v>0</v>
      </c>
      <c r="D51" s="112">
        <f t="array" ref="D51">IF($A51="","",SUM(($A$2:$A$20="NL")*($I$2:$P$20=$B51)))</f>
        <v>4</v>
      </c>
      <c r="E51" s="113">
        <f t="array" ref="E51">IF($A51="","",SUM(($G$7:$G$20="Razorbacks")*($I$7:$P$20=$B51))+SUM(($G$7:$G$20="Tigers")*($I$7:$P$20=$B51))+SUM(($G$7:$G$20="89ers")*($I$7:$P$20=$B51)))</f>
        <v>0</v>
      </c>
      <c r="F51" s="113">
        <f t="array" ref="F51">IF($A51="","",SUM(($G$7:$G$20="Oaks")*($I$7:$P$20=$B51))+SUM(($G$7:$G$20="Gold Diggers")*($I$7:$P$20=$B51))+SUM(($G$7:$G$20="Towers")*($I$7:$P$20=$B51)))</f>
        <v>2</v>
      </c>
      <c r="G51" s="114">
        <f t="shared" si="2"/>
        <v>4</v>
      </c>
      <c r="H51" s="112">
        <f t="array" ref="H51">IF($A51="","",SUM(($A$21:$A$29="NL")*($I$21:$P$29=$B51)))</f>
        <v>3</v>
      </c>
      <c r="I51" s="115">
        <f t="shared" si="3"/>
        <v>0</v>
      </c>
      <c r="J51" s="112">
        <f t="array" ref="J51">IF($A51="","",SUM(($A$2:$A$29="NL")*($I$2:$P$29=$B51)))</f>
        <v>7</v>
      </c>
      <c r="K51" s="112">
        <f t="shared" si="4"/>
        <v>7</v>
      </c>
      <c r="L51" s="109"/>
      <c r="M51" s="5"/>
      <c r="N51" s="5"/>
      <c r="O51" s="5"/>
      <c r="P51" s="5"/>
      <c r="Q51" s="5"/>
      <c r="R51" s="5" t="str">
        <f>DATA!I67</f>
        <v/>
      </c>
      <c r="S51" s="116"/>
      <c r="T51" s="5"/>
      <c r="U51" s="5"/>
      <c r="V51" s="5"/>
      <c r="W51" s="5"/>
      <c r="X51" s="5"/>
      <c r="Y51" s="110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ht="15.75" customHeight="1">
      <c r="A52" s="109" t="s">
        <v>138</v>
      </c>
      <c r="B52" s="109" t="s">
        <v>59</v>
      </c>
      <c r="C52" s="112">
        <f t="array" ref="C52">IF($A52="","",SUM(($A$2:$A$32="Vedligeholdende")*($I$2:$P$32=$B52)))</f>
        <v>2</v>
      </c>
      <c r="D52" s="112">
        <f t="array" ref="D52">IF($A52="","",SUM(($A$2:$A$20="NL")*($I$2:$P$20=$B52)))</f>
        <v>5</v>
      </c>
      <c r="E52" s="113">
        <f t="array" ref="E52">IF($A52="","",SUM(($G$7:$G$20="Razorbacks")*($I$7:$P$20=$B52))+SUM(($G$7:$G$20="Tigers")*($I$7:$P$20=$B52))+SUM(($G$7:$G$20="89ers")*($I$7:$P$20=$B52)))</f>
        <v>2</v>
      </c>
      <c r="F52" s="113">
        <f t="array" ref="F52">IF($A52="","",SUM(($G$7:$G$20="Oaks")*($I$7:$P$20=$B52))+SUM(($G$7:$G$20="Gold Diggers")*($I$7:$P$20=$B52))+SUM(($G$7:$G$20="Towers")*($I$7:$P$20=$B52)))</f>
        <v>1</v>
      </c>
      <c r="G52" s="114">
        <f t="shared" si="2"/>
        <v>7</v>
      </c>
      <c r="H52" s="112">
        <f t="array" ref="H52">IF($A52="","",SUM(($A$21:$A$29="NL")*($I$21:$P$29=$B52)))</f>
        <v>3</v>
      </c>
      <c r="I52" s="115">
        <f t="shared" si="3"/>
        <v>0</v>
      </c>
      <c r="J52" s="112">
        <f t="array" ref="J52">IF($A52="","",SUM(($A$2:$A$29="NL")*($I$2:$P$29=$B52)))</f>
        <v>8</v>
      </c>
      <c r="K52" s="112">
        <f t="shared" si="4"/>
        <v>8</v>
      </c>
      <c r="L52" s="109"/>
      <c r="M52" s="5"/>
      <c r="N52" s="5"/>
      <c r="O52" s="5"/>
      <c r="P52" s="5"/>
      <c r="Q52" s="65"/>
      <c r="R52" s="5"/>
      <c r="S52" s="5"/>
      <c r="T52" s="5"/>
      <c r="U52" s="5"/>
      <c r="V52" s="5"/>
      <c r="W52" s="5"/>
      <c r="X52" s="5"/>
      <c r="Y52" s="110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ht="15.75" customHeight="1">
      <c r="A53" s="121" t="s">
        <v>139</v>
      </c>
      <c r="B53" s="121" t="s">
        <v>96</v>
      </c>
      <c r="C53" s="112">
        <f t="array" ref="C53">IF($A53="","",SUM(($A$2:$A$32="Vedligeholdende")*($I$2:$P$32=$B53)))</f>
        <v>0</v>
      </c>
      <c r="D53" s="112">
        <f t="array" ref="D53">IF($A53="","",SUM(($A$2:$A$20="NL")*($I$2:$P$20=$B53)))</f>
        <v>0</v>
      </c>
      <c r="E53" s="113">
        <f t="array" ref="E53">IF($A53="","",SUM(($G$7:$G$20="Razorbacks")*($I$7:$P$20=$B53))+SUM(($G$7:$G$20="Tigers")*($I$7:$P$20=$B53))+SUM(($G$7:$G$20="89ers")*($I$7:$P$20=$B53)))</f>
        <v>0</v>
      </c>
      <c r="F53" s="113">
        <f t="array" ref="F53">IF($A53="","",SUM(($G$7:$G$20="Oaks")*($I$7:$P$20=$B53))+SUM(($G$7:$G$20="Gold Diggers")*($I$7:$P$20=$B53))+SUM(($G$7:$G$20="Towers")*($I$7:$P$20=$B53)))</f>
        <v>0</v>
      </c>
      <c r="G53" s="114">
        <f t="shared" si="2"/>
        <v>0</v>
      </c>
      <c r="H53" s="112">
        <f t="array" ref="H53">IF($A53="","",SUM(($A$21:$A$29="NL")*($I$21:$P$29=$B53)))</f>
        <v>2</v>
      </c>
      <c r="I53" s="115">
        <f t="shared" si="3"/>
        <v>0</v>
      </c>
      <c r="J53" s="112">
        <f t="array" ref="J53">IF($A53="","",SUM(($A$2:$A$29="NL")*($I$2:$P$29=$B53)))</f>
        <v>2</v>
      </c>
      <c r="K53" s="112">
        <f t="shared" si="4"/>
        <v>2</v>
      </c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ht="15.75" customHeight="1">
      <c r="A54" s="121" t="s">
        <v>140</v>
      </c>
      <c r="B54" s="121" t="s">
        <v>99</v>
      </c>
      <c r="C54" s="112">
        <f t="array" ref="C54">IF($A54="","",SUM(($A$2:$A$32="Vedligeholdende")*($I$2:$P$32=$B54)))</f>
        <v>0</v>
      </c>
      <c r="D54" s="112">
        <f t="array" ref="D54">IF($A54="","",SUM(($A$2:$A$20="NL")*($I$2:$P$20=$B54)))</f>
        <v>0</v>
      </c>
      <c r="E54" s="113">
        <f t="array" ref="E54">IF($A54="","",SUM(($G$7:$G$20="Razorbacks")*($I$7:$P$20=$B54))+SUM(($G$7:$G$20="Tigers")*($I$7:$P$20=$B54))+SUM(($G$7:$G$20="89ers")*($I$7:$P$20=$B54)))</f>
        <v>0</v>
      </c>
      <c r="F54" s="113">
        <f t="array" ref="F54">IF($A54="","",SUM(($G$7:$G$20="Oaks")*($I$7:$P$20=$B54))+SUM(($G$7:$G$20="Gold Diggers")*($I$7:$P$20=$B54))+SUM(($G$7:$G$20="Towers")*($I$7:$P$20=$B54)))</f>
        <v>0</v>
      </c>
      <c r="G54" s="114">
        <f t="shared" si="2"/>
        <v>0</v>
      </c>
      <c r="H54" s="112">
        <f t="array" ref="H54">IF($A54="","",SUM(($A$21:$A$29="NL")*($I$21:$P$29=$B54)))</f>
        <v>1</v>
      </c>
      <c r="I54" s="115">
        <f t="shared" si="3"/>
        <v>0</v>
      </c>
      <c r="J54" s="112">
        <f t="array" ref="J54">IF($A54="","",SUM(($A$2:$A$29="NL")*($I$2:$P$29=$B54)))</f>
        <v>1</v>
      </c>
      <c r="K54" s="112">
        <f t="shared" si="4"/>
        <v>1</v>
      </c>
      <c r="L54" s="109"/>
      <c r="M54" s="5"/>
      <c r="N54" s="5"/>
      <c r="O54" s="5"/>
      <c r="P54" s="5"/>
      <c r="Q54" s="65"/>
      <c r="R54" s="5"/>
      <c r="S54" s="5"/>
      <c r="T54" s="5"/>
      <c r="U54" s="5"/>
      <c r="V54" s="5"/>
      <c r="W54" s="5"/>
      <c r="X54" s="5"/>
      <c r="Y54" s="110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ht="15.75" customHeight="1">
      <c r="A55" s="121" t="s">
        <v>141</v>
      </c>
      <c r="B55" s="121" t="s">
        <v>86</v>
      </c>
      <c r="C55" s="112">
        <f t="array" ref="C55">IF($A55="","",SUM(($A$2:$A$32="Vedligeholdende")*($I$2:$P$32=$B55)))</f>
        <v>0</v>
      </c>
      <c r="D55" s="112">
        <f t="array" ref="D55">IF($A55="","",SUM(($A$2:$A$20="NL")*($I$2:$P$20=$B55)))</f>
        <v>2</v>
      </c>
      <c r="E55" s="113">
        <f t="array" ref="E55">IF($A55="","",SUM(($G$7:$G$20="Razorbacks")*($I$7:$P$20=$B55))+SUM(($G$7:$G$20="Tigers")*($I$7:$P$20=$B55))+SUM(($G$7:$G$20="89ers")*($I$7:$P$20=$B55)))</f>
        <v>1</v>
      </c>
      <c r="F55" s="113">
        <f t="array" ref="F55">IF($A55="","",SUM(($G$7:$G$20="Oaks")*($I$7:$P$20=$B55))+SUM(($G$7:$G$20="Gold Diggers")*($I$7:$P$20=$B55))+SUM(($G$7:$G$20="Towers")*($I$7:$P$20=$B55)))</f>
        <v>1</v>
      </c>
      <c r="G55" s="114">
        <f t="shared" si="2"/>
        <v>2</v>
      </c>
      <c r="H55" s="112">
        <f t="array" ref="H55">IF($A55="","",SUM(($A$21:$A$29="NL")*($I$21:$P$29=$B55)))</f>
        <v>2</v>
      </c>
      <c r="I55" s="115">
        <f t="shared" si="3"/>
        <v>0</v>
      </c>
      <c r="J55" s="112">
        <f t="array" ref="J55">IF($A55="","",SUM(($A$2:$A$29="NL")*($I$2:$P$29=$B55)))</f>
        <v>4</v>
      </c>
      <c r="K55" s="112">
        <f t="shared" si="4"/>
        <v>4</v>
      </c>
      <c r="L55" s="109"/>
      <c r="M55" s="5"/>
      <c r="N55" s="5"/>
      <c r="O55" s="5"/>
      <c r="P55" s="5"/>
      <c r="Q55" s="65"/>
      <c r="R55" s="5"/>
      <c r="S55" s="5"/>
      <c r="T55" s="5"/>
      <c r="U55" s="5"/>
      <c r="V55" s="5"/>
      <c r="W55" s="5"/>
      <c r="X55" s="5"/>
      <c r="Y55" s="110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ht="15.75" customHeight="1">
      <c r="A56" s="121" t="s">
        <v>142</v>
      </c>
      <c r="B56" s="121" t="s">
        <v>94</v>
      </c>
      <c r="C56" s="112">
        <f t="array" ref="C56">IF($A56="","",SUM(($A$2:$A$32="Vedligeholdende")*($I$2:$P$32=$B56)))</f>
        <v>0</v>
      </c>
      <c r="D56" s="112">
        <f t="array" ref="D56">IF($A56="","",SUM(($A$2:$A$20="NL")*($I$2:$P$20=$B56)))</f>
        <v>0</v>
      </c>
      <c r="E56" s="113">
        <f t="array" ref="E56">IF($A56="","",SUM(($G$7:$G$20="Razorbacks")*($I$7:$P$20=$B56))+SUM(($G$7:$G$20="Tigers")*($I$7:$P$20=$B56))+SUM(($G$7:$G$20="89ers")*($I$7:$P$20=$B56)))</f>
        <v>0</v>
      </c>
      <c r="F56" s="113">
        <f t="array" ref="F56">IF($A56="","",SUM(($G$7:$G$20="Oaks")*($I$7:$P$20=$B56))+SUM(($G$7:$G$20="Gold Diggers")*($I$7:$P$20=$B56))+SUM(($G$7:$G$20="Towers")*($I$7:$P$20=$B56)))</f>
        <v>0</v>
      </c>
      <c r="G56" s="114">
        <f t="shared" si="2"/>
        <v>0</v>
      </c>
      <c r="H56" s="112">
        <f t="array" ref="H56">IF($A56="","",SUM(($A$21:$A$29="NL")*($I$21:$P$29=$B56)))</f>
        <v>1</v>
      </c>
      <c r="I56" s="115">
        <f t="shared" si="3"/>
        <v>0</v>
      </c>
      <c r="J56" s="112">
        <f t="array" ref="J56">IF($A56="","",SUM(($A$2:$A$29="NL")*($I$2:$P$29=$B56)))</f>
        <v>1</v>
      </c>
      <c r="K56" s="112">
        <f t="shared" si="4"/>
        <v>1</v>
      </c>
      <c r="L56" s="109"/>
      <c r="M56" s="5"/>
      <c r="N56" s="5"/>
      <c r="O56" s="5"/>
      <c r="P56" s="5"/>
      <c r="Q56" s="65"/>
      <c r="R56" s="5"/>
      <c r="S56" s="5"/>
      <c r="T56" s="5"/>
      <c r="U56" s="5"/>
      <c r="V56" s="5"/>
      <c r="W56" s="5"/>
      <c r="X56" s="5"/>
      <c r="Y56" s="110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ht="15.75" customHeight="1">
      <c r="A57" s="121"/>
      <c r="B57" s="121"/>
      <c r="C57" s="112" t="str">
        <f t="array" ref="C57">IF($A57="","",SUM(($A$2:$A$32="Vedligeholdende")*($I$2:$P$32=$B57)))</f>
        <v/>
      </c>
      <c r="D57" s="112" t="str">
        <f t="array" ref="D57">IF($A57="","",SUM(($A$2:$A$20="NL")*($I$2:$P$20=$B57)))</f>
        <v/>
      </c>
      <c r="E57" s="113" t="str">
        <f t="array" ref="E57">IF($A57="","",SUM(($G$7:$G$20="Razorbacks")*($I$7:$P$20=$B57))+SUM(($G$7:$G$20="Tigers")*($I$7:$P$20=$B57))+SUM(($G$7:$G$20="89ers")*($I$7:$P$20=$B57)))</f>
        <v/>
      </c>
      <c r="F57" s="113" t="str">
        <f t="array" ref="F57">IF($A57="","",SUM(($G$7:$G$20="Oaks")*($I$7:$P$20=$B57))+SUM(($G$7:$G$20="Gold Diggers")*($I$7:$P$20=$B57))+SUM(($G$7:$G$20="Towers")*($I$7:$P$20=$B57)))</f>
        <v/>
      </c>
      <c r="G57" s="114" t="str">
        <f t="shared" si="2"/>
        <v/>
      </c>
      <c r="H57" s="112" t="str">
        <f t="array" ref="H57">IF($A57="","",SUM(($A$21:$A$29="NL")*($I$21:$P$29=$B57)))</f>
        <v/>
      </c>
      <c r="I57" s="115" t="str">
        <f t="shared" si="3"/>
        <v/>
      </c>
      <c r="J57" s="112" t="str">
        <f t="array" ref="J57">IF($A57="","",SUM(($A$2:$A$29="NL")*($I$2:$P$29=$B57)))</f>
        <v/>
      </c>
      <c r="K57" s="112" t="str">
        <f t="shared" si="4"/>
        <v/>
      </c>
      <c r="L57" s="109"/>
      <c r="M57" s="5"/>
      <c r="N57" s="5"/>
      <c r="O57" s="5"/>
      <c r="P57" s="5"/>
      <c r="Q57" s="65"/>
      <c r="R57" s="5"/>
      <c r="S57" s="5"/>
      <c r="T57" s="5"/>
      <c r="U57" s="5"/>
      <c r="V57" s="5"/>
      <c r="W57" s="5"/>
      <c r="X57" s="5"/>
      <c r="Y57" s="110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ht="15.75" customHeight="1">
      <c r="A58" s="109" t="s">
        <v>143</v>
      </c>
      <c r="B58" s="109" t="s">
        <v>80</v>
      </c>
      <c r="C58" s="112">
        <f t="array" ref="C58">IF($A58="","",SUM(($A$2:$A$32="Vedligeholdende")*($I$2:$P$32=$B58)))</f>
        <v>0</v>
      </c>
      <c r="D58" s="112">
        <f t="array" ref="D58">IF($A58="","",SUM(($A$2:$A$20="NL")*($I$2:$P$20=$B58)))</f>
        <v>5</v>
      </c>
      <c r="E58" s="113">
        <f t="array" ref="E58">IF($A58="","",SUM(($G$7:$G$20="Razorbacks")*($I$7:$P$20=$B58))+SUM(($G$7:$G$20="Tigers")*($I$7:$P$20=$B58))+SUM(($G$7:$G$20="89ers")*($I$7:$P$20=$B58)))</f>
        <v>5</v>
      </c>
      <c r="F58" s="113">
        <f t="array" ref="F58">IF($A58="","",SUM(($G$7:$G$20="Oaks")*($I$7:$P$20=$B58))+SUM(($G$7:$G$20="Gold Diggers")*($I$7:$P$20=$B58))+SUM(($G$7:$G$20="Towers")*($I$7:$P$20=$B58)))</f>
        <v>0</v>
      </c>
      <c r="G58" s="114">
        <f t="shared" si="2"/>
        <v>5</v>
      </c>
      <c r="H58" s="112">
        <f t="array" ref="H58">IF($A58="","",SUM(($A$21:$A$29="NL")*($I$21:$P$29=$B58)))</f>
        <v>4</v>
      </c>
      <c r="I58" s="115">
        <f t="shared" si="3"/>
        <v>0</v>
      </c>
      <c r="J58" s="112">
        <f t="array" ref="J58">IF($A58="","",SUM(($A$2:$A$29="NL")*($I$2:$P$29=$B58)))</f>
        <v>9</v>
      </c>
      <c r="K58" s="112">
        <f t="shared" si="4"/>
        <v>9</v>
      </c>
      <c r="L58" s="109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110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ht="15.75" customHeight="1">
      <c r="A59" s="109" t="s">
        <v>144</v>
      </c>
      <c r="B59" s="109" t="s">
        <v>145</v>
      </c>
      <c r="C59" s="112">
        <f t="array" ref="C59">IF($A59="","",SUM(($A$2:$A$32="Vedligeholdende")*($I$2:$P$32=$B59)))</f>
        <v>0</v>
      </c>
      <c r="D59" s="112">
        <f t="array" ref="D59">IF($A59="","",SUM(($A$2:$A$20="NL")*($I$2:$P$20=$B59)))</f>
        <v>0</v>
      </c>
      <c r="E59" s="113">
        <f t="array" ref="E59">IF($A59="","",SUM(($G$7:$G$20="Razorbacks")*($I$7:$P$20=$B59))+SUM(($G$7:$G$20="Tigers")*($I$7:$P$20=$B59))+SUM(($G$7:$G$20="89ers")*($I$7:$P$20=$B59)))</f>
        <v>0</v>
      </c>
      <c r="F59" s="113">
        <f t="array" ref="F59">IF($A59="","",SUM(($G$7:$G$20="Oaks")*($I$7:$P$20=$B59))+SUM(($G$7:$G$20="Gold Diggers")*($I$7:$P$20=$B59))+SUM(($G$7:$G$20="Towers")*($I$7:$P$20=$B59)))</f>
        <v>0</v>
      </c>
      <c r="G59" s="114">
        <f t="shared" si="2"/>
        <v>0</v>
      </c>
      <c r="H59" s="112">
        <f t="array" ref="H59">IF($A59="","",SUM(($A$21:$A$29="NL")*($I$21:$P$29=$B59)))</f>
        <v>0</v>
      </c>
      <c r="I59" s="115">
        <f t="shared" si="3"/>
        <v>0</v>
      </c>
      <c r="J59" s="112">
        <f t="array" ref="J59">IF($A59="","",SUM(($A$2:$A$29="NL")*($I$2:$P$29=$B59)))</f>
        <v>0</v>
      </c>
      <c r="K59" s="112">
        <f t="shared" si="4"/>
        <v>0</v>
      </c>
      <c r="L59" s="109"/>
      <c r="M59" s="5"/>
      <c r="N59" s="5"/>
      <c r="O59" s="5"/>
      <c r="P59" s="5"/>
      <c r="Q59" s="65"/>
      <c r="R59" s="5"/>
      <c r="S59" s="109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</row>
    <row r="60" ht="15.75" customHeight="1">
      <c r="A60" s="109" t="s">
        <v>146</v>
      </c>
      <c r="B60" s="109" t="s">
        <v>147</v>
      </c>
      <c r="C60" s="112">
        <f t="array" ref="C60">IF($A60="","",SUM(($A$2:$A$32="Vedligeholdende")*($I$2:$P$32=$B60)))</f>
        <v>0</v>
      </c>
      <c r="D60" s="112">
        <f t="array" ref="D60">IF($A60="","",SUM(($A$2:$A$20="NL")*($I$2:$P$20=$B60)))</f>
        <v>0</v>
      </c>
      <c r="E60" s="113">
        <f t="array" ref="E60">IF($A60="","",SUM(($G$7:$G$20="Razorbacks")*($I$7:$P$20=$B60))+SUM(($G$7:$G$20="Tigers")*($I$7:$P$20=$B60))+SUM(($G$7:$G$20="89ers")*($I$7:$P$20=$B60)))</f>
        <v>0</v>
      </c>
      <c r="F60" s="113">
        <f t="array" ref="F60">IF($A60="","",SUM(($G$7:$G$20="Oaks")*($I$7:$P$20=$B60))+SUM(($G$7:$G$20="Gold Diggers")*($I$7:$P$20=$B60))+SUM(($G$7:$G$20="Towers")*($I$7:$P$20=$B60)))</f>
        <v>0</v>
      </c>
      <c r="G60" s="114">
        <f t="shared" si="2"/>
        <v>0</v>
      </c>
      <c r="H60" s="112">
        <f t="array" ref="H60">IF($A60="","",SUM(($A$21:$A$29="NL")*($I$21:$P$29=$B60)))</f>
        <v>0</v>
      </c>
      <c r="I60" s="115">
        <f t="shared" si="3"/>
        <v>0</v>
      </c>
      <c r="J60" s="112">
        <f t="array" ref="J60">IF($A60="","",SUM(($A$2:$A$29="NL")*($I$2:$P$29=$B60)))</f>
        <v>0</v>
      </c>
      <c r="K60" s="112">
        <f t="shared" si="4"/>
        <v>0</v>
      </c>
      <c r="L60" s="109"/>
      <c r="M60" s="5"/>
      <c r="N60" s="5"/>
      <c r="O60" s="5"/>
      <c r="P60" s="5"/>
      <c r="Q60" s="65"/>
      <c r="R60" s="5"/>
      <c r="S60" s="5"/>
      <c r="T60" s="116"/>
      <c r="U60" s="116"/>
      <c r="V60" s="116"/>
      <c r="W60" s="116"/>
      <c r="X60" s="116"/>
      <c r="Y60" s="110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ht="15.75" customHeight="1">
      <c r="A61" s="109" t="s">
        <v>148</v>
      </c>
      <c r="B61" s="109" t="s">
        <v>66</v>
      </c>
      <c r="C61" s="112">
        <f t="array" ref="C61">IF($A61="","",SUM(($A$2:$A$32="Vedligeholdende")*($I$2:$P$32=$B61)))</f>
        <v>1</v>
      </c>
      <c r="D61" s="112">
        <f t="array" ref="D61">IF($A61="","",SUM(($A$2:$A$20="NL")*($I$2:$P$20=$B61)))</f>
        <v>8</v>
      </c>
      <c r="E61" s="113">
        <f t="array" ref="E61">IF($A61="","",SUM(($G$7:$G$20="Razorbacks")*($I$7:$P$20=$B61))+SUM(($G$7:$G$20="Tigers")*($I$7:$P$20=$B61))+SUM(($G$7:$G$20="89ers")*($I$7:$P$20=$B61)))</f>
        <v>3</v>
      </c>
      <c r="F61" s="113">
        <f t="array" ref="F61">IF($A61="","",SUM(($G$7:$G$20="Oaks")*($I$7:$P$20=$B61))+SUM(($G$7:$G$20="Gold Diggers")*($I$7:$P$20=$B61))+SUM(($G$7:$G$20="Towers")*($I$7:$P$20=$B61)))</f>
        <v>2</v>
      </c>
      <c r="G61" s="114">
        <f t="shared" si="2"/>
        <v>9</v>
      </c>
      <c r="H61" s="112">
        <f t="array" ref="H61">IF($A61="","",SUM(($A$21:$A$29="NL")*($I$21:$P$29=$B61)))</f>
        <v>5</v>
      </c>
      <c r="I61" s="115">
        <f t="shared" si="3"/>
        <v>0</v>
      </c>
      <c r="J61" s="112">
        <f t="array" ref="J61">IF($A61="","",SUM(($A$2:$A$29="NL")*($I$2:$P$29=$B61)))</f>
        <v>13</v>
      </c>
      <c r="K61" s="112">
        <f t="shared" si="4"/>
        <v>13</v>
      </c>
      <c r="L61" s="109"/>
      <c r="M61" s="5"/>
      <c r="N61" s="5"/>
      <c r="O61" s="5"/>
      <c r="P61" s="5"/>
      <c r="Q61" s="65"/>
      <c r="R61" s="5"/>
      <c r="S61" s="5"/>
      <c r="T61" s="5"/>
      <c r="U61" s="5">
        <f>SUMIF(G$12:G$32,Q59,Y$12:Y$29)</f>
        <v>0</v>
      </c>
      <c r="V61" s="5" t="str">
        <f>U61/R59</f>
        <v>#DIV/0!</v>
      </c>
      <c r="W61" s="5"/>
      <c r="X61" s="5"/>
      <c r="Y61" s="110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ht="15.75" customHeight="1">
      <c r="A62" s="109" t="s">
        <v>149</v>
      </c>
      <c r="B62" s="109" t="s">
        <v>73</v>
      </c>
      <c r="C62" s="112">
        <f t="array" ref="C62">IF($A62="","",SUM(($A$2:$A$32="Vedligeholdende")*($I$2:$P$32=$B62)))</f>
        <v>0</v>
      </c>
      <c r="D62" s="112">
        <f t="array" ref="D62">IF($A62="","",SUM(($A$2:$A$20="NL")*($I$2:$P$20=$B62)))</f>
        <v>6</v>
      </c>
      <c r="E62" s="113">
        <f t="array" ref="E62">IF($A62="","",SUM(($G$7:$G$20="Razorbacks")*($I$7:$P$20=$B62))+SUM(($G$7:$G$20="Tigers")*($I$7:$P$20=$B62))+SUM(($G$7:$G$20="89ers")*($I$7:$P$20=$B62)))</f>
        <v>2</v>
      </c>
      <c r="F62" s="113">
        <f t="array" ref="F62">IF($A62="","",SUM(($G$7:$G$20="Oaks")*($I$7:$P$20=$B62))+SUM(($G$7:$G$20="Gold Diggers")*($I$7:$P$20=$B62))+SUM(($G$7:$G$20="Towers")*($I$7:$P$20=$B62)))</f>
        <v>2</v>
      </c>
      <c r="G62" s="114">
        <f t="shared" si="2"/>
        <v>6</v>
      </c>
      <c r="H62" s="112">
        <f t="array" ref="H62">IF($A62="","",SUM(($A$21:$A$29="NL")*($I$21:$P$29=$B62)))</f>
        <v>3</v>
      </c>
      <c r="I62" s="115">
        <f t="shared" si="3"/>
        <v>0</v>
      </c>
      <c r="J62" s="112">
        <f t="array" ref="J62">IF($A62="","",SUM(($A$2:$A$29="NL")*($I$2:$P$29=$B62)))</f>
        <v>9</v>
      </c>
      <c r="K62" s="112">
        <f t="shared" si="4"/>
        <v>9</v>
      </c>
      <c r="L62" s="109"/>
      <c r="M62" s="5"/>
      <c r="N62" s="5"/>
      <c r="O62" s="5"/>
      <c r="P62" s="5"/>
      <c r="Q62" s="65"/>
      <c r="R62" s="5"/>
      <c r="S62" s="5"/>
      <c r="T62" s="5"/>
      <c r="U62" s="5"/>
      <c r="V62" s="5"/>
      <c r="W62" s="5"/>
      <c r="X62" s="5"/>
      <c r="Y62" s="110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ht="15.75" customHeight="1">
      <c r="A63" s="121"/>
      <c r="B63" s="121"/>
      <c r="C63" s="112" t="str">
        <f t="array" ref="C63">IF($A63="","",SUM(($A$2:$A$32="Vedligeholdende")*($I$2:$P$32=$B63)))</f>
        <v/>
      </c>
      <c r="D63" s="112" t="str">
        <f t="array" ref="D63">IF($A63="","",SUM(($A$2:$A$20="NL")*($I$2:$P$20=$B63)))</f>
        <v/>
      </c>
      <c r="E63" s="113" t="str">
        <f t="array" ref="E63">IF($A63="","",SUM(($G$7:$G$20="Razorbacks")*($I$7:$P$20=$B63))+SUM(($G$7:$G$20="Tigers")*($I$7:$P$20=$B63))+SUM(($G$7:$G$20="89ers")*($I$7:$P$20=$B63)))</f>
        <v/>
      </c>
      <c r="F63" s="113" t="str">
        <f t="array" ref="F63">IF($A63="","",SUM(($G$7:$G$20="Oaks")*($I$7:$P$20=$B63))+SUM(($G$7:$G$20="Gold Diggers")*($I$7:$P$20=$B63))+SUM(($G$7:$G$20="Towers")*($I$7:$P$20=$B63)))</f>
        <v/>
      </c>
      <c r="G63" s="114" t="str">
        <f t="shared" si="2"/>
        <v/>
      </c>
      <c r="H63" s="112" t="str">
        <f t="array" ref="H63">IF($A63="","",SUM(($A$21:$A$29="NL")*($I$21:$P$29=$B63)))</f>
        <v/>
      </c>
      <c r="I63" s="115" t="str">
        <f t="shared" si="3"/>
        <v/>
      </c>
      <c r="J63" s="112" t="str">
        <f t="array" ref="J63">IF($A63="","",SUM(($A$2:$A$29="NL")*($I$2:$P$29=$B63)))</f>
        <v/>
      </c>
      <c r="K63" s="112" t="str">
        <f t="shared" si="4"/>
        <v/>
      </c>
      <c r="L63" s="109"/>
      <c r="M63" s="5"/>
      <c r="N63" s="5"/>
      <c r="O63" s="5"/>
      <c r="P63" s="5"/>
      <c r="Q63" s="65"/>
      <c r="R63" s="5"/>
      <c r="S63" s="5"/>
      <c r="T63" s="5"/>
      <c r="U63" s="5"/>
      <c r="V63" s="5"/>
      <c r="W63" s="5"/>
      <c r="X63" s="5"/>
      <c r="Y63" s="110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ht="15.75" customHeight="1">
      <c r="A64" s="109" t="s">
        <v>150</v>
      </c>
      <c r="B64" s="109" t="s">
        <v>85</v>
      </c>
      <c r="C64" s="112">
        <f t="array" ref="C64">IF($A64="","",SUM(($A$2:$A$32="Vedligeholdende")*($I$2:$P$32=$B64)))</f>
        <v>0</v>
      </c>
      <c r="D64" s="112">
        <f t="array" ref="D64">IF($A64="","",SUM(($A$2:$A$20="NL")*($I$2:$P$20=$B64)))+1</f>
        <v>5</v>
      </c>
      <c r="E64" s="113">
        <f t="array" ref="E64">IF($A64="","",SUM(($G$7:$G$20="Razorbacks")*($I$7:$P$20=$B64))+SUM(($G$7:$G$20="Tigers")*($I$7:$P$20=$B64))+SUM(($G$7:$G$20="89ers")*($I$7:$P$20=$B64)))</f>
        <v>0</v>
      </c>
      <c r="F64" s="113">
        <f t="array" ref="F64">IF($A64="","",SUM(($G$7:$G$20="Oaks")*($I$7:$P$20=$B64))+SUM(($G$7:$G$20="Gold Diggers")*($I$7:$P$20=$B64))+SUM(($G$7:$G$20="Towers")*($I$7:$P$20=$B64)))+1</f>
        <v>3</v>
      </c>
      <c r="G64" s="114">
        <f t="shared" si="2"/>
        <v>5</v>
      </c>
      <c r="H64" s="112">
        <f t="array" ref="H64">IF($A64="","",SUM(($A$21:$A$29="NL")*($I$21:$P$29=$B64)))</f>
        <v>0</v>
      </c>
      <c r="I64" s="115">
        <f t="shared" si="3"/>
        <v>0</v>
      </c>
      <c r="J64" s="112">
        <f t="array" ref="J64">IF($A64="","",SUM(($A$2:$A$29="NL")*($I$2:$P$29=$B64)))+1</f>
        <v>5</v>
      </c>
      <c r="K64" s="112">
        <f>IF($A64="","",COUNTIF($I$2:$P$29,$B64)-C64)+1</f>
        <v>5</v>
      </c>
      <c r="L64" s="109"/>
      <c r="M64" s="5"/>
      <c r="N64" s="5"/>
      <c r="O64" s="5"/>
      <c r="P64" s="5"/>
      <c r="Q64" s="65"/>
      <c r="R64" s="5"/>
      <c r="S64" s="5"/>
      <c r="T64" s="5"/>
      <c r="U64" s="5"/>
      <c r="V64" s="5"/>
      <c r="W64" s="5"/>
      <c r="X64" s="5"/>
      <c r="Y64" s="110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ht="15.75" customHeight="1">
      <c r="A65" s="109" t="s">
        <v>151</v>
      </c>
      <c r="B65" s="109" t="s">
        <v>152</v>
      </c>
      <c r="C65" s="112">
        <f t="array" ref="C65">IF($A65="","",SUM(($A$2:$A$32="Vedligeholdende")*($I$2:$P$32=$B65)))</f>
        <v>0</v>
      </c>
      <c r="D65" s="112">
        <f t="array" ref="D65">IF($A65="","",SUM(($A$2:$A$20="NL")*($I$2:$P$20=$B65)))</f>
        <v>0</v>
      </c>
      <c r="E65" s="113">
        <f t="array" ref="E65">IF($A65="","",SUM(($G$7:$G$20="Razorbacks")*($I$7:$P$20=$B65))+SUM(($G$7:$G$20="Tigers")*($I$7:$P$20=$B65))+SUM(($G$7:$G$20="89ers")*($I$7:$P$20=$B65)))</f>
        <v>0</v>
      </c>
      <c r="F65" s="113">
        <f t="array" ref="F65">IF($A65="","",SUM(($G$7:$G$20="Oaks")*($I$7:$P$20=$B65))+SUM(($G$7:$G$20="Gold Diggers")*($I$7:$P$20=$B65))+SUM(($G$7:$G$20="Towers")*($I$7:$P$20=$B65)))</f>
        <v>0</v>
      </c>
      <c r="G65" s="114">
        <f t="shared" si="2"/>
        <v>0</v>
      </c>
      <c r="H65" s="112">
        <f t="array" ref="H65">IF($A65="","",SUM(($A$21:$A$29="NL")*($I$21:$P$29=$B65)))</f>
        <v>0</v>
      </c>
      <c r="I65" s="115">
        <f t="shared" si="3"/>
        <v>0</v>
      </c>
      <c r="J65" s="112">
        <f t="array" ref="J65">IF($A65="","",SUM(($A$2:$A$29="NL")*($I$2:$P$29=$B65)))</f>
        <v>0</v>
      </c>
      <c r="K65" s="112">
        <f t="shared" ref="K65:K69" si="5">IF($A65="","",COUNTIF($I$2:$P$29,$B65)-C65)</f>
        <v>0</v>
      </c>
      <c r="L65" s="109"/>
      <c r="M65" s="5"/>
      <c r="N65" s="5"/>
      <c r="O65" s="5"/>
      <c r="P65" s="5"/>
      <c r="Q65" s="65"/>
      <c r="R65" s="5"/>
      <c r="S65" s="5"/>
      <c r="T65" s="5"/>
      <c r="U65" s="5">
        <f>SUMIF(G$12:G$32,#REF!,Y$12:Y$29)</f>
        <v>0</v>
      </c>
      <c r="V65" s="5" t="str">
        <f>U65/#REF!</f>
        <v>#REF!</v>
      </c>
      <c r="W65" s="5"/>
      <c r="X65" s="5"/>
      <c r="Y65" s="110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ht="15.75" customHeight="1">
      <c r="A66" s="109" t="s">
        <v>153</v>
      </c>
      <c r="B66" s="109" t="s">
        <v>154</v>
      </c>
      <c r="C66" s="112">
        <f t="array" ref="C66">IF($A66="","",SUM(($A$2:$A$32="Vedligeholdende")*($I$2:$P$32=$B66)))</f>
        <v>0</v>
      </c>
      <c r="D66" s="112">
        <f t="array" ref="D66">IF($A66="","",SUM(($A$2:$A$20="NL")*($I$2:$P$20=$B66)))</f>
        <v>0</v>
      </c>
      <c r="E66" s="113">
        <f t="array" ref="E66">IF($A66="","",SUM(($G$7:$G$20="Razorbacks")*($I$7:$P$20=$B66))+SUM(($G$7:$G$20="Tigers")*($I$7:$P$20=$B66))+SUM(($G$7:$G$20="89ers")*($I$7:$P$20=$B66)))</f>
        <v>0</v>
      </c>
      <c r="F66" s="113">
        <f t="array" ref="F66">IF($A66="","",SUM(($G$7:$G$20="Oaks")*($I$7:$P$20=$B66))+SUM(($G$7:$G$20="Gold Diggers")*($I$7:$P$20=$B66))+SUM(($G$7:$G$20="Towers")*($I$7:$P$20=$B66)))</f>
        <v>0</v>
      </c>
      <c r="G66" s="114">
        <f t="shared" si="2"/>
        <v>0</v>
      </c>
      <c r="H66" s="112">
        <f t="array" ref="H66">IF($A66="","",SUM(($A$21:$A$29="NL")*($I$21:$P$29=$B66)))</f>
        <v>0</v>
      </c>
      <c r="I66" s="115">
        <f t="shared" si="3"/>
        <v>0</v>
      </c>
      <c r="J66" s="112">
        <f t="array" ref="J66">IF($A66="","",SUM(($A$2:$A$29="NL")*($I$2:$P$29=$B66)))</f>
        <v>0</v>
      </c>
      <c r="K66" s="112">
        <f t="shared" si="5"/>
        <v>0</v>
      </c>
      <c r="L66" s="109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110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ht="15.75" customHeight="1">
      <c r="A67" s="123" t="s">
        <v>155</v>
      </c>
      <c r="B67" s="123" t="s">
        <v>156</v>
      </c>
      <c r="C67" s="112">
        <f t="array" ref="C67">IF($A67="","",SUM(($A$2:$A$32="Vedligeholdende")*($I$2:$P$32=$B67)))</f>
        <v>0</v>
      </c>
      <c r="D67" s="112">
        <f t="array" ref="D67">IF($A67="","",SUM(($A$2:$A$20="NL")*($I$2:$P$20=$B67)))</f>
        <v>0</v>
      </c>
      <c r="E67" s="113">
        <f t="array" ref="E67">IF($A67="","",SUM(($G$7:$G$20="Razorbacks")*($I$7:$P$20=$B67))+SUM(($G$7:$G$20="Tigers")*($I$7:$P$20=$B67))+SUM(($G$7:$G$20="89ers")*($I$7:$P$20=$B67)))</f>
        <v>0</v>
      </c>
      <c r="F67" s="113">
        <f t="array" ref="F67">IF($A67="","",SUM(($G$7:$G$20="Oaks")*($I$7:$P$20=$B67))+SUM(($G$7:$G$20="Gold Diggers")*($I$7:$P$20=$B67))+SUM(($G$7:$G$20="Towers")*($I$7:$P$20=$B67)))</f>
        <v>0</v>
      </c>
      <c r="G67" s="114">
        <f t="shared" si="2"/>
        <v>0</v>
      </c>
      <c r="H67" s="112">
        <f t="array" ref="H67">IF($A67="","",SUM(($A$21:$A$29="NL")*($I$21:$P$29=$B67)))</f>
        <v>0</v>
      </c>
      <c r="I67" s="115">
        <f t="shared" si="3"/>
        <v>0</v>
      </c>
      <c r="J67" s="112">
        <f t="array" ref="J67">IF($A67="","",SUM(($A$2:$A$29="NL")*($I$2:$P$29=$B67)))</f>
        <v>0</v>
      </c>
      <c r="K67" s="112">
        <f t="shared" si="5"/>
        <v>0</v>
      </c>
      <c r="L67" s="5"/>
      <c r="M67" s="5"/>
      <c r="N67" s="5"/>
      <c r="O67" s="5"/>
      <c r="P67" s="65"/>
      <c r="Q67" s="5"/>
      <c r="R67" s="5"/>
      <c r="S67" s="5"/>
      <c r="T67" s="5"/>
      <c r="U67" s="5"/>
      <c r="V67" s="5"/>
      <c r="W67" s="5"/>
      <c r="X67" s="5"/>
      <c r="Y67" s="110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ht="15.75" customHeight="1">
      <c r="A68" s="109" t="s">
        <v>157</v>
      </c>
      <c r="B68" s="109" t="s">
        <v>51</v>
      </c>
      <c r="C68" s="112">
        <f t="array" ref="C68">IF($A68="","",SUM(($A$2:$A$32="Vedligeholdende")*($I$2:$P$32=$B68)))</f>
        <v>1</v>
      </c>
      <c r="D68" s="112">
        <f t="array" ref="D68">IF($A68="","",SUM(($A$2:$A$20="NL")*($I$2:$P$20=$B68)))</f>
        <v>3</v>
      </c>
      <c r="E68" s="113">
        <f t="array" ref="E68">IF($A68="","",SUM(($G$7:$G$20="Razorbacks")*($I$7:$P$20=$B68))+SUM(($G$7:$G$20="Tigers")*($I$7:$P$20=$B68))+SUM(($G$7:$G$20="89ers")*($I$7:$P$20=$B68)))</f>
        <v>1</v>
      </c>
      <c r="F68" s="113">
        <f t="array" ref="F68">IF($A68="","",SUM(($G$7:$G$20="Oaks")*($I$7:$P$20=$B68))+SUM(($G$7:$G$20="Gold Diggers")*($I$7:$P$20=$B68))+SUM(($G$7:$G$20="Towers")*($I$7:$P$20=$B68)))</f>
        <v>1</v>
      </c>
      <c r="G68" s="114">
        <f t="shared" si="2"/>
        <v>4</v>
      </c>
      <c r="H68" s="112">
        <f t="array" ref="H68">IF($A68="","",SUM(($A$21:$A$29="NL")*($I$21:$P$29=$B68)))</f>
        <v>0</v>
      </c>
      <c r="I68" s="115">
        <f t="shared" si="3"/>
        <v>0</v>
      </c>
      <c r="J68" s="112">
        <f t="array" ref="J68">IF($A68="","",SUM(($A$2:$A$29="NL")*($I$2:$P$29=$B68)))</f>
        <v>3</v>
      </c>
      <c r="K68" s="112">
        <f t="shared" si="5"/>
        <v>3</v>
      </c>
      <c r="L68" s="5"/>
      <c r="M68" s="5"/>
      <c r="N68" s="5"/>
      <c r="O68" s="5"/>
      <c r="P68" s="65"/>
      <c r="Q68" s="5"/>
      <c r="R68" s="5"/>
      <c r="S68" s="5"/>
      <c r="T68" s="5"/>
      <c r="U68" s="5"/>
      <c r="V68" s="5"/>
      <c r="W68" s="5"/>
      <c r="X68" s="5"/>
      <c r="Y68" s="110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ht="15.75" customHeight="1">
      <c r="A69" s="121" t="s">
        <v>158</v>
      </c>
      <c r="B69" s="121" t="s">
        <v>45</v>
      </c>
      <c r="C69" s="112">
        <f t="array" ref="C69">IF($A69="","",SUM(($A$2:$A$32="Vedligeholdende")*($I$2:$P$32=$B69)))</f>
        <v>1</v>
      </c>
      <c r="D69" s="112">
        <f t="array" ref="D69">IF($A69="","",SUM(($A$2:$A$20="NL")*($I$2:$P$20=$B69)))</f>
        <v>5</v>
      </c>
      <c r="E69" s="113">
        <f t="array" ref="E69">IF($A69="","",SUM(($G$7:$G$20="Razorbacks")*($I$7:$P$20=$B69))+SUM(($G$7:$G$20="Tigers")*($I$7:$P$20=$B69))+SUM(($G$7:$G$20="89ers")*($I$7:$P$20=$B69)))</f>
        <v>5</v>
      </c>
      <c r="F69" s="113">
        <f t="array" ref="F69">IF($A69="","",SUM(($G$7:$G$20="Oaks")*($I$7:$P$20=$B69))+SUM(($G$7:$G$20="Gold Diggers")*($I$7:$P$20=$B69))+SUM(($G$7:$G$20="Towers")*($I$7:$P$20=$B69)))</f>
        <v>0</v>
      </c>
      <c r="G69" s="114">
        <f t="shared" si="2"/>
        <v>6</v>
      </c>
      <c r="H69" s="112">
        <f t="array" ref="H69">IF($A69="","",SUM(($A$21:$A$29="NL")*($I$21:$P$29=$B69)))</f>
        <v>3</v>
      </c>
      <c r="I69" s="115">
        <f t="shared" si="3"/>
        <v>0</v>
      </c>
      <c r="J69" s="112">
        <f t="array" ref="J69">IF($A69="","",SUM(($A$2:$A$29="NL")*($I$2:$P$29=$B69)))</f>
        <v>8</v>
      </c>
      <c r="K69" s="112">
        <f t="shared" si="5"/>
        <v>8</v>
      </c>
      <c r="L69" s="5"/>
      <c r="M69" s="5"/>
      <c r="N69" s="5"/>
      <c r="O69" s="5"/>
      <c r="P69" s="65"/>
      <c r="Q69" s="5"/>
      <c r="R69" s="116"/>
      <c r="S69" s="5"/>
      <c r="T69" s="5"/>
      <c r="U69" s="5"/>
      <c r="V69" s="5"/>
      <c r="W69" s="5"/>
      <c r="X69" s="5"/>
      <c r="Y69" s="110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ht="15.75" customHeight="1">
      <c r="A70" s="121"/>
      <c r="B70" s="121"/>
      <c r="C70" s="112"/>
      <c r="D70" s="112"/>
      <c r="E70" s="113"/>
      <c r="F70" s="113"/>
      <c r="G70" s="114"/>
      <c r="H70" s="112"/>
      <c r="I70" s="115"/>
      <c r="J70" s="112"/>
      <c r="K70" s="112"/>
      <c r="L70" s="5"/>
      <c r="M70" s="5"/>
      <c r="N70" s="5"/>
      <c r="O70" s="5"/>
      <c r="P70" s="65"/>
      <c r="Q70" s="5"/>
      <c r="R70" s="116"/>
      <c r="S70" s="5"/>
      <c r="T70" s="5"/>
      <c r="U70" s="5"/>
      <c r="V70" s="5"/>
      <c r="W70" s="5"/>
      <c r="X70" s="5"/>
      <c r="Y70" s="110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ht="15.75" customHeight="1">
      <c r="A71" s="121" t="s">
        <v>159</v>
      </c>
      <c r="B71" s="121" t="s">
        <v>88</v>
      </c>
      <c r="C71" s="112">
        <f t="array" ref="C71">IF($A71="","",SUM(($A$2:$A$32="Vedligeholdende")*($I$2:$P$32=$B71)))</f>
        <v>0</v>
      </c>
      <c r="D71" s="112">
        <f t="array" ref="D71">IF($A71="","",SUM(($A$2:$A$20="NL")*($I$2:$P$20=$B71)))</f>
        <v>2</v>
      </c>
      <c r="E71" s="113">
        <f t="array" ref="E71">IF($A71="","",SUM(($G$7:$G$20="Razorbacks")*($I$7:$P$20=$B71))+SUM(($G$7:$G$20="Tigers")*($I$7:$P$20=$B71))+SUM(($G$7:$G$20="89ers")*($I$7:$P$20=$B71)))</f>
        <v>1</v>
      </c>
      <c r="F71" s="113">
        <f t="array" ref="F71">IF($A71="","",SUM(($G$7:$G$20="Oaks")*($I$7:$P$20=$B71))+SUM(($G$7:$G$20="Gold Diggers")*($I$7:$P$20=$B71))+SUM(($G$7:$G$20="Towers")*($I$7:$P$20=$B71)))</f>
        <v>1</v>
      </c>
      <c r="G71" s="114">
        <f t="shared" ref="G71:G74" si="6">IF($A71="","",C71+D71)</f>
        <v>2</v>
      </c>
      <c r="H71" s="112">
        <f t="array" ref="H71">IF($A71="","",SUM(($A$21:$A$29="NL")*($I$21:$P$29=$B71)))</f>
        <v>1</v>
      </c>
      <c r="I71" s="115">
        <f t="shared" ref="I71:I74" si="7">IF($A71="","",COUNTIF($I$21:$P$29,$B71)-H71)</f>
        <v>0</v>
      </c>
      <c r="J71" s="112">
        <f t="array" ref="J71">IF($A71="","",SUM(($A$2:$A$29="NL")*($I$2:$P$29=$B71)))</f>
        <v>3</v>
      </c>
      <c r="K71" s="112">
        <f t="shared" ref="K71:K72" si="8">IF($A71="","",COUNTIF($I$2:$P$29,$B71)-C71)</f>
        <v>3</v>
      </c>
      <c r="L71" s="5"/>
      <c r="M71" s="5"/>
      <c r="N71" s="5"/>
      <c r="O71" s="5"/>
      <c r="P71" s="65"/>
      <c r="Q71" s="5"/>
      <c r="R71" s="116"/>
      <c r="S71" s="5"/>
      <c r="T71" s="5"/>
      <c r="U71" s="5"/>
      <c r="V71" s="5"/>
      <c r="W71" s="5"/>
      <c r="X71" s="5"/>
      <c r="Y71" s="110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ht="15.75" customHeight="1">
      <c r="A72" s="5" t="s">
        <v>160</v>
      </c>
      <c r="B72" s="5" t="s">
        <v>52</v>
      </c>
      <c r="C72" s="112">
        <f t="array" ref="C72">IF($A72="","",SUM(($A$2:$A$32="Vedligeholdende")*($I$2:$P$32=$B72)))</f>
        <v>1</v>
      </c>
      <c r="D72" s="112">
        <f t="array" ref="D72">IF($A72="","",SUM(($A$2:$A$20="NL")*($I$2:$P$20=$B72)))</f>
        <v>4</v>
      </c>
      <c r="E72" s="113">
        <f t="array" ref="E72">IF($A72="","",SUM(($G$7:$G$20="Razorbacks")*($I$7:$P$20=$B72))+SUM(($G$7:$G$20="Tigers")*($I$7:$P$20=$B72))+SUM(($G$7:$G$20="89ers")*($I$7:$P$20=$B72)))</f>
        <v>2</v>
      </c>
      <c r="F72" s="113">
        <f t="array" ref="F72">IF($A72="","",SUM(($G$7:$G$20="Oaks")*($I$7:$P$20=$B72))+SUM(($G$7:$G$20="Gold Diggers")*($I$7:$P$20=$B72))+SUM(($G$7:$G$20="Towers")*($I$7:$P$20=$B72)))</f>
        <v>1</v>
      </c>
      <c r="G72" s="114">
        <f t="shared" si="6"/>
        <v>5</v>
      </c>
      <c r="H72" s="112">
        <f t="array" ref="H72">IF($A72="","",SUM(($A$21:$A$29="NL")*($I$21:$P$29=$B72)))</f>
        <v>2</v>
      </c>
      <c r="I72" s="115">
        <f t="shared" si="7"/>
        <v>0</v>
      </c>
      <c r="J72" s="112">
        <f t="array" ref="J72">IF($A72="","",SUM(($A$2:$A$29="NL")*($I$2:$P$29=$B72)))</f>
        <v>6</v>
      </c>
      <c r="K72" s="112">
        <f t="shared" si="8"/>
        <v>6</v>
      </c>
      <c r="L72" s="5"/>
      <c r="M72" s="5"/>
      <c r="N72" s="5"/>
      <c r="O72" s="5"/>
      <c r="P72" s="5"/>
      <c r="Q72" s="5"/>
      <c r="R72" s="116"/>
      <c r="S72" s="5"/>
      <c r="T72" s="5"/>
      <c r="U72" s="5"/>
      <c r="V72" s="5"/>
      <c r="W72" s="5"/>
      <c r="X72" s="5"/>
      <c r="Y72" s="110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ht="15.75" customHeight="1">
      <c r="A73" s="5" t="s">
        <v>161</v>
      </c>
      <c r="B73" s="5" t="s">
        <v>162</v>
      </c>
      <c r="C73" s="112">
        <f t="array" ref="C73">IF($A73="","",SUM(($A$2:$A$32="Vedligeholdende")*($I$2:$P$32=$B73)))</f>
        <v>0</v>
      </c>
      <c r="D73" s="112">
        <f t="array" ref="D73">IF($A73="","",SUM(($A$2:$A$20="NL")*($I$2:$P$20=$B73)))+1</f>
        <v>1</v>
      </c>
      <c r="E73" s="113">
        <f t="array" ref="E73">IF($A73="","",SUM(($G$7:$G$20="Razorbacks")*($I$7:$P$20=$B73))+SUM(($G$7:$G$20="Tigers")*($I$7:$P$20=$B73))+SUM(($G$7:$G$20="89ers")*($I$7:$P$20=$B73)))</f>
        <v>0</v>
      </c>
      <c r="F73" s="113">
        <f t="array" ref="F73">IF($A73="","",SUM(($G$7:$G$20="Oaks")*($I$7:$P$20=$B73))+SUM(($G$7:$G$20="Gold Diggers")*($I$7:$P$20=$B73))+SUM(($G$7:$G$20="Towers")*($I$7:$P$20=$B73)))+1</f>
        <v>1</v>
      </c>
      <c r="G73" s="114">
        <f t="shared" si="6"/>
        <v>1</v>
      </c>
      <c r="H73" s="112">
        <f t="array" ref="H73">IF($A73="","",SUM(($A$21:$A$29="NL")*($I$21:$P$29=$B73)))</f>
        <v>0</v>
      </c>
      <c r="I73" s="115">
        <f t="shared" si="7"/>
        <v>0</v>
      </c>
      <c r="J73" s="112">
        <f t="array" ref="J73">IF($A73="","",SUM(($A$2:$A$29="NL")*($I$2:$P$29=$B73)))+1</f>
        <v>1</v>
      </c>
      <c r="K73" s="112">
        <f>IF($A73="","",COUNTIF($I$2:$P$29,$B73)-C73)+1</f>
        <v>1</v>
      </c>
      <c r="L73" s="5"/>
      <c r="M73" s="5"/>
      <c r="N73" s="5"/>
      <c r="O73" s="5"/>
      <c r="P73" s="5"/>
      <c r="Q73" s="5"/>
      <c r="R73" s="116"/>
      <c r="S73" s="5"/>
      <c r="T73" s="5"/>
      <c r="U73" s="5"/>
      <c r="V73" s="5"/>
      <c r="W73" s="5"/>
      <c r="X73" s="5"/>
      <c r="Y73" s="110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ht="15.75" customHeight="1">
      <c r="A74" s="5" t="s">
        <v>163</v>
      </c>
      <c r="B74" s="5" t="s">
        <v>79</v>
      </c>
      <c r="C74" s="112">
        <f t="array" ref="C74">IF($A74="","",SUM(($A$2:$A$32="Vedligeholdende")*($I$2:$P$32=$B74)))</f>
        <v>0</v>
      </c>
      <c r="D74" s="112">
        <f t="array" ref="D74">IF($A74="","",SUM(($A$2:$A$20="NL")*($I$2:$P$20=$B74)))</f>
        <v>1</v>
      </c>
      <c r="E74" s="113">
        <f t="array" ref="E74">IF($A74="","",SUM(($G$7:$G$20="Razorbacks")*($I$7:$P$20=$B74))+SUM(($G$7:$G$20="Tigers")*($I$7:$P$20=$B74))+SUM(($G$7:$G$20="89ers")*($I$7:$P$20=$B74)))</f>
        <v>1</v>
      </c>
      <c r="F74" s="113">
        <f t="array" ref="F74">IF($A74="","",SUM(($G$7:$G$20="Oaks")*($I$7:$P$20=$B74))+SUM(($G$7:$G$20="Gold Diggers")*($I$7:$P$20=$B74))+SUM(($G$7:$G$20="Towers")*($I$7:$P$20=$B74)))</f>
        <v>0</v>
      </c>
      <c r="G74" s="114">
        <f t="shared" si="6"/>
        <v>1</v>
      </c>
      <c r="H74" s="112">
        <f t="array" ref="H74">IF($A74="","",SUM(($A$21:$A$29="NL")*($I$21:$P$29=$B74)))</f>
        <v>0</v>
      </c>
      <c r="I74" s="115">
        <f t="shared" si="7"/>
        <v>0</v>
      </c>
      <c r="J74" s="112">
        <f t="array" ref="J74">IF($A74="","",SUM(($A$2:$A$29="NL")*($I$2:$P$29=$B74)))</f>
        <v>1</v>
      </c>
      <c r="K74" s="112">
        <f>IF($A74="","",COUNTIF($I$2:$P$29,$B74)-C74)</f>
        <v>1</v>
      </c>
      <c r="L74" s="5"/>
      <c r="M74" s="5"/>
      <c r="N74" s="5"/>
      <c r="O74" s="5"/>
      <c r="P74" s="5"/>
      <c r="Q74" s="116"/>
      <c r="R74" s="5"/>
      <c r="S74" s="5"/>
      <c r="T74" s="5"/>
      <c r="U74" s="5"/>
      <c r="V74" s="5"/>
      <c r="W74" s="5"/>
      <c r="X74" s="110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116"/>
      <c r="R75" s="5"/>
      <c r="S75" s="5"/>
      <c r="T75" s="5"/>
      <c r="U75" s="5"/>
      <c r="V75" s="5"/>
      <c r="W75" s="5"/>
      <c r="X75" s="110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116"/>
      <c r="R76" s="5"/>
      <c r="S76" s="5"/>
      <c r="T76" s="5"/>
      <c r="U76" s="5"/>
      <c r="V76" s="5"/>
      <c r="W76" s="5"/>
      <c r="X76" s="110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ht="15.75" customHeight="1">
      <c r="A77" s="124" t="s">
        <v>164</v>
      </c>
      <c r="B77" s="124" t="s">
        <v>165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65"/>
      <c r="P77" s="5" t="str">
        <f>DATA!I64</f>
        <v/>
      </c>
      <c r="Q77" s="116"/>
      <c r="R77" s="5"/>
      <c r="S77" s="5"/>
      <c r="T77" s="5"/>
      <c r="U77" s="5"/>
      <c r="V77" s="5"/>
      <c r="W77" s="5"/>
      <c r="X77" s="110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ht="15.75" customHeight="1">
      <c r="A78" s="124" t="s">
        <v>166</v>
      </c>
      <c r="B78" s="124" t="s">
        <v>167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65"/>
      <c r="P78" s="5"/>
      <c r="Q78" s="5"/>
      <c r="R78" s="5"/>
      <c r="S78" s="5"/>
      <c r="T78" s="5"/>
      <c r="U78" s="5"/>
      <c r="V78" s="5"/>
      <c r="W78" s="5"/>
      <c r="X78" s="110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ht="15.75" customHeight="1">
      <c r="A79" s="124" t="s">
        <v>168</v>
      </c>
      <c r="B79" s="124" t="s">
        <v>169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65"/>
      <c r="P79" s="5"/>
      <c r="Q79" s="5"/>
      <c r="R79" s="109"/>
      <c r="S79" s="109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</row>
    <row r="80" ht="15.75" customHeight="1">
      <c r="A80" s="124" t="s">
        <v>170</v>
      </c>
      <c r="B80" s="124" t="s">
        <v>171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65"/>
      <c r="P80" s="5"/>
      <c r="Q80" s="5"/>
      <c r="R80" s="5"/>
      <c r="S80" s="116"/>
      <c r="T80" s="116"/>
      <c r="U80" s="116"/>
      <c r="V80" s="116"/>
      <c r="W80" s="116" t="str">
        <f>AVERAGE(#REF!)</f>
        <v>#REF!</v>
      </c>
      <c r="X80" s="110">
        <v>3.0</v>
      </c>
      <c r="Y80" s="5" t="s">
        <v>172</v>
      </c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ht="15.75" customHeight="1">
      <c r="A81" s="124" t="s">
        <v>173</v>
      </c>
      <c r="B81" s="124" t="s">
        <v>174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65"/>
      <c r="P81" s="5"/>
      <c r="Q81" s="5"/>
      <c r="R81" s="5"/>
      <c r="S81" s="5"/>
      <c r="T81" s="5"/>
      <c r="U81" s="5"/>
      <c r="V81" s="5"/>
      <c r="W81" s="5"/>
      <c r="X81" s="110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ht="15.75" customHeight="1">
      <c r="A82" s="124" t="s">
        <v>175</v>
      </c>
      <c r="B82" s="124" t="s">
        <v>176</v>
      </c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65"/>
      <c r="P82" s="5"/>
      <c r="Q82" s="5"/>
      <c r="R82" s="5"/>
      <c r="S82" s="5"/>
      <c r="T82" s="5"/>
      <c r="U82" s="5"/>
      <c r="V82" s="5"/>
      <c r="W82" s="5"/>
      <c r="X82" s="110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ht="15.75" customHeight="1">
      <c r="A83" s="124" t="s">
        <v>177</v>
      </c>
      <c r="B83" s="124" t="s">
        <v>178</v>
      </c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65"/>
      <c r="P83" s="5"/>
      <c r="Q83" s="5"/>
      <c r="R83" s="5"/>
      <c r="S83" s="5"/>
      <c r="T83" s="5"/>
      <c r="U83" s="5"/>
      <c r="V83" s="5"/>
      <c r="W83" s="5"/>
      <c r="X83" s="110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ht="15.75" customHeight="1">
      <c r="A84" s="124" t="s">
        <v>179</v>
      </c>
      <c r="B84" s="124" t="s">
        <v>180</v>
      </c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110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ht="15.75" customHeight="1">
      <c r="A85" s="124" t="s">
        <v>181</v>
      </c>
      <c r="B85" s="124" t="s">
        <v>182</v>
      </c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65"/>
      <c r="P85" s="5"/>
      <c r="Q85" s="5"/>
      <c r="R85" s="5"/>
      <c r="S85" s="5"/>
      <c r="T85" s="5"/>
      <c r="U85" s="5"/>
      <c r="V85" s="5"/>
      <c r="W85" s="5"/>
      <c r="X85" s="110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ht="15.75" customHeight="1">
      <c r="A86" s="124" t="s">
        <v>183</v>
      </c>
      <c r="B86" s="124" t="s">
        <v>184</v>
      </c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65"/>
      <c r="P86" s="5"/>
      <c r="Q86" s="5"/>
      <c r="R86" s="109"/>
      <c r="S86" s="109"/>
      <c r="T86" s="109"/>
      <c r="U86" s="109"/>
      <c r="V86" s="109"/>
      <c r="W86" s="109"/>
      <c r="X86" s="109"/>
      <c r="Y86" s="109"/>
      <c r="Z86" s="109"/>
      <c r="AA86" s="109"/>
      <c r="AB86" s="109"/>
      <c r="AC86" s="109"/>
      <c r="AD86" s="109"/>
      <c r="AE86" s="109"/>
      <c r="AF86" s="109"/>
      <c r="AG86" s="109"/>
      <c r="AH86" s="109"/>
      <c r="AI86" s="109"/>
      <c r="AJ86" s="109"/>
      <c r="AK86" s="109"/>
      <c r="AL86" s="109"/>
      <c r="AM86" s="109"/>
      <c r="AN86" s="109"/>
      <c r="AO86" s="109"/>
      <c r="AP86" s="109"/>
    </row>
    <row r="87" ht="15.75" customHeight="1">
      <c r="A87" s="124" t="s">
        <v>185</v>
      </c>
      <c r="B87" s="124" t="s">
        <v>186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65"/>
      <c r="P87" s="5"/>
      <c r="Q87" s="5"/>
      <c r="R87" s="5"/>
      <c r="S87" s="5"/>
      <c r="T87" s="5"/>
      <c r="U87" s="5"/>
      <c r="V87" s="5"/>
      <c r="W87" s="110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ht="15.75" customHeight="1">
      <c r="A88" s="124" t="s">
        <v>187</v>
      </c>
      <c r="B88" s="124" t="s">
        <v>188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11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ht="15.75" customHeight="1">
      <c r="A89" s="124" t="s">
        <v>189</v>
      </c>
      <c r="B89" s="124" t="s">
        <v>190</v>
      </c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>
        <f t="shared" ref="S89:S91" si="9">SUMIF(G$12:G$32,O85,Y$12:Y$29)</f>
        <v>0</v>
      </c>
      <c r="T89" s="5" t="str">
        <f t="shared" ref="T89:T91" si="10">S89/P85</f>
        <v>#DIV/0!</v>
      </c>
      <c r="U89" s="5"/>
      <c r="V89" s="5"/>
      <c r="W89" s="11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ht="15.75" customHeight="1">
      <c r="A90" s="124" t="s">
        <v>158</v>
      </c>
      <c r="B90" s="124" t="s">
        <v>45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65"/>
      <c r="P90" s="5"/>
      <c r="Q90" s="5"/>
      <c r="R90" s="5"/>
      <c r="S90" s="5">
        <f t="shared" si="9"/>
        <v>0</v>
      </c>
      <c r="T90" s="5" t="str">
        <f t="shared" si="10"/>
        <v>#DIV/0!</v>
      </c>
      <c r="U90" s="5"/>
      <c r="V90" s="5"/>
      <c r="W90" s="110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ht="15.75" customHeight="1">
      <c r="A91" s="124" t="s">
        <v>191</v>
      </c>
      <c r="B91" s="124" t="s">
        <v>192</v>
      </c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>
        <f t="shared" si="9"/>
        <v>0</v>
      </c>
      <c r="T91" s="5" t="str">
        <f t="shared" si="10"/>
        <v>#DIV/0!</v>
      </c>
      <c r="U91" s="5"/>
      <c r="V91" s="5"/>
      <c r="W91" s="110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ht="15.75" customHeight="1">
      <c r="A92" s="124" t="s">
        <v>193</v>
      </c>
      <c r="B92" s="124" t="s">
        <v>194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11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ht="15.75" customHeight="1">
      <c r="A93" s="124" t="s">
        <v>195</v>
      </c>
      <c r="B93" s="124" t="s">
        <v>97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11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ht="15.75" customHeight="1">
      <c r="A94" s="124" t="s">
        <v>196</v>
      </c>
      <c r="B94" s="124" t="s">
        <v>197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>
        <f>SUMIF(G$12:G$32,O90,Y$12:Y$29)</f>
        <v>0</v>
      </c>
      <c r="T94" s="5" t="str">
        <f>S94/P90</f>
        <v>#DIV/0!</v>
      </c>
      <c r="U94" s="5"/>
      <c r="V94" s="5"/>
      <c r="W94" s="110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ht="15.75" customHeight="1">
      <c r="A95" s="124" t="s">
        <v>198</v>
      </c>
      <c r="B95" s="124" t="s">
        <v>199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110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ht="15.75" customHeight="1">
      <c r="A96" s="109" t="s">
        <v>200</v>
      </c>
      <c r="B96" s="109" t="s">
        <v>201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110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110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110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110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110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110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ht="15.75" customHeight="1">
      <c r="A102" s="109"/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5"/>
      <c r="S102" s="5"/>
      <c r="T102" s="5"/>
      <c r="U102" s="5"/>
      <c r="V102" s="5"/>
      <c r="W102" s="5"/>
      <c r="X102" s="110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ht="15.75" customHeight="1">
      <c r="A103" s="109"/>
      <c r="B103" s="109"/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5"/>
      <c r="S103" s="5"/>
      <c r="T103" s="5"/>
      <c r="U103" s="5"/>
      <c r="V103" s="5"/>
      <c r="W103" s="5"/>
      <c r="X103" s="110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ht="15.75" customHeight="1">
      <c r="A104" s="109"/>
      <c r="B104" s="109"/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5"/>
      <c r="S104" s="5"/>
      <c r="T104" s="5"/>
      <c r="U104" s="5"/>
      <c r="V104" s="5"/>
      <c r="W104" s="5"/>
      <c r="X104" s="110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ht="15.75" customHeight="1">
      <c r="A105" s="109"/>
      <c r="B105" s="109"/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5"/>
      <c r="S105" s="5"/>
      <c r="T105" s="5"/>
      <c r="U105" s="5"/>
      <c r="V105" s="5"/>
      <c r="W105" s="5"/>
      <c r="X105" s="110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ht="15.75" customHeight="1">
      <c r="A106" s="109"/>
      <c r="B106" s="109"/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5"/>
      <c r="S106" s="5"/>
      <c r="T106" s="5"/>
      <c r="U106" s="5"/>
      <c r="V106" s="5"/>
      <c r="W106" s="5"/>
      <c r="X106" s="110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ht="15.75" customHeight="1">
      <c r="A107" s="109"/>
      <c r="B107" s="109"/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5"/>
      <c r="S107" s="5"/>
      <c r="T107" s="5"/>
      <c r="U107" s="5"/>
      <c r="V107" s="5"/>
      <c r="W107" s="5"/>
      <c r="X107" s="110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ht="15.75" customHeight="1">
      <c r="A108" s="109"/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5"/>
      <c r="S108" s="5"/>
      <c r="T108" s="5"/>
      <c r="U108" s="5"/>
      <c r="V108" s="5"/>
      <c r="W108" s="5"/>
      <c r="X108" s="110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ht="15.75" customHeight="1">
      <c r="A109" s="109"/>
      <c r="B109" s="109"/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5"/>
      <c r="S109" s="5"/>
      <c r="T109" s="5"/>
      <c r="U109" s="5"/>
      <c r="V109" s="5"/>
      <c r="W109" s="5"/>
      <c r="X109" s="110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ht="15.75" customHeight="1">
      <c r="A110" s="109"/>
      <c r="B110" s="109"/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5"/>
      <c r="S110" s="5"/>
      <c r="T110" s="5"/>
      <c r="U110" s="5"/>
      <c r="V110" s="5"/>
      <c r="W110" s="5"/>
      <c r="X110" s="110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ht="15.75" customHeight="1">
      <c r="A111" s="109"/>
      <c r="B111" s="109"/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5"/>
      <c r="S111" s="5"/>
      <c r="T111" s="5"/>
      <c r="U111" s="5"/>
      <c r="V111" s="5"/>
      <c r="W111" s="5"/>
      <c r="X111" s="110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ht="15.75" customHeight="1">
      <c r="A112" s="109"/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5"/>
      <c r="S112" s="5"/>
      <c r="T112" s="5"/>
      <c r="U112" s="5"/>
      <c r="V112" s="5"/>
      <c r="W112" s="5"/>
      <c r="X112" s="110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ht="15.75" customHeight="1">
      <c r="A113" s="109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5"/>
      <c r="S113" s="5"/>
      <c r="T113" s="5"/>
      <c r="U113" s="5"/>
      <c r="V113" s="5"/>
      <c r="W113" s="5"/>
      <c r="X113" s="110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ht="15.75" customHeight="1">
      <c r="A114" s="109"/>
      <c r="B114" s="109"/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5"/>
      <c r="S114" s="5"/>
      <c r="T114" s="5"/>
      <c r="U114" s="5"/>
      <c r="V114" s="5"/>
      <c r="W114" s="5"/>
      <c r="X114" s="110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:P32">
    <cfRule type="containsBlanks" dxfId="0" priority="1">
      <formula>LEN(TRIM(I2))=0</formula>
    </cfRule>
  </conditionalFormatting>
  <conditionalFormatting sqref="I2:P32">
    <cfRule type="notContainsText" dxfId="1" priority="2" operator="notContains" text="(">
      <formula>ISERROR(SEARCH(("("),(I2)))</formula>
    </cfRule>
  </conditionalFormatting>
  <conditionalFormatting sqref="I2:P32">
    <cfRule type="containsText" dxfId="2" priority="3" operator="containsText" text="(">
      <formula>NOT(ISERROR(SEARCH(("("),(I2))))</formula>
    </cfRule>
  </conditionalFormatting>
  <conditionalFormatting sqref="F2:F32">
    <cfRule type="notContainsText" dxfId="3" priority="4" operator="notContains" text="13">
      <formula>ISERROR(SEARCH(("13"),(F2)))</formula>
    </cfRule>
  </conditionalFormatting>
  <conditionalFormatting sqref="C34">
    <cfRule type="notContainsBlanks" dxfId="4" priority="5">
      <formula>LEN(TRIM(C34))&gt;0</formula>
    </cfRule>
  </conditionalFormatting>
  <printOptions gridLines="1" horizontalCentered="1"/>
  <pageMargins bottom="0.75" footer="0.0" header="0.0" left="0.7" right="0.7" top="0.75"/>
  <pageSetup paperSize="9" scale="73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6.75"/>
    <col customWidth="1" min="2" max="2" width="21.0"/>
    <col customWidth="1" min="3" max="3" width="12.5"/>
    <col customWidth="1" min="4" max="5" width="9.88"/>
    <col customWidth="1" min="6" max="6" width="14.25"/>
    <col customWidth="1" min="7" max="8" width="8.63"/>
    <col customWidth="1" min="9" max="9" width="10.63"/>
    <col customWidth="1" min="10" max="10" width="9.63"/>
    <col customWidth="1" min="11" max="11" width="6.75"/>
    <col customWidth="1" min="12" max="12" width="9.13"/>
    <col customWidth="1" min="13" max="13" width="16.63"/>
    <col customWidth="1" min="14" max="14" width="7.25"/>
    <col customWidth="1" min="15" max="15" width="9.88"/>
    <col customWidth="1" min="16" max="16" width="21.38"/>
    <col customWidth="1" min="17" max="17" width="16.0"/>
    <col customWidth="1" min="18" max="26" width="15.13"/>
  </cols>
  <sheetData>
    <row r="1" ht="15.75" customHeight="1">
      <c r="A1" s="125"/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6" t="s">
        <v>202</v>
      </c>
      <c r="R1" s="127"/>
      <c r="S1" s="125"/>
      <c r="T1" s="128"/>
      <c r="U1" s="128"/>
      <c r="V1" s="128"/>
    </row>
    <row r="2" ht="15.75" customHeight="1">
      <c r="A2" s="125" t="s">
        <v>107</v>
      </c>
      <c r="B2" s="125" t="s">
        <v>106</v>
      </c>
      <c r="C2" s="125" t="s">
        <v>203</v>
      </c>
      <c r="D2" s="125" t="s">
        <v>204</v>
      </c>
      <c r="E2" s="125" t="s">
        <v>205</v>
      </c>
      <c r="F2" s="125" t="s">
        <v>206</v>
      </c>
      <c r="G2" s="125" t="s">
        <v>207</v>
      </c>
      <c r="H2" s="125" t="s">
        <v>208</v>
      </c>
      <c r="I2" s="125" t="s">
        <v>209</v>
      </c>
      <c r="J2" s="125" t="s">
        <v>210</v>
      </c>
      <c r="K2" s="125" t="s">
        <v>211</v>
      </c>
      <c r="L2" s="125" t="s">
        <v>212</v>
      </c>
      <c r="M2" s="129" t="s">
        <v>213</v>
      </c>
      <c r="N2" s="130" t="s">
        <v>214</v>
      </c>
      <c r="O2" s="131" t="s">
        <v>215</v>
      </c>
      <c r="P2" s="131" t="s">
        <v>216</v>
      </c>
      <c r="Q2" s="131" t="s">
        <v>217</v>
      </c>
      <c r="R2" s="127"/>
      <c r="S2" s="125"/>
      <c r="T2" s="128"/>
      <c r="U2" s="128"/>
      <c r="V2" s="128"/>
    </row>
    <row r="3" ht="15.75" customHeight="1">
      <c r="A3" s="125" t="s">
        <v>51</v>
      </c>
      <c r="B3" s="125" t="s">
        <v>218</v>
      </c>
      <c r="C3" s="125" t="s">
        <v>69</v>
      </c>
      <c r="D3" s="125"/>
      <c r="E3" s="125" t="s">
        <v>12</v>
      </c>
      <c r="F3" s="125"/>
      <c r="G3" s="132" t="s">
        <v>69</v>
      </c>
      <c r="I3" s="125" t="s">
        <v>219</v>
      </c>
      <c r="J3" s="125" t="s">
        <v>220</v>
      </c>
      <c r="K3" s="125"/>
      <c r="M3" s="129" t="s">
        <v>221</v>
      </c>
      <c r="N3" s="133">
        <f>CountIF('Plan - NL'!$I$11:$P$32,$A3)</f>
        <v>1</v>
      </c>
      <c r="O3" s="133">
        <f>COUNTIFS('Plan - NL'!$M$11:$M$32,$A3)</f>
        <v>1</v>
      </c>
      <c r="P3" s="133">
        <f>COUNTIFS('Plan - NL'!$N$11:$O$32,$A3)</f>
        <v>0</v>
      </c>
      <c r="Q3" s="133">
        <f>COUNTIFS('Plan - NL'!$I$11:$L$32,$A3)+COUNTIFS('Plan - NL'!$P$11:$P$32,$A3)</f>
        <v>0</v>
      </c>
      <c r="R3" s="133"/>
      <c r="S3" s="128"/>
      <c r="T3" s="128"/>
      <c r="U3" s="128"/>
      <c r="V3" s="128"/>
    </row>
    <row r="4" ht="15.75" customHeight="1">
      <c r="A4" s="125" t="s">
        <v>85</v>
      </c>
      <c r="B4" s="125" t="s">
        <v>222</v>
      </c>
      <c r="C4" s="125" t="s">
        <v>69</v>
      </c>
      <c r="D4" s="125" t="s">
        <v>223</v>
      </c>
      <c r="E4" s="125" t="s">
        <v>12</v>
      </c>
      <c r="F4" s="125" t="s">
        <v>224</v>
      </c>
      <c r="G4" s="132" t="s">
        <v>225</v>
      </c>
      <c r="H4" s="125">
        <v>6406.0</v>
      </c>
      <c r="I4" s="125" t="s">
        <v>219</v>
      </c>
      <c r="J4" s="125" t="s">
        <v>220</v>
      </c>
      <c r="K4" s="125"/>
      <c r="L4" s="125">
        <v>2.871107E7</v>
      </c>
      <c r="M4" s="134" t="s">
        <v>226</v>
      </c>
      <c r="N4" s="133">
        <f>CountIF('Plan - NL'!$I$11:$P$32,$A4)</f>
        <v>5</v>
      </c>
      <c r="O4" s="133">
        <f>COUNTIFS('Plan - NL'!$N$11:$N$32,$A4)</f>
        <v>0</v>
      </c>
      <c r="P4" s="133">
        <f>COUNTIFS('Plan - NL'!$M$11:$M$32,$A4) + COUNTIFS('Plan - NL'!$O$11:$O$32,$A4)</f>
        <v>3</v>
      </c>
      <c r="Q4" s="133">
        <f>COUNTIFS('Plan - NL'!$I$11:$L$32,$A4)+COUNTIFS('Plan - NL'!$P$11:$P$32,$A4)</f>
        <v>2</v>
      </c>
      <c r="R4" s="133"/>
      <c r="S4" s="128"/>
      <c r="T4" s="128"/>
      <c r="U4" s="128"/>
      <c r="V4" s="128"/>
    </row>
    <row r="5" ht="15.75" customHeight="1">
      <c r="A5" s="125" t="s">
        <v>152</v>
      </c>
      <c r="B5" s="125" t="s">
        <v>227</v>
      </c>
      <c r="C5" s="125" t="s">
        <v>228</v>
      </c>
      <c r="D5" s="125" t="s">
        <v>229</v>
      </c>
      <c r="E5" s="125" t="s">
        <v>12</v>
      </c>
      <c r="F5" s="125" t="s">
        <v>230</v>
      </c>
      <c r="G5" s="125" t="s">
        <v>69</v>
      </c>
      <c r="I5" s="125" t="s">
        <v>231</v>
      </c>
      <c r="J5" s="125" t="s">
        <v>232</v>
      </c>
      <c r="M5" s="129"/>
      <c r="N5" s="133">
        <f>CountIF('Plan - NL'!$I$11:$P$32,$A5)</f>
        <v>0</v>
      </c>
      <c r="O5" s="133">
        <f>COUNTIFS('Plan - NL'!$M$11:$M$32,$A5)</f>
        <v>0</v>
      </c>
      <c r="P5" s="133">
        <f>COUNTIFS('Plan - NL'!$N$11:$O$32,$A5)</f>
        <v>0</v>
      </c>
      <c r="Q5" s="133">
        <f>COUNTIFS('Plan - NL'!$I$11:$L$32,$A5)+COUNTIFS('Plan - NL'!$P$11:$P$32,$A5)</f>
        <v>0</v>
      </c>
      <c r="R5" s="133"/>
      <c r="S5" s="128"/>
      <c r="T5" s="128"/>
      <c r="U5" s="128"/>
      <c r="V5" s="128"/>
    </row>
    <row r="6" ht="15.75" customHeight="1">
      <c r="A6" s="125" t="s">
        <v>145</v>
      </c>
      <c r="B6" s="125" t="s">
        <v>233</v>
      </c>
      <c r="C6" s="125" t="s">
        <v>234</v>
      </c>
      <c r="D6" s="125" t="s">
        <v>229</v>
      </c>
      <c r="E6" s="125" t="s">
        <v>14</v>
      </c>
      <c r="F6" s="125" t="s">
        <v>12</v>
      </c>
      <c r="G6" s="125" t="s">
        <v>69</v>
      </c>
      <c r="H6" s="125">
        <v>3539.0</v>
      </c>
      <c r="I6" s="125" t="s">
        <v>231</v>
      </c>
      <c r="J6" s="125" t="s">
        <v>220</v>
      </c>
      <c r="K6" s="125"/>
      <c r="L6" s="125">
        <v>4.1817432E7</v>
      </c>
      <c r="M6" s="134" t="s">
        <v>235</v>
      </c>
      <c r="N6" s="133">
        <f>CountIF('Plan - NL'!$I$11:$P$32,$A6)</f>
        <v>0</v>
      </c>
      <c r="O6" s="133">
        <f>COUNTIFS('Plan - NL'!$O$11:$O$32,$A6)</f>
        <v>0</v>
      </c>
      <c r="P6" s="133">
        <f>COUNTIFS('Plan - NL'!$M$11:$N$32,$A6)</f>
        <v>0</v>
      </c>
      <c r="Q6" s="133">
        <f>COUNTIFS('Plan - NL'!$I$11:$L$32,$A6)+COUNTIFS('Plan - NL'!$P$11:$P$32,$A6)</f>
        <v>0</v>
      </c>
      <c r="R6" s="133"/>
      <c r="S6" s="128"/>
      <c r="T6" s="128"/>
      <c r="U6" s="128"/>
      <c r="V6" s="128"/>
    </row>
    <row r="7" ht="15.75" customHeight="1">
      <c r="A7" s="125" t="s">
        <v>154</v>
      </c>
      <c r="B7" s="125" t="s">
        <v>153</v>
      </c>
      <c r="C7" s="125" t="s">
        <v>236</v>
      </c>
      <c r="D7" s="125" t="s">
        <v>229</v>
      </c>
      <c r="E7" s="125" t="s">
        <v>12</v>
      </c>
      <c r="F7" s="125"/>
      <c r="G7" s="125" t="s">
        <v>15</v>
      </c>
      <c r="I7" s="125" t="s">
        <v>219</v>
      </c>
      <c r="J7" s="125" t="s">
        <v>220</v>
      </c>
      <c r="K7" s="125"/>
      <c r="L7" s="125">
        <v>3.0481382E7</v>
      </c>
      <c r="M7" s="134" t="s">
        <v>237</v>
      </c>
      <c r="N7" s="133">
        <f>CountIF('Plan - NL'!$I$11:$P$32,$A7)</f>
        <v>0</v>
      </c>
      <c r="O7" s="133">
        <f>COUNTIFS('Plan - NL'!$M$11:$M$32,$A7)</f>
        <v>0</v>
      </c>
      <c r="P7" s="133">
        <f>COUNTIFS('Plan - NL'!$N$11:$O$32,$A7)</f>
        <v>0</v>
      </c>
      <c r="Q7" s="133">
        <f>COUNTIFS('Plan - NL'!$I$11:$L$32,$A7)+COUNTIFS('Plan - NL'!$P$11:$P$32,$A7)</f>
        <v>0</v>
      </c>
      <c r="R7" s="133"/>
      <c r="S7" s="128"/>
      <c r="T7" s="128"/>
      <c r="U7" s="128"/>
      <c r="V7" s="128"/>
    </row>
    <row r="8" ht="15.75" customHeight="1">
      <c r="A8" s="125" t="s">
        <v>73</v>
      </c>
      <c r="B8" s="125" t="s">
        <v>149</v>
      </c>
      <c r="C8" s="125" t="s">
        <v>69</v>
      </c>
      <c r="D8" s="125" t="s">
        <v>223</v>
      </c>
      <c r="E8" s="125" t="s">
        <v>13</v>
      </c>
      <c r="F8" s="125" t="s">
        <v>238</v>
      </c>
      <c r="G8" s="132" t="s">
        <v>69</v>
      </c>
      <c r="H8" s="125">
        <v>711.0</v>
      </c>
      <c r="I8" s="125" t="s">
        <v>219</v>
      </c>
      <c r="J8" s="125" t="s">
        <v>220</v>
      </c>
      <c r="K8" s="125"/>
      <c r="L8" s="125">
        <v>4.0824426E7</v>
      </c>
      <c r="M8" s="134" t="s">
        <v>239</v>
      </c>
      <c r="N8" s="133">
        <f>CountIF('Plan - NL'!$I$11:$P$32,$A8)</f>
        <v>8</v>
      </c>
      <c r="O8" s="133">
        <f>COUNTIFS('Plan - NL'!$N$11:$N$32,$A8)</f>
        <v>4</v>
      </c>
      <c r="P8" s="133">
        <f>COUNTIFS('Plan - NL'!$M$11:$M$32,$A8) + COUNTIFS('Plan - NL'!$O$11:$O$32,$A8)</f>
        <v>4</v>
      </c>
      <c r="Q8" s="133">
        <f>COUNTIFS('Plan - NL'!$I$11:$L$32,$A8)+COUNTIFS('Plan - NL'!$P$11:$P$32,$A8)</f>
        <v>0</v>
      </c>
      <c r="R8" s="133"/>
      <c r="S8" s="128"/>
      <c r="T8" s="128"/>
      <c r="U8" s="128"/>
      <c r="V8" s="128"/>
    </row>
    <row r="9" ht="15.75" customHeight="1">
      <c r="A9" s="125" t="s">
        <v>58</v>
      </c>
      <c r="B9" s="125" t="s">
        <v>120</v>
      </c>
      <c r="C9" s="125" t="s">
        <v>240</v>
      </c>
      <c r="D9" s="125" t="s">
        <v>223</v>
      </c>
      <c r="E9" s="125" t="s">
        <v>12</v>
      </c>
      <c r="F9" s="125"/>
      <c r="G9" s="125" t="s">
        <v>225</v>
      </c>
      <c r="H9" s="125">
        <v>5.0</v>
      </c>
      <c r="I9" s="125" t="s">
        <v>219</v>
      </c>
      <c r="J9" s="125" t="s">
        <v>220</v>
      </c>
      <c r="K9" s="125"/>
      <c r="L9" s="125">
        <v>6.060724E7</v>
      </c>
      <c r="M9" s="134" t="s">
        <v>241</v>
      </c>
      <c r="N9" s="133">
        <f>CountIF('Plan - NL'!$I$11:$P$32,$A9)</f>
        <v>2</v>
      </c>
      <c r="O9" s="133">
        <f>COUNTIFS('Plan - NL'!$M$11:$M$32,$A9)</f>
        <v>0</v>
      </c>
      <c r="P9" s="133">
        <f>COUNTIFS('Plan - NL'!$N$11:$O$32,$A9)</f>
        <v>1</v>
      </c>
      <c r="Q9" s="133">
        <f>COUNTIFS('Plan - NL'!$I$11:$L$32,$A9)+COUNTIFS('Plan - NL'!$P$11:$P$32,$A9)</f>
        <v>1</v>
      </c>
      <c r="R9" s="128"/>
      <c r="S9" s="128"/>
      <c r="T9" s="128"/>
      <c r="U9" s="128"/>
      <c r="V9" s="128"/>
    </row>
    <row r="10" ht="15.75" customHeight="1">
      <c r="A10" s="125" t="s">
        <v>80</v>
      </c>
      <c r="B10" s="125" t="s">
        <v>143</v>
      </c>
      <c r="C10" s="125" t="s">
        <v>69</v>
      </c>
      <c r="D10" s="125" t="s">
        <v>223</v>
      </c>
      <c r="E10" s="125" t="s">
        <v>13</v>
      </c>
      <c r="F10" s="125" t="s">
        <v>14</v>
      </c>
      <c r="G10" s="132" t="s">
        <v>225</v>
      </c>
      <c r="H10" s="125">
        <v>3274.0</v>
      </c>
      <c r="I10" s="125" t="s">
        <v>231</v>
      </c>
      <c r="J10" s="125" t="s">
        <v>220</v>
      </c>
      <c r="K10" s="125"/>
      <c r="L10" s="125">
        <v>2.3255155E7</v>
      </c>
      <c r="M10" s="134" t="s">
        <v>242</v>
      </c>
      <c r="N10" s="133">
        <f>CountIF('Plan - NL'!$I$11:$P$32,$A10)</f>
        <v>10</v>
      </c>
      <c r="O10" s="133">
        <f>COUNTIFS('Plan - NL'!$N$11:$N$32,$A10)</f>
        <v>10</v>
      </c>
      <c r="P10" s="133">
        <f>COUNTIFS('Plan - NL'!$M$11:$M$32,$A10) + COUNTIFS('Plan - NL'!$O$11:$O$32,$A10)</f>
        <v>0</v>
      </c>
      <c r="Q10" s="133">
        <f>COUNTIFS('Plan - NL'!$I$11:$L$32,$A10)+COUNTIFS('Plan - NL'!$P$11:$P$32,$A10)</f>
        <v>0</v>
      </c>
      <c r="R10" s="133"/>
      <c r="S10" s="128"/>
      <c r="T10" s="128"/>
      <c r="U10" s="128"/>
      <c r="V10" s="128"/>
    </row>
    <row r="11" ht="15.75" customHeight="1">
      <c r="A11" s="125" t="s">
        <v>66</v>
      </c>
      <c r="B11" s="125" t="s">
        <v>148</v>
      </c>
      <c r="C11" s="125" t="s">
        <v>69</v>
      </c>
      <c r="D11" s="125" t="s">
        <v>223</v>
      </c>
      <c r="E11" s="125" t="s">
        <v>243</v>
      </c>
      <c r="F11" s="125" t="s">
        <v>11</v>
      </c>
      <c r="G11" s="132" t="s">
        <v>225</v>
      </c>
      <c r="H11" s="125">
        <v>2269.0</v>
      </c>
      <c r="I11" s="125" t="s">
        <v>219</v>
      </c>
      <c r="J11" s="125" t="s">
        <v>220</v>
      </c>
      <c r="K11" s="125"/>
      <c r="L11" s="125">
        <v>2.2754529E7</v>
      </c>
      <c r="M11" s="134" t="s">
        <v>244</v>
      </c>
      <c r="N11" s="133">
        <f>CountIF('Plan - NL'!$I$11:$P$32,$A11)</f>
        <v>13</v>
      </c>
      <c r="O11" s="133">
        <f>COUNTIFS('Plan - NL'!$N$11:$N$32,$A11)</f>
        <v>6</v>
      </c>
      <c r="P11" s="133">
        <f>COUNTIFS('Plan - NL'!$M$11:$M$32,$A11) + COUNTIFS('Plan - NL'!$O$11:$O$32,$A11)</f>
        <v>7</v>
      </c>
      <c r="Q11" s="133">
        <f>COUNTIFS('Plan - NL'!$I$11:$L$32,$A11)+COUNTIFS('Plan - NL'!$P$11:$P$32,$A11)</f>
        <v>0</v>
      </c>
      <c r="R11" s="133"/>
      <c r="S11" s="128"/>
      <c r="T11" s="128"/>
      <c r="U11" s="128"/>
      <c r="V11" s="128"/>
    </row>
    <row r="12" ht="15.75" customHeight="1">
      <c r="A12" s="125" t="s">
        <v>84</v>
      </c>
      <c r="B12" s="125" t="s">
        <v>137</v>
      </c>
      <c r="C12" s="125" t="s">
        <v>69</v>
      </c>
      <c r="D12" s="125" t="s">
        <v>229</v>
      </c>
      <c r="E12" s="125" t="s">
        <v>245</v>
      </c>
      <c r="F12" s="125" t="s">
        <v>246</v>
      </c>
      <c r="G12" s="132" t="s">
        <v>69</v>
      </c>
      <c r="H12" s="125">
        <v>628.0</v>
      </c>
      <c r="I12" s="125" t="s">
        <v>219</v>
      </c>
      <c r="J12" s="125" t="s">
        <v>220</v>
      </c>
      <c r="K12" s="125"/>
      <c r="L12" s="125">
        <v>2.6807765E7</v>
      </c>
      <c r="M12" s="134" t="s">
        <v>247</v>
      </c>
      <c r="N12" s="133">
        <f>CountIF('Plan - NL'!$I$11:$P$32,$A12)</f>
        <v>9</v>
      </c>
      <c r="O12" s="133">
        <f>COUNTIFS('Plan - NL'!$K$11:$K$32,$A12)</f>
        <v>9</v>
      </c>
      <c r="P12" s="133">
        <f>COUNTIFS('Plan - NL'!$L$11:$L$32,$A12)</f>
        <v>0</v>
      </c>
      <c r="Q12" s="133">
        <f>COUNTIFS('Plan - NL'!$I$11:$J$32,$A12)+COUNTIFS('Plan - NL'!$M$11:$P$32,$A12)</f>
        <v>0</v>
      </c>
      <c r="R12" s="133"/>
      <c r="S12" s="128"/>
      <c r="T12" s="128"/>
      <c r="U12" s="128"/>
      <c r="V12" s="128"/>
    </row>
    <row r="13" ht="15.75" customHeight="1">
      <c r="A13" s="125" t="s">
        <v>63</v>
      </c>
      <c r="B13" s="125" t="s">
        <v>132</v>
      </c>
      <c r="C13" s="125" t="s">
        <v>69</v>
      </c>
      <c r="D13" s="125" t="s">
        <v>223</v>
      </c>
      <c r="E13" s="125" t="s">
        <v>11</v>
      </c>
      <c r="F13" s="125" t="s">
        <v>248</v>
      </c>
      <c r="G13" s="132" t="s">
        <v>69</v>
      </c>
      <c r="H13" s="125">
        <v>16327.0</v>
      </c>
      <c r="I13" s="125" t="s">
        <v>231</v>
      </c>
      <c r="J13" s="125" t="s">
        <v>220</v>
      </c>
      <c r="K13" s="125"/>
      <c r="L13" s="125">
        <v>2.2614222E7</v>
      </c>
      <c r="M13" s="129" t="s">
        <v>249</v>
      </c>
      <c r="N13" s="133">
        <f>CountIF('Plan - NL'!$I$11:$P$32,$A13)</f>
        <v>8</v>
      </c>
      <c r="O13" s="133">
        <f>COUNTIFS('Plan - NL'!$L$11:$L$32,$A13)</f>
        <v>5</v>
      </c>
      <c r="P13" s="133">
        <f>COUNTIFS('Plan - NL'!$K$11:$K$32,$A13)</f>
        <v>3</v>
      </c>
      <c r="Q13" s="133">
        <f>COUNTIFS('Plan - NL'!$I$11:$J$32,$A13)+COUNTIFS('Plan - NL'!$M$11:$P$32,$A13)</f>
        <v>0</v>
      </c>
      <c r="R13" s="133"/>
      <c r="S13" s="128"/>
      <c r="T13" s="128"/>
      <c r="U13" s="128"/>
      <c r="V13" s="128"/>
    </row>
    <row r="14" ht="15.75" customHeight="1">
      <c r="A14" s="125" t="s">
        <v>67</v>
      </c>
      <c r="B14" s="125" t="s">
        <v>136</v>
      </c>
      <c r="C14" s="125" t="s">
        <v>69</v>
      </c>
      <c r="D14" s="125" t="s">
        <v>229</v>
      </c>
      <c r="E14" s="125" t="s">
        <v>11</v>
      </c>
      <c r="F14" s="125"/>
      <c r="G14" s="132" t="s">
        <v>69</v>
      </c>
      <c r="H14" s="125">
        <v>3536.0</v>
      </c>
      <c r="I14" s="125" t="s">
        <v>219</v>
      </c>
      <c r="J14" s="125" t="s">
        <v>220</v>
      </c>
      <c r="K14" s="125"/>
      <c r="L14" s="125">
        <v>5.3390568E7</v>
      </c>
      <c r="M14" s="134" t="s">
        <v>250</v>
      </c>
      <c r="N14" s="133">
        <f>CountIF('Plan - NL'!$I$11:$P$32,$A14)</f>
        <v>3</v>
      </c>
      <c r="O14" s="133">
        <f>COUNTIFS('Plan - NL'!$L$11:$L$32,$A14)</f>
        <v>1</v>
      </c>
      <c r="P14" s="133">
        <f>COUNTIFS('Plan - NL'!$K$11:$K$32,$A14)</f>
        <v>1</v>
      </c>
      <c r="Q14" s="133">
        <f>COUNTIFS('Plan - NL'!$I$11:$J$32,$A14)+COUNTIFS('Plan - NL'!$M$11:$P$32,$A14)</f>
        <v>1</v>
      </c>
      <c r="R14" s="128"/>
      <c r="S14" s="128"/>
      <c r="T14" s="128"/>
      <c r="U14" s="128"/>
      <c r="V14" s="128"/>
    </row>
    <row r="15" ht="15.75" customHeight="1">
      <c r="A15" s="125" t="s">
        <v>59</v>
      </c>
      <c r="B15" s="135" t="s">
        <v>138</v>
      </c>
      <c r="C15" s="125" t="s">
        <v>69</v>
      </c>
      <c r="D15" s="125" t="s">
        <v>223</v>
      </c>
      <c r="E15" s="125" t="s">
        <v>11</v>
      </c>
      <c r="G15" s="132" t="s">
        <v>69</v>
      </c>
      <c r="H15" s="135"/>
      <c r="M15" s="129"/>
      <c r="N15" s="133"/>
      <c r="O15" s="128"/>
      <c r="P15" s="128"/>
      <c r="Q15" s="128"/>
      <c r="R15" s="133"/>
      <c r="S15" s="128"/>
      <c r="T15" s="128"/>
      <c r="U15" s="128"/>
      <c r="V15" s="128"/>
    </row>
    <row r="16" ht="15.75" customHeight="1">
      <c r="A16" s="125" t="s">
        <v>147</v>
      </c>
      <c r="B16" s="125" t="s">
        <v>146</v>
      </c>
      <c r="C16" s="125" t="s">
        <v>240</v>
      </c>
      <c r="D16" s="125" t="s">
        <v>229</v>
      </c>
      <c r="E16" s="125" t="s">
        <v>14</v>
      </c>
      <c r="F16" s="125" t="s">
        <v>8</v>
      </c>
      <c r="G16" s="132" t="s">
        <v>69</v>
      </c>
      <c r="H16" s="125">
        <v>10257.0</v>
      </c>
      <c r="I16" s="125" t="s">
        <v>219</v>
      </c>
      <c r="J16" s="125" t="s">
        <v>220</v>
      </c>
      <c r="L16" s="125">
        <v>5.1844821E7</v>
      </c>
      <c r="M16" s="134" t="s">
        <v>251</v>
      </c>
      <c r="N16" s="133">
        <f>CountIF('Plan - NL'!$I$11:$P$32,$A16)</f>
        <v>0</v>
      </c>
      <c r="O16" s="133">
        <f>COUNTIFS('Plan - NL'!$O$11:$O$32,$A16)</f>
        <v>0</v>
      </c>
      <c r="P16" s="133">
        <f>COUNTIFS('Plan - NL'!$M$11:$N$32,$A16)</f>
        <v>0</v>
      </c>
      <c r="Q16" s="133">
        <f>COUNTIFS('Plan - NL'!$I$11:$L$32,$A16)+COUNTIFS('Plan - NL'!$P$11:$P$32,$A16)</f>
        <v>0</v>
      </c>
      <c r="R16" s="133"/>
      <c r="S16" s="128"/>
      <c r="T16" s="128"/>
      <c r="U16" s="128"/>
      <c r="V16" s="128"/>
    </row>
    <row r="17" ht="15.75" customHeight="1">
      <c r="A17" s="125" t="s">
        <v>43</v>
      </c>
      <c r="B17" s="125" t="s">
        <v>131</v>
      </c>
      <c r="C17" s="125" t="s">
        <v>69</v>
      </c>
      <c r="D17" s="125" t="s">
        <v>229</v>
      </c>
      <c r="E17" s="125" t="s">
        <v>252</v>
      </c>
      <c r="F17" s="125" t="s">
        <v>9</v>
      </c>
      <c r="G17" s="132" t="s">
        <v>225</v>
      </c>
      <c r="H17" s="125">
        <v>1133.0</v>
      </c>
      <c r="I17" s="125" t="s">
        <v>231</v>
      </c>
      <c r="J17" s="125" t="s">
        <v>220</v>
      </c>
      <c r="K17" s="125"/>
      <c r="L17" s="125">
        <v>2.987071E7</v>
      </c>
      <c r="M17" s="134" t="s">
        <v>253</v>
      </c>
      <c r="N17" s="133">
        <f>CountIF('Plan - NL'!$I$11:$P$32,$A17)</f>
        <v>5</v>
      </c>
      <c r="O17" s="133">
        <f>COUNTIFS('Plan - NL'!$L$11:$L$32,$A17)</f>
        <v>1</v>
      </c>
      <c r="P17" s="133">
        <f>COUNTIFS('Plan - NL'!$K$11:$K$32,$A17)</f>
        <v>3</v>
      </c>
      <c r="Q17" s="133">
        <f>COUNTIFS('Plan - NL'!$I$11:$J$32,$A17)+COUNTIFS('Plan - NL'!$M$11:$P$32,$A17)</f>
        <v>1</v>
      </c>
      <c r="R17" s="133"/>
      <c r="S17" s="128"/>
      <c r="T17" s="128"/>
      <c r="U17" s="128"/>
      <c r="V17" s="128"/>
    </row>
    <row r="18" ht="15.75" customHeight="1">
      <c r="A18" s="125" t="s">
        <v>49</v>
      </c>
      <c r="B18" s="125" t="s">
        <v>118</v>
      </c>
      <c r="C18" s="125" t="s">
        <v>69</v>
      </c>
      <c r="D18" s="125" t="s">
        <v>229</v>
      </c>
      <c r="E18" s="125" t="s">
        <v>8</v>
      </c>
      <c r="F18" s="125" t="s">
        <v>224</v>
      </c>
      <c r="G18" s="132" t="s">
        <v>225</v>
      </c>
      <c r="H18" s="125">
        <v>484.0</v>
      </c>
      <c r="I18" s="125" t="s">
        <v>219</v>
      </c>
      <c r="J18" s="125" t="s">
        <v>220</v>
      </c>
      <c r="K18" s="125"/>
      <c r="L18" s="125">
        <v>2.0342617E7</v>
      </c>
      <c r="M18" s="134" t="s">
        <v>254</v>
      </c>
      <c r="N18" s="133">
        <f>CountIF('Plan - NL'!$I$11:$P$32,$A18)</f>
        <v>10</v>
      </c>
      <c r="O18" s="133">
        <f>COUNTIFS('Plan - NL'!$I$11:$I$32,$A18)</f>
        <v>4</v>
      </c>
      <c r="P18" s="133">
        <f>COUNTIFS('Plan - NL'!$J$11:$J$32,$A18)</f>
        <v>0</v>
      </c>
      <c r="Q18" s="133">
        <f>COUNTIFS('Plan - NL'!$K$11:$P$32,$A18)</f>
        <v>6</v>
      </c>
      <c r="R18" s="128"/>
      <c r="S18" s="128"/>
      <c r="T18" s="128"/>
      <c r="U18" s="128"/>
      <c r="V18" s="128"/>
    </row>
    <row r="19" ht="15.75" customHeight="1">
      <c r="A19" s="125" t="s">
        <v>201</v>
      </c>
      <c r="B19" s="125" t="s">
        <v>200</v>
      </c>
      <c r="C19" s="125" t="s">
        <v>7</v>
      </c>
      <c r="D19" s="125" t="s">
        <v>229</v>
      </c>
      <c r="E19" s="125" t="s">
        <v>9</v>
      </c>
      <c r="F19" s="125" t="s">
        <v>12</v>
      </c>
      <c r="G19" s="132" t="s">
        <v>69</v>
      </c>
      <c r="H19" s="125">
        <v>9074.0</v>
      </c>
      <c r="I19" s="125" t="s">
        <v>231</v>
      </c>
      <c r="J19" s="125" t="s">
        <v>41</v>
      </c>
      <c r="L19" s="125">
        <v>5.1542401E7</v>
      </c>
      <c r="M19" s="134" t="s">
        <v>255</v>
      </c>
      <c r="N19" s="133">
        <f>CountIF('Plan - NL'!$I$11:$P$32,$A19)</f>
        <v>0</v>
      </c>
      <c r="O19" s="133">
        <f>COUNTIFS('Plan - NL'!$M$11:$M$32,$A19)</f>
        <v>0</v>
      </c>
      <c r="P19" s="133">
        <f>COUNTIFS('Plan - NL'!$N$11:$O$32,$A19)</f>
        <v>0</v>
      </c>
      <c r="Q19" s="133">
        <f>COUNTIFS('Plan - NL'!$I$11:$L$32,$A19)+COUNTIFS('Plan - NL'!$P$11:$P$32,$A19)</f>
        <v>0</v>
      </c>
      <c r="R19" s="133"/>
      <c r="S19" s="128"/>
      <c r="T19" s="128"/>
      <c r="U19" s="128"/>
      <c r="V19" s="128"/>
    </row>
    <row r="20" ht="15.75" customHeight="1">
      <c r="A20" s="125" t="s">
        <v>64</v>
      </c>
      <c r="B20" s="125" t="s">
        <v>117</v>
      </c>
      <c r="C20" s="125" t="s">
        <v>69</v>
      </c>
      <c r="D20" s="125" t="s">
        <v>223</v>
      </c>
      <c r="E20" s="125" t="s">
        <v>8</v>
      </c>
      <c r="F20" s="125" t="s">
        <v>14</v>
      </c>
      <c r="G20" s="132" t="s">
        <v>225</v>
      </c>
      <c r="H20" s="125">
        <v>7255.0</v>
      </c>
      <c r="I20" s="125" t="s">
        <v>231</v>
      </c>
      <c r="J20" s="125" t="s">
        <v>220</v>
      </c>
      <c r="K20" s="125"/>
      <c r="L20" s="125">
        <v>6.0507214E7</v>
      </c>
      <c r="M20" s="134" t="s">
        <v>256</v>
      </c>
      <c r="N20" s="133">
        <f>CountIF('Plan - NL'!$I$11:$P$32,$A20)</f>
        <v>8</v>
      </c>
      <c r="O20" s="133">
        <f>COUNTIFS('Plan - NL'!$I$11:$I$32,$A20)</f>
        <v>7</v>
      </c>
      <c r="P20" s="133">
        <f>COUNTIFS('Plan - NL'!$J$11:$J$32,$A20)</f>
        <v>0</v>
      </c>
      <c r="Q20" s="133">
        <f>COUNTIFS('Plan - NL'!$K$11:$P$32,$A20)</f>
        <v>1</v>
      </c>
      <c r="R20" s="133"/>
      <c r="S20" s="128"/>
      <c r="T20" s="128"/>
      <c r="U20" s="128"/>
      <c r="V20" s="128"/>
    </row>
    <row r="21" ht="15.75" customHeight="1">
      <c r="A21" s="125" t="s">
        <v>135</v>
      </c>
      <c r="B21" s="125" t="s">
        <v>257</v>
      </c>
      <c r="C21" s="125" t="s">
        <v>258</v>
      </c>
      <c r="D21" s="125" t="s">
        <v>229</v>
      </c>
      <c r="E21" s="125" t="s">
        <v>10</v>
      </c>
      <c r="F21" s="125" t="s">
        <v>11</v>
      </c>
      <c r="G21" s="132"/>
      <c r="H21" s="125">
        <v>10624.0</v>
      </c>
      <c r="I21" s="125" t="s">
        <v>219</v>
      </c>
      <c r="J21" s="125" t="s">
        <v>220</v>
      </c>
      <c r="L21" s="125">
        <v>5.1501389E7</v>
      </c>
      <c r="M21" s="129" t="s">
        <v>259</v>
      </c>
      <c r="N21" s="133">
        <f>CountIF('Plan - NL'!$I$11:$P$32,$A21)</f>
        <v>0</v>
      </c>
      <c r="O21" s="133">
        <f>COUNTIFS('Plan - NL'!$K$11:$K$32,$A21)</f>
        <v>0</v>
      </c>
      <c r="P21" s="133">
        <f>COUNTIFS('Plan - NL'!$L$11:$L$32,$A21)</f>
        <v>0</v>
      </c>
      <c r="Q21" s="133">
        <f>COUNTIFS('Plan - NL'!$I$11:$J$32,$A21)+COUNTIFS('Plan - NL'!$M$11:$P$32,$A21)</f>
        <v>0</v>
      </c>
      <c r="R21" s="133"/>
      <c r="S21" s="128"/>
      <c r="T21" s="128"/>
      <c r="U21" s="128"/>
      <c r="V21" s="128"/>
    </row>
    <row r="22" ht="15.75" customHeight="1">
      <c r="A22" s="125" t="s">
        <v>97</v>
      </c>
      <c r="B22" s="125" t="s">
        <v>195</v>
      </c>
      <c r="C22" s="125" t="s">
        <v>260</v>
      </c>
      <c r="D22" s="125" t="s">
        <v>223</v>
      </c>
      <c r="E22" s="125" t="s">
        <v>12</v>
      </c>
      <c r="F22" s="125" t="s">
        <v>243</v>
      </c>
      <c r="G22" s="132" t="s">
        <v>69</v>
      </c>
      <c r="H22" s="125">
        <v>9063.0</v>
      </c>
      <c r="I22" s="125" t="s">
        <v>231</v>
      </c>
      <c r="J22" s="125" t="s">
        <v>41</v>
      </c>
      <c r="K22" s="125"/>
      <c r="M22" s="136" t="s">
        <v>261</v>
      </c>
      <c r="N22" s="133">
        <f>CountIF('Plan - NL'!$I$11:$P$32,$A22)</f>
        <v>3</v>
      </c>
      <c r="O22" s="133">
        <f>COUNTIFS('Plan - NL'!$O$11:$O$32,$A22)</f>
        <v>2</v>
      </c>
      <c r="P22" s="133">
        <f>COUNTIFS('Plan - NL'!$M$11:$N$32,$A22)</f>
        <v>1</v>
      </c>
      <c r="Q22" s="133">
        <f>COUNTIFS('Plan - NL'!$I$11:$L$32,$A22)+COUNTIFS('Plan - NL'!$P$11:$P$32,$A22)</f>
        <v>0</v>
      </c>
      <c r="R22" s="133"/>
      <c r="S22" s="128"/>
      <c r="T22" s="128"/>
      <c r="U22" s="128"/>
      <c r="V22" s="128"/>
    </row>
    <row r="23" ht="15.75" customHeight="1">
      <c r="A23" s="125" t="s">
        <v>89</v>
      </c>
      <c r="B23" s="125" t="s">
        <v>133</v>
      </c>
      <c r="C23" s="125" t="s">
        <v>240</v>
      </c>
      <c r="D23" s="125" t="s">
        <v>223</v>
      </c>
      <c r="E23" s="125" t="s">
        <v>245</v>
      </c>
      <c r="F23" s="125" t="s">
        <v>9</v>
      </c>
      <c r="G23" s="132" t="s">
        <v>225</v>
      </c>
      <c r="H23" s="125">
        <v>41.0</v>
      </c>
      <c r="I23" s="125" t="s">
        <v>219</v>
      </c>
      <c r="J23" s="125" t="s">
        <v>220</v>
      </c>
      <c r="K23" s="125"/>
      <c r="L23" s="125">
        <v>5.161845E7</v>
      </c>
      <c r="M23" s="137" t="s">
        <v>262</v>
      </c>
      <c r="N23" s="133">
        <f>CountIF('Plan - NL'!$I$11:$P$32,$A23)</f>
        <v>5</v>
      </c>
      <c r="O23" s="133">
        <f>COUNTIFS('Plan - NL'!$K$11:$K$32,$A23)</f>
        <v>3</v>
      </c>
      <c r="P23" s="133">
        <f>COUNTIFS('Plan - NL'!$L$11:$L$32,$A23)</f>
        <v>0</v>
      </c>
      <c r="Q23" s="133">
        <f>COUNTIFS('Plan - NL'!$I$11:$J$32,$A23)+COUNTIFS('Plan - NL'!$M$11:$P$32,$A23)</f>
        <v>2</v>
      </c>
      <c r="R23" s="133"/>
      <c r="S23" s="128"/>
      <c r="T23" s="128"/>
      <c r="U23" s="128"/>
      <c r="V23" s="128"/>
    </row>
    <row r="24" ht="15.75" customHeight="1">
      <c r="A24" s="125" t="s">
        <v>50</v>
      </c>
      <c r="B24" s="125" t="s">
        <v>125</v>
      </c>
      <c r="C24" s="125" t="s">
        <v>240</v>
      </c>
      <c r="D24" s="125" t="s">
        <v>223</v>
      </c>
      <c r="E24" s="125" t="s">
        <v>9</v>
      </c>
      <c r="F24" s="125"/>
      <c r="G24" s="132" t="s">
        <v>69</v>
      </c>
      <c r="I24" s="125" t="s">
        <v>219</v>
      </c>
      <c r="J24" s="125" t="s">
        <v>220</v>
      </c>
      <c r="K24" s="125"/>
      <c r="L24" s="125">
        <v>6.0677402E7</v>
      </c>
      <c r="M24" s="137" t="s">
        <v>263</v>
      </c>
      <c r="N24" s="133">
        <f>CountIF('Plan - NL'!$I$11:$P$32,$A24)</f>
        <v>3</v>
      </c>
      <c r="O24" s="133">
        <f>COUNTIFS('Plan - NL'!$J$11:$J$32,$A24)</f>
        <v>2</v>
      </c>
      <c r="P24" s="133">
        <f>COUNTIFS('Plan - NL'!$I$11:$I$32,$A24)</f>
        <v>0</v>
      </c>
      <c r="Q24" s="133">
        <f>COUNTIFS('Plan - NL'!$K$11:$P$32,$A24)</f>
        <v>1</v>
      </c>
      <c r="R24" s="133"/>
      <c r="S24" s="128"/>
      <c r="T24" s="128"/>
      <c r="U24" s="128"/>
      <c r="V24" s="128"/>
    </row>
    <row r="25" ht="15.75" customHeight="1">
      <c r="A25" s="125" t="s">
        <v>44</v>
      </c>
      <c r="B25" s="125" t="s">
        <v>121</v>
      </c>
      <c r="C25" s="125" t="s">
        <v>69</v>
      </c>
      <c r="D25" s="125" t="s">
        <v>229</v>
      </c>
      <c r="E25" s="125" t="s">
        <v>9</v>
      </c>
      <c r="F25" s="125" t="s">
        <v>8</v>
      </c>
      <c r="G25" s="132" t="s">
        <v>69</v>
      </c>
      <c r="I25" s="125" t="s">
        <v>231</v>
      </c>
      <c r="J25" s="125" t="s">
        <v>41</v>
      </c>
      <c r="N25" s="133">
        <f>CountIF('Plan - NL'!$I$11:$P$32,$A25)</f>
        <v>8</v>
      </c>
      <c r="O25" s="133">
        <f>COUNTIFS('Plan - NL'!$L$11:$L$32,$A25)</f>
        <v>0</v>
      </c>
      <c r="P25" s="133">
        <f>COUNTIFS('Plan - NL'!$K$11:$K$32,$A25)</f>
        <v>0</v>
      </c>
      <c r="Q25" s="133">
        <f>COUNTIFS('Plan - NL'!$I$11:$J$32,$A25)+COUNTIFS('Plan - NL'!$M$11:$P$32,$A25)</f>
        <v>8</v>
      </c>
      <c r="R25" s="128"/>
      <c r="S25" s="128"/>
      <c r="T25" s="128"/>
      <c r="U25" s="128"/>
      <c r="V25" s="128"/>
    </row>
    <row r="26" ht="15.75" customHeight="1">
      <c r="A26" s="125" t="s">
        <v>199</v>
      </c>
      <c r="B26" s="138" t="s">
        <v>198</v>
      </c>
      <c r="C26" s="125" t="s">
        <v>258</v>
      </c>
      <c r="G26" s="139"/>
      <c r="H26" s="135"/>
      <c r="N26" s="128"/>
      <c r="O26" s="128"/>
      <c r="P26" s="128"/>
      <c r="Q26" s="128"/>
      <c r="R26" s="128"/>
      <c r="S26" s="128"/>
      <c r="T26" s="128"/>
      <c r="U26" s="128"/>
      <c r="V26" s="128"/>
    </row>
    <row r="27" ht="15.75" customHeight="1">
      <c r="A27" s="125" t="s">
        <v>57</v>
      </c>
      <c r="B27" s="125" t="s">
        <v>126</v>
      </c>
      <c r="C27" s="125" t="s">
        <v>69</v>
      </c>
      <c r="D27" s="125" t="s">
        <v>223</v>
      </c>
      <c r="E27" s="125" t="s">
        <v>9</v>
      </c>
      <c r="G27" s="132" t="s">
        <v>69</v>
      </c>
      <c r="N27" s="133"/>
      <c r="O27" s="128"/>
      <c r="P27" s="128"/>
      <c r="Q27" s="128"/>
      <c r="R27" s="128"/>
      <c r="S27" s="128"/>
      <c r="T27" s="128"/>
      <c r="U27" s="128"/>
      <c r="V27" s="128"/>
    </row>
    <row r="28" ht="15.75" customHeight="1">
      <c r="A28" s="139" t="s">
        <v>88</v>
      </c>
      <c r="B28" s="135" t="s">
        <v>159</v>
      </c>
      <c r="C28" s="125" t="s">
        <v>264</v>
      </c>
      <c r="D28" s="125" t="s">
        <v>223</v>
      </c>
      <c r="G28" s="139" t="s">
        <v>15</v>
      </c>
      <c r="H28" s="135"/>
      <c r="N28" s="128"/>
      <c r="O28" s="128"/>
      <c r="P28" s="128"/>
      <c r="Q28" s="128"/>
      <c r="R28" s="128"/>
      <c r="S28" s="128"/>
      <c r="T28" s="128"/>
      <c r="U28" s="128"/>
      <c r="V28" s="128"/>
    </row>
    <row r="29" ht="15.75" customHeight="1">
      <c r="A29" s="125" t="s">
        <v>265</v>
      </c>
      <c r="B29" s="135" t="s">
        <v>266</v>
      </c>
      <c r="C29" s="125" t="s">
        <v>258</v>
      </c>
      <c r="D29" s="125"/>
      <c r="E29" s="125" t="s">
        <v>12</v>
      </c>
      <c r="G29" s="139"/>
      <c r="H29" s="135"/>
      <c r="N29" s="128"/>
      <c r="O29" s="128"/>
      <c r="P29" s="128"/>
      <c r="Q29" s="128"/>
      <c r="R29" s="128"/>
      <c r="S29" s="128"/>
      <c r="T29" s="128"/>
      <c r="U29" s="128"/>
      <c r="V29" s="128"/>
    </row>
    <row r="30" ht="15.75" customHeight="1">
      <c r="A30" s="125" t="s">
        <v>99</v>
      </c>
      <c r="B30" s="135" t="s">
        <v>140</v>
      </c>
      <c r="C30" s="125" t="s">
        <v>267</v>
      </c>
      <c r="D30" s="125" t="s">
        <v>229</v>
      </c>
      <c r="E30" s="125" t="s">
        <v>268</v>
      </c>
      <c r="G30" s="139" t="s">
        <v>15</v>
      </c>
      <c r="H30" s="135"/>
      <c r="N30" s="128"/>
      <c r="O30" s="128"/>
      <c r="P30" s="128"/>
      <c r="Q30" s="128"/>
      <c r="R30" s="128"/>
      <c r="S30" s="128"/>
      <c r="T30" s="128"/>
      <c r="U30" s="128"/>
      <c r="V30" s="128"/>
    </row>
    <row r="31" ht="15.75" customHeight="1">
      <c r="A31" s="139" t="s">
        <v>162</v>
      </c>
      <c r="B31" s="135" t="s">
        <v>269</v>
      </c>
      <c r="C31" s="125" t="s">
        <v>270</v>
      </c>
      <c r="D31" s="125" t="s">
        <v>223</v>
      </c>
      <c r="E31" s="125" t="s">
        <v>268</v>
      </c>
      <c r="G31" s="139" t="s">
        <v>15</v>
      </c>
      <c r="H31" s="135"/>
      <c r="N31" s="128"/>
      <c r="O31" s="128"/>
      <c r="P31" s="128"/>
      <c r="Q31" s="128"/>
      <c r="R31" s="128"/>
      <c r="S31" s="128"/>
      <c r="T31" s="128"/>
      <c r="U31" s="128"/>
      <c r="V31" s="128"/>
    </row>
    <row r="32" ht="15.75" customHeight="1">
      <c r="A32" s="139" t="s">
        <v>86</v>
      </c>
      <c r="B32" s="135" t="s">
        <v>141</v>
      </c>
      <c r="C32" s="125" t="s">
        <v>270</v>
      </c>
      <c r="D32" s="125" t="s">
        <v>223</v>
      </c>
      <c r="E32" s="125" t="s">
        <v>268</v>
      </c>
      <c r="G32" s="139" t="s">
        <v>15</v>
      </c>
      <c r="H32" s="135"/>
      <c r="N32" s="128"/>
      <c r="O32" s="128"/>
      <c r="P32" s="128"/>
      <c r="Q32" s="128"/>
      <c r="R32" s="128"/>
      <c r="S32" s="128"/>
      <c r="T32" s="128"/>
      <c r="U32" s="128"/>
      <c r="V32" s="128"/>
    </row>
    <row r="33" ht="15.75" customHeight="1">
      <c r="A33" s="139" t="s">
        <v>79</v>
      </c>
      <c r="B33" s="135" t="s">
        <v>163</v>
      </c>
      <c r="C33" s="125"/>
      <c r="D33" s="125" t="s">
        <v>229</v>
      </c>
      <c r="E33" s="125" t="s">
        <v>268</v>
      </c>
      <c r="G33" s="139" t="s">
        <v>15</v>
      </c>
      <c r="H33" s="135"/>
      <c r="N33" s="128"/>
      <c r="O33" s="128"/>
      <c r="P33" s="128"/>
      <c r="Q33" s="128"/>
      <c r="R33" s="128"/>
      <c r="S33" s="128"/>
      <c r="T33" s="128"/>
      <c r="U33" s="128"/>
      <c r="V33" s="128"/>
    </row>
    <row r="34" ht="15.75" customHeight="1">
      <c r="A34" s="139" t="s">
        <v>96</v>
      </c>
      <c r="B34" s="135" t="s">
        <v>139</v>
      </c>
      <c r="C34" s="125" t="s">
        <v>270</v>
      </c>
      <c r="D34" s="125" t="s">
        <v>229</v>
      </c>
      <c r="E34" s="125" t="s">
        <v>268</v>
      </c>
      <c r="G34" s="139"/>
      <c r="H34" s="135"/>
      <c r="N34" s="128"/>
      <c r="O34" s="128"/>
      <c r="P34" s="128"/>
      <c r="Q34" s="128"/>
      <c r="R34" s="128"/>
      <c r="S34" s="128"/>
      <c r="T34" s="128"/>
      <c r="U34" s="128"/>
      <c r="V34" s="128"/>
    </row>
    <row r="35" ht="15.75" customHeight="1">
      <c r="A35" s="139" t="s">
        <v>45</v>
      </c>
      <c r="B35" s="135" t="s">
        <v>158</v>
      </c>
      <c r="C35" s="125" t="s">
        <v>69</v>
      </c>
      <c r="D35" s="125" t="s">
        <v>223</v>
      </c>
      <c r="G35" s="139" t="s">
        <v>69</v>
      </c>
      <c r="H35" s="135"/>
      <c r="N35" s="128"/>
      <c r="O35" s="128"/>
      <c r="P35" s="128"/>
      <c r="Q35" s="128"/>
      <c r="R35" s="128"/>
      <c r="S35" s="128"/>
      <c r="T35" s="128"/>
      <c r="U35" s="128"/>
      <c r="V35" s="128"/>
    </row>
    <row r="36" ht="15.75" customHeight="1">
      <c r="A36" s="139" t="s">
        <v>94</v>
      </c>
      <c r="B36" s="135" t="s">
        <v>142</v>
      </c>
      <c r="C36" s="125" t="s">
        <v>270</v>
      </c>
      <c r="D36" s="125" t="s">
        <v>223</v>
      </c>
      <c r="E36" s="125" t="s">
        <v>268</v>
      </c>
      <c r="G36" s="140"/>
      <c r="H36" s="135"/>
      <c r="N36" s="128"/>
      <c r="O36" s="128"/>
      <c r="P36" s="128"/>
      <c r="Q36" s="128"/>
      <c r="R36" s="128"/>
      <c r="S36" s="128"/>
      <c r="T36" s="128"/>
      <c r="U36" s="128"/>
      <c r="V36" s="128"/>
    </row>
    <row r="37" ht="15.75" customHeight="1">
      <c r="A37" s="141"/>
      <c r="B37" s="135"/>
      <c r="G37" s="140" t="s">
        <v>205</v>
      </c>
      <c r="H37" s="135" t="s">
        <v>206</v>
      </c>
      <c r="N37" s="128"/>
      <c r="O37" s="128"/>
      <c r="P37" s="128"/>
      <c r="Q37" s="128"/>
      <c r="R37" s="128"/>
      <c r="S37" s="128"/>
      <c r="T37" s="128"/>
      <c r="U37" s="128"/>
      <c r="V37" s="128"/>
    </row>
    <row r="38" ht="15.75" customHeight="1">
      <c r="A38" s="141"/>
      <c r="B38" s="135" t="s">
        <v>258</v>
      </c>
      <c r="C38" s="142">
        <f t="shared" ref="C38:C45" si="1">COUNTIF($C$3:$C$35,B38)</f>
        <v>3</v>
      </c>
      <c r="D38" s="142">
        <f>COUNTIF($D$3:$D$35,"Ja")</f>
        <v>16</v>
      </c>
      <c r="F38" s="125" t="s">
        <v>271</v>
      </c>
      <c r="G38" s="140">
        <f t="shared" ref="G38:G42" si="2">COUNTIF($E$3:$E$35,$F38)</f>
        <v>2</v>
      </c>
      <c r="H38" s="140">
        <f t="shared" ref="H38:H42" si="3">COUNTIF($F$3:$F$35,$F38)</f>
        <v>2</v>
      </c>
      <c r="N38" s="128"/>
      <c r="O38" s="128"/>
      <c r="P38" s="128"/>
      <c r="Q38" s="128"/>
      <c r="R38" s="128"/>
      <c r="S38" s="128"/>
      <c r="T38" s="128"/>
      <c r="U38" s="128"/>
      <c r="V38" s="128"/>
    </row>
    <row r="39" ht="15.75" customHeight="1">
      <c r="A39" s="141"/>
      <c r="B39" s="135" t="s">
        <v>69</v>
      </c>
      <c r="C39" s="142">
        <f t="shared" si="1"/>
        <v>15</v>
      </c>
      <c r="D39" s="142">
        <f>COUNTIF($D$3:$D$35,"Nej")</f>
        <v>14</v>
      </c>
      <c r="F39" s="125" t="s">
        <v>272</v>
      </c>
      <c r="G39" s="140">
        <f t="shared" si="2"/>
        <v>4</v>
      </c>
      <c r="H39" s="140">
        <f t="shared" si="3"/>
        <v>2</v>
      </c>
      <c r="N39" s="128"/>
      <c r="O39" s="128"/>
      <c r="P39" s="128"/>
      <c r="Q39" s="128"/>
      <c r="R39" s="128"/>
      <c r="S39" s="128"/>
      <c r="T39" s="128"/>
      <c r="U39" s="128"/>
      <c r="V39" s="128"/>
    </row>
    <row r="40" ht="15.75" customHeight="1">
      <c r="A40" s="141"/>
      <c r="B40" s="135" t="s">
        <v>273</v>
      </c>
      <c r="C40" s="142">
        <f t="shared" si="1"/>
        <v>2</v>
      </c>
      <c r="F40" s="125" t="s">
        <v>274</v>
      </c>
      <c r="G40" s="140">
        <f t="shared" si="2"/>
        <v>3</v>
      </c>
      <c r="H40" s="140">
        <f t="shared" si="3"/>
        <v>1</v>
      </c>
      <c r="N40" s="128"/>
      <c r="O40" s="128"/>
      <c r="P40" s="128"/>
      <c r="Q40" s="128"/>
      <c r="R40" s="128"/>
      <c r="S40" s="128"/>
      <c r="T40" s="128"/>
      <c r="U40" s="128"/>
      <c r="V40" s="128"/>
    </row>
    <row r="41" ht="15.75" customHeight="1">
      <c r="A41" s="141"/>
      <c r="B41" s="135" t="s">
        <v>275</v>
      </c>
      <c r="C41" s="142">
        <f t="shared" si="1"/>
        <v>0</v>
      </c>
      <c r="F41" s="125" t="s">
        <v>276</v>
      </c>
      <c r="G41" s="140">
        <f t="shared" si="2"/>
        <v>2</v>
      </c>
      <c r="H41" s="140">
        <f t="shared" si="3"/>
        <v>3</v>
      </c>
      <c r="N41" s="133"/>
      <c r="O41" s="128"/>
      <c r="P41" s="128"/>
      <c r="Q41" s="128"/>
      <c r="R41" s="128"/>
      <c r="S41" s="128"/>
      <c r="T41" s="128"/>
      <c r="U41" s="128"/>
      <c r="V41" s="128"/>
    </row>
    <row r="42" ht="15.75" customHeight="1">
      <c r="A42" s="141"/>
      <c r="B42" s="135" t="s">
        <v>236</v>
      </c>
      <c r="C42" s="142">
        <f t="shared" si="1"/>
        <v>1</v>
      </c>
      <c r="F42" s="125" t="s">
        <v>277</v>
      </c>
      <c r="G42" s="140">
        <f t="shared" si="2"/>
        <v>7</v>
      </c>
      <c r="H42" s="140">
        <f t="shared" si="3"/>
        <v>2</v>
      </c>
      <c r="N42" s="128"/>
      <c r="O42" s="128"/>
      <c r="P42" s="128"/>
      <c r="Q42" s="128"/>
      <c r="R42" s="128"/>
      <c r="S42" s="128"/>
      <c r="T42" s="128"/>
      <c r="U42" s="128"/>
      <c r="V42" s="128"/>
    </row>
    <row r="43" ht="15.75" customHeight="1">
      <c r="A43" s="141"/>
      <c r="B43" s="135" t="s">
        <v>270</v>
      </c>
      <c r="C43" s="142">
        <f t="shared" si="1"/>
        <v>3</v>
      </c>
      <c r="G43" s="140"/>
      <c r="H43" s="135"/>
      <c r="N43" s="133"/>
      <c r="O43" s="128"/>
      <c r="P43" s="128"/>
      <c r="Q43" s="128"/>
      <c r="R43" s="128"/>
      <c r="S43" s="128"/>
      <c r="T43" s="128"/>
      <c r="U43" s="128"/>
      <c r="V43" s="128"/>
    </row>
    <row r="44" ht="15.75" customHeight="1">
      <c r="A44" s="141"/>
      <c r="B44" s="135" t="s">
        <v>278</v>
      </c>
      <c r="C44" s="142">
        <f t="shared" si="1"/>
        <v>7</v>
      </c>
      <c r="F44" s="125" t="s">
        <v>279</v>
      </c>
      <c r="G44" s="140"/>
      <c r="H44" s="135"/>
      <c r="N44" s="128"/>
      <c r="O44" s="128"/>
      <c r="P44" s="128"/>
      <c r="Q44" s="128"/>
      <c r="R44" s="128"/>
      <c r="S44" s="128"/>
      <c r="T44" s="128"/>
      <c r="U44" s="128"/>
      <c r="V44" s="128"/>
    </row>
    <row r="45" ht="15.75" customHeight="1">
      <c r="A45" s="141"/>
      <c r="B45" s="135" t="s">
        <v>267</v>
      </c>
      <c r="C45" s="142">
        <f t="shared" si="1"/>
        <v>1</v>
      </c>
      <c r="F45" s="143" t="s">
        <v>280</v>
      </c>
      <c r="G45" s="140"/>
      <c r="H45" s="135"/>
      <c r="N45" s="128"/>
      <c r="O45" s="128"/>
      <c r="P45" s="128"/>
      <c r="Q45" s="128"/>
      <c r="R45" s="128"/>
      <c r="S45" s="128"/>
      <c r="T45" s="128"/>
      <c r="U45" s="128"/>
      <c r="V45" s="128"/>
    </row>
    <row r="46" ht="15.75" customHeight="1">
      <c r="A46" s="141"/>
      <c r="G46" s="140"/>
      <c r="H46" s="135"/>
      <c r="N46" s="128"/>
      <c r="O46" s="128"/>
      <c r="P46" s="128"/>
      <c r="Q46" s="128"/>
      <c r="R46" s="128"/>
      <c r="S46" s="128"/>
      <c r="T46" s="128"/>
      <c r="U46" s="128"/>
      <c r="V46" s="128"/>
    </row>
    <row r="47" ht="15.75" customHeight="1">
      <c r="A47" s="141"/>
      <c r="G47" s="140"/>
      <c r="H47" s="135"/>
      <c r="N47" s="128"/>
      <c r="O47" s="128"/>
      <c r="P47" s="128"/>
      <c r="Q47" s="128"/>
      <c r="R47" s="128"/>
      <c r="S47" s="128"/>
      <c r="T47" s="128"/>
      <c r="U47" s="128"/>
      <c r="V47" s="128"/>
    </row>
    <row r="48" ht="15.75" customHeight="1">
      <c r="A48" s="141"/>
      <c r="F48" s="125" t="s">
        <v>15</v>
      </c>
      <c r="G48" s="140">
        <f t="shared" ref="G48:G50" si="4">COUNTIF($G$3:$G$35,$F48)</f>
        <v>6</v>
      </c>
      <c r="H48" s="135"/>
      <c r="N48" s="128"/>
      <c r="O48" s="128"/>
      <c r="P48" s="128"/>
      <c r="Q48" s="128"/>
      <c r="R48" s="128"/>
      <c r="S48" s="128"/>
      <c r="T48" s="128"/>
      <c r="U48" s="128"/>
      <c r="V48" s="128"/>
    </row>
    <row r="49" ht="15.75" customHeight="1">
      <c r="A49" s="141"/>
      <c r="F49" s="125" t="s">
        <v>225</v>
      </c>
      <c r="G49" s="140">
        <f t="shared" si="4"/>
        <v>8</v>
      </c>
      <c r="H49" s="135"/>
      <c r="N49" s="133"/>
      <c r="O49" s="128"/>
      <c r="P49" s="128"/>
      <c r="Q49" s="128"/>
      <c r="R49" s="128"/>
      <c r="S49" s="128"/>
      <c r="T49" s="128"/>
      <c r="U49" s="128"/>
      <c r="V49" s="128"/>
    </row>
    <row r="50" ht="15.75" customHeight="1">
      <c r="A50" s="141"/>
      <c r="F50" s="125" t="s">
        <v>69</v>
      </c>
      <c r="G50" s="140">
        <f t="shared" si="4"/>
        <v>15</v>
      </c>
      <c r="H50" s="135"/>
      <c r="N50" s="133"/>
      <c r="O50" s="128"/>
      <c r="P50" s="128"/>
      <c r="Q50" s="128"/>
      <c r="R50" s="128"/>
      <c r="S50" s="128"/>
      <c r="T50" s="128"/>
      <c r="U50" s="128"/>
      <c r="V50" s="128"/>
    </row>
    <row r="51" ht="15.75" customHeight="1">
      <c r="A51" s="141"/>
      <c r="G51" s="144">
        <f>SUM(G48:G50)</f>
        <v>29</v>
      </c>
      <c r="H51" s="135"/>
      <c r="N51" s="125"/>
      <c r="O51" s="128"/>
      <c r="P51" s="128"/>
      <c r="Q51" s="128"/>
      <c r="R51" s="128"/>
      <c r="S51" s="128"/>
      <c r="T51" s="128"/>
      <c r="U51" s="128"/>
      <c r="V51" s="128"/>
    </row>
    <row r="52" ht="15.75" customHeight="1">
      <c r="A52" s="141"/>
      <c r="G52" s="140"/>
      <c r="H52" s="135"/>
      <c r="N52" s="128"/>
      <c r="O52" s="128"/>
      <c r="P52" s="128"/>
      <c r="Q52" s="128"/>
      <c r="R52" s="128"/>
      <c r="S52" s="128"/>
      <c r="T52" s="128"/>
      <c r="U52" s="128"/>
      <c r="V52" s="128"/>
    </row>
    <row r="53" ht="15.75" customHeight="1">
      <c r="A53" s="141"/>
      <c r="G53" s="140"/>
      <c r="H53" s="135"/>
      <c r="N53" s="128"/>
      <c r="O53" s="128"/>
      <c r="P53" s="128"/>
      <c r="Q53" s="128"/>
      <c r="R53" s="128"/>
      <c r="S53" s="128"/>
      <c r="T53" s="128"/>
      <c r="U53" s="128"/>
      <c r="V53" s="128"/>
    </row>
    <row r="54" ht="15.75" customHeight="1">
      <c r="A54" s="141"/>
      <c r="G54" s="140"/>
      <c r="H54" s="135"/>
      <c r="N54" s="128"/>
      <c r="O54" s="128"/>
      <c r="P54" s="128"/>
      <c r="Q54" s="128"/>
      <c r="R54" s="128"/>
      <c r="S54" s="128"/>
      <c r="T54" s="128"/>
      <c r="U54" s="128"/>
      <c r="V54" s="128"/>
    </row>
    <row r="55" ht="15.75" customHeight="1">
      <c r="A55" s="141"/>
      <c r="G55" s="140"/>
      <c r="H55" s="135"/>
      <c r="N55" s="128"/>
      <c r="O55" s="128"/>
      <c r="P55" s="128"/>
      <c r="Q55" s="128"/>
      <c r="R55" s="128"/>
      <c r="S55" s="128"/>
      <c r="T55" s="128"/>
      <c r="U55" s="128"/>
      <c r="V55" s="128"/>
    </row>
    <row r="56" ht="15.75" customHeight="1">
      <c r="A56" s="141"/>
      <c r="G56" s="140"/>
      <c r="H56" s="135"/>
      <c r="N56" s="125"/>
      <c r="O56" s="128"/>
      <c r="P56" s="128"/>
      <c r="Q56" s="128"/>
      <c r="R56" s="128"/>
      <c r="S56" s="128"/>
      <c r="T56" s="128"/>
      <c r="U56" s="128"/>
      <c r="V56" s="128"/>
    </row>
    <row r="57" ht="15.75" customHeight="1">
      <c r="A57" s="141"/>
      <c r="G57" s="140"/>
      <c r="H57" s="135"/>
      <c r="N57" s="128"/>
      <c r="O57" s="128"/>
      <c r="P57" s="128"/>
      <c r="Q57" s="128"/>
      <c r="R57" s="128"/>
      <c r="S57" s="128"/>
      <c r="T57" s="128"/>
      <c r="U57" s="128"/>
      <c r="V57" s="128"/>
    </row>
    <row r="58" ht="15.75" customHeight="1">
      <c r="A58" s="141"/>
      <c r="G58" s="140"/>
      <c r="H58" s="135"/>
      <c r="N58" s="128"/>
      <c r="O58" s="128"/>
      <c r="P58" s="128"/>
      <c r="Q58" s="128"/>
      <c r="R58" s="128"/>
      <c r="S58" s="128"/>
      <c r="T58" s="128"/>
      <c r="U58" s="128"/>
      <c r="V58" s="128"/>
    </row>
    <row r="59" ht="15.75" customHeight="1">
      <c r="A59" s="141"/>
      <c r="G59" s="140"/>
      <c r="H59" s="135"/>
      <c r="N59" s="128"/>
      <c r="O59" s="128"/>
      <c r="P59" s="128"/>
      <c r="Q59" s="128"/>
      <c r="R59" s="128"/>
      <c r="S59" s="128"/>
      <c r="T59" s="128"/>
      <c r="U59" s="128"/>
      <c r="V59" s="128"/>
    </row>
    <row r="60" ht="15.75" customHeight="1">
      <c r="A60" s="141"/>
      <c r="G60" s="140"/>
      <c r="H60" s="135"/>
      <c r="N60" s="128"/>
      <c r="O60" s="128"/>
      <c r="P60" s="128"/>
      <c r="Q60" s="128"/>
      <c r="R60" s="128"/>
      <c r="S60" s="128"/>
      <c r="T60" s="128"/>
      <c r="U60" s="128"/>
      <c r="V60" s="128"/>
    </row>
    <row r="61" ht="15.75" customHeight="1">
      <c r="A61" s="141"/>
      <c r="G61" s="140"/>
      <c r="H61" s="135"/>
      <c r="N61" s="128"/>
      <c r="O61" s="128"/>
      <c r="P61" s="128"/>
      <c r="Q61" s="128"/>
      <c r="R61" s="128"/>
      <c r="S61" s="128"/>
      <c r="T61" s="128"/>
      <c r="U61" s="128"/>
      <c r="V61" s="128"/>
    </row>
    <row r="62" ht="15.75" customHeight="1">
      <c r="A62" s="141"/>
      <c r="G62" s="140"/>
      <c r="H62" s="135"/>
      <c r="N62" s="128"/>
      <c r="O62" s="128"/>
      <c r="P62" s="128"/>
      <c r="Q62" s="128"/>
      <c r="R62" s="128"/>
      <c r="S62" s="128"/>
      <c r="T62" s="128"/>
      <c r="U62" s="128"/>
      <c r="V62" s="128"/>
    </row>
    <row r="63" ht="15.75" customHeight="1">
      <c r="A63" s="141"/>
      <c r="G63" s="140"/>
      <c r="H63" s="135"/>
      <c r="N63" s="128"/>
      <c r="O63" s="128"/>
      <c r="P63" s="128"/>
      <c r="Q63" s="128"/>
      <c r="R63" s="128"/>
      <c r="S63" s="128"/>
      <c r="T63" s="128"/>
      <c r="U63" s="128"/>
      <c r="V63" s="128"/>
    </row>
    <row r="64" ht="15.75" customHeight="1">
      <c r="A64" s="141"/>
      <c r="G64" s="140"/>
      <c r="H64" s="135"/>
      <c r="N64" s="128"/>
      <c r="O64" s="128"/>
      <c r="P64" s="128"/>
      <c r="Q64" s="128"/>
      <c r="R64" s="128"/>
      <c r="S64" s="128"/>
      <c r="T64" s="128"/>
      <c r="U64" s="128"/>
      <c r="V64" s="128"/>
    </row>
    <row r="65" ht="15.75" customHeight="1">
      <c r="A65" s="141"/>
      <c r="G65" s="140"/>
      <c r="H65" s="135"/>
      <c r="N65" s="128"/>
      <c r="O65" s="128"/>
      <c r="P65" s="128"/>
      <c r="Q65" s="128"/>
      <c r="R65" s="128"/>
      <c r="S65" s="128"/>
      <c r="T65" s="128"/>
      <c r="U65" s="128"/>
      <c r="V65" s="128"/>
    </row>
    <row r="66" ht="15.75" customHeight="1">
      <c r="A66" s="141"/>
      <c r="G66" s="140"/>
      <c r="H66" s="135"/>
      <c r="N66" s="128"/>
      <c r="O66" s="128"/>
      <c r="P66" s="128"/>
      <c r="Q66" s="128"/>
      <c r="R66" s="128"/>
      <c r="S66" s="128"/>
      <c r="T66" s="128"/>
      <c r="U66" s="128"/>
      <c r="V66" s="128"/>
    </row>
    <row r="67" ht="15.75" customHeight="1">
      <c r="A67" s="141"/>
      <c r="B67" s="135"/>
      <c r="G67" s="140"/>
      <c r="H67" s="135"/>
      <c r="N67" s="128"/>
      <c r="O67" s="128"/>
      <c r="P67" s="128"/>
      <c r="Q67" s="128"/>
      <c r="R67" s="128"/>
      <c r="S67" s="128"/>
      <c r="T67" s="128"/>
      <c r="U67" s="128"/>
      <c r="V67" s="128"/>
    </row>
    <row r="68" ht="15.75" customHeight="1">
      <c r="N68" s="128"/>
      <c r="O68" s="128"/>
      <c r="P68" s="128"/>
      <c r="Q68" s="128"/>
      <c r="R68" s="128"/>
      <c r="S68" s="128"/>
      <c r="T68" s="128"/>
      <c r="U68" s="128"/>
      <c r="V68" s="128"/>
    </row>
    <row r="69" ht="15.75" customHeight="1">
      <c r="N69" s="128"/>
      <c r="O69" s="128"/>
      <c r="P69" s="128"/>
      <c r="Q69" s="128"/>
      <c r="R69" s="128"/>
      <c r="S69" s="128"/>
      <c r="T69" s="128"/>
      <c r="U69" s="128"/>
      <c r="V69" s="128"/>
    </row>
    <row r="70" ht="15.75" customHeight="1">
      <c r="N70" s="128"/>
      <c r="O70" s="128"/>
      <c r="P70" s="128"/>
      <c r="Q70" s="128"/>
      <c r="R70" s="128"/>
      <c r="S70" s="128"/>
      <c r="T70" s="128"/>
      <c r="U70" s="128"/>
      <c r="V70" s="128"/>
    </row>
    <row r="71" ht="15.75" customHeight="1">
      <c r="N71" s="128"/>
      <c r="O71" s="128"/>
      <c r="P71" s="128"/>
      <c r="Q71" s="128"/>
      <c r="R71" s="128"/>
      <c r="S71" s="128"/>
      <c r="T71" s="128"/>
      <c r="U71" s="128"/>
      <c r="V71" s="128"/>
    </row>
    <row r="72" ht="15.75" customHeight="1">
      <c r="N72" s="128"/>
      <c r="O72" s="128"/>
      <c r="P72" s="128"/>
      <c r="Q72" s="128"/>
      <c r="R72" s="128"/>
      <c r="S72" s="128"/>
      <c r="T72" s="128"/>
      <c r="U72" s="128"/>
      <c r="V72" s="128"/>
    </row>
    <row r="73" ht="15.75" customHeight="1">
      <c r="N73" s="128"/>
      <c r="O73" s="128"/>
      <c r="P73" s="128"/>
      <c r="Q73" s="128"/>
      <c r="R73" s="128"/>
      <c r="S73" s="128"/>
      <c r="T73" s="128"/>
      <c r="U73" s="128"/>
      <c r="V73" s="128"/>
    </row>
    <row r="74" ht="15.75" customHeight="1">
      <c r="N74" s="128"/>
      <c r="O74" s="128"/>
      <c r="P74" s="128"/>
      <c r="Q74" s="128"/>
      <c r="R74" s="128"/>
      <c r="S74" s="128"/>
      <c r="T74" s="128"/>
      <c r="U74" s="128"/>
      <c r="V74" s="128"/>
    </row>
    <row r="75" ht="15.75" customHeight="1">
      <c r="N75" s="128"/>
      <c r="O75" s="128"/>
      <c r="P75" s="128"/>
      <c r="Q75" s="128"/>
      <c r="R75" s="128"/>
      <c r="S75" s="128"/>
      <c r="T75" s="128"/>
      <c r="U75" s="128"/>
      <c r="V75" s="128"/>
    </row>
    <row r="76" ht="15.75" customHeight="1">
      <c r="N76" s="128"/>
      <c r="O76" s="128"/>
      <c r="P76" s="128"/>
      <c r="Q76" s="128"/>
      <c r="R76" s="128"/>
      <c r="S76" s="128"/>
      <c r="T76" s="128"/>
      <c r="U76" s="128"/>
      <c r="V76" s="128"/>
    </row>
    <row r="77" ht="15.75" customHeight="1">
      <c r="N77" s="128"/>
      <c r="O77" s="128"/>
      <c r="P77" s="128"/>
      <c r="Q77" s="128"/>
      <c r="R77" s="128"/>
      <c r="S77" s="128"/>
      <c r="T77" s="128"/>
      <c r="U77" s="128"/>
      <c r="V77" s="128"/>
    </row>
    <row r="78" ht="15.75" customHeight="1">
      <c r="N78" s="128"/>
      <c r="O78" s="128"/>
      <c r="P78" s="128"/>
      <c r="Q78" s="128"/>
      <c r="R78" s="128"/>
      <c r="S78" s="128"/>
      <c r="T78" s="128"/>
      <c r="U78" s="128"/>
      <c r="V78" s="128"/>
    </row>
    <row r="79" ht="15.75" customHeight="1">
      <c r="N79" s="128"/>
      <c r="O79" s="128"/>
      <c r="P79" s="128"/>
      <c r="Q79" s="128"/>
      <c r="R79" s="128"/>
      <c r="S79" s="128"/>
      <c r="T79" s="128"/>
      <c r="U79" s="128"/>
      <c r="V79" s="128"/>
    </row>
    <row r="80" ht="15.75" customHeight="1">
      <c r="O80" s="128"/>
      <c r="P80" s="128"/>
      <c r="Q80" s="128"/>
      <c r="R80" s="128"/>
      <c r="S80" s="128"/>
      <c r="T80" s="128"/>
      <c r="U80" s="128"/>
      <c r="V80" s="128"/>
    </row>
    <row r="81" ht="15.75" customHeight="1">
      <c r="O81" s="128"/>
      <c r="P81" s="128"/>
      <c r="Q81" s="128"/>
      <c r="R81" s="128"/>
      <c r="S81" s="128"/>
      <c r="T81" s="128"/>
      <c r="U81" s="128"/>
      <c r="V81" s="128"/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Q$36">
    <sortState ref="A2:Q36">
      <sortCondition descending="1" ref="Q2:Q36"/>
      <sortCondition ref="A2:A36"/>
      <sortCondition descending="1" ref="I2:I36"/>
      <sortCondition descending="1" ref="O2:O36"/>
      <sortCondition ref="G2:G36"/>
      <sortCondition descending="1" ref="N2:N36"/>
      <sortCondition ref="B2:B36"/>
      <sortCondition ref="E2:E36"/>
    </sortState>
  </autoFilter>
  <mergeCells count="1">
    <mergeCell ref="N1:Q1"/>
  </mergeCells>
  <hyperlinks>
    <hyperlink r:id="rId1" ref="M4"/>
    <hyperlink r:id="rId2" ref="M6"/>
    <hyperlink r:id="rId3" ref="M7"/>
    <hyperlink r:id="rId4" ref="M8"/>
    <hyperlink r:id="rId5" ref="M9"/>
    <hyperlink r:id="rId6" ref="M10"/>
    <hyperlink r:id="rId7" ref="M11"/>
    <hyperlink r:id="rId8" ref="M12"/>
    <hyperlink r:id="rId9" ref="M14"/>
    <hyperlink r:id="rId10" ref="M16"/>
    <hyperlink r:id="rId11" ref="M17"/>
    <hyperlink r:id="rId12" ref="M18"/>
    <hyperlink r:id="rId13" ref="M19"/>
    <hyperlink r:id="rId14" ref="M20"/>
    <hyperlink r:id="rId15" ref="M23"/>
    <hyperlink r:id="rId16" ref="M24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6.75"/>
    <col customWidth="1" min="2" max="2" width="21.0"/>
    <col customWidth="1" min="3" max="3" width="12.5"/>
    <col customWidth="1" min="4" max="5" width="9.88"/>
    <col customWidth="1" min="6" max="6" width="14.25"/>
    <col customWidth="1" min="7" max="8" width="8.63"/>
    <col customWidth="1" min="9" max="9" width="10.63"/>
    <col customWidth="1" min="10" max="10" width="9.63"/>
    <col customWidth="1" min="11" max="11" width="6.75"/>
    <col customWidth="1" min="12" max="12" width="9.13"/>
    <col customWidth="1" min="13" max="13" width="24.25"/>
    <col customWidth="1" min="14" max="14" width="7.25"/>
    <col customWidth="1" min="15" max="15" width="9.88"/>
    <col customWidth="1" min="16" max="16" width="21.38"/>
    <col customWidth="1" min="17" max="17" width="16.0"/>
    <col customWidth="1" min="18" max="26" width="15.13"/>
  </cols>
  <sheetData>
    <row r="1" ht="15.75" customHeight="1">
      <c r="A1" s="125"/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6" t="s">
        <v>202</v>
      </c>
      <c r="R1" s="127"/>
      <c r="S1" s="125"/>
      <c r="T1" s="128"/>
      <c r="U1" s="128"/>
      <c r="V1" s="128"/>
    </row>
    <row r="2" ht="15.75" customHeight="1">
      <c r="A2" s="125" t="s">
        <v>107</v>
      </c>
      <c r="B2" s="125" t="s">
        <v>106</v>
      </c>
      <c r="C2" s="125" t="s">
        <v>203</v>
      </c>
      <c r="D2" s="125" t="s">
        <v>204</v>
      </c>
      <c r="E2" s="125" t="s">
        <v>205</v>
      </c>
      <c r="F2" s="125" t="s">
        <v>206</v>
      </c>
      <c r="G2" s="125" t="s">
        <v>207</v>
      </c>
      <c r="H2" s="125" t="s">
        <v>208</v>
      </c>
      <c r="I2" s="125" t="s">
        <v>209</v>
      </c>
      <c r="J2" s="125" t="s">
        <v>210</v>
      </c>
      <c r="K2" s="125" t="s">
        <v>211</v>
      </c>
      <c r="L2" s="125" t="s">
        <v>212</v>
      </c>
      <c r="M2" s="129" t="s">
        <v>213</v>
      </c>
      <c r="N2" s="130" t="s">
        <v>214</v>
      </c>
      <c r="O2" s="131" t="s">
        <v>215</v>
      </c>
      <c r="P2" s="131" t="s">
        <v>216</v>
      </c>
      <c r="Q2" s="131" t="s">
        <v>217</v>
      </c>
      <c r="R2" s="127"/>
      <c r="S2" s="125"/>
      <c r="T2" s="128"/>
      <c r="U2" s="128"/>
      <c r="V2" s="128"/>
    </row>
    <row r="3" ht="15.75" customHeight="1">
      <c r="A3" s="125" t="s">
        <v>281</v>
      </c>
      <c r="B3" s="125" t="s">
        <v>282</v>
      </c>
      <c r="C3" s="125" t="s">
        <v>283</v>
      </c>
      <c r="D3" s="125" t="s">
        <v>229</v>
      </c>
      <c r="E3" s="125" t="s">
        <v>11</v>
      </c>
      <c r="I3" s="125" t="s">
        <v>231</v>
      </c>
      <c r="M3" s="129"/>
      <c r="N3" s="133">
        <f>CountIF('Plan - NL'!$I$11:$P$32,$A3)</f>
        <v>0</v>
      </c>
      <c r="O3" s="133">
        <f>COUNTIFS('Plan - NL'!$L$11:$L$32,$A3)</f>
        <v>0</v>
      </c>
      <c r="P3" s="133">
        <f>COUNTIFS('Plan - NL'!$K$11:$K$32,$A3)</f>
        <v>0</v>
      </c>
      <c r="Q3" s="133">
        <f>COUNTIFS('Plan - NL'!$I$11:$J$32,$A3)+COUNTIFS('Plan - NL'!$M$11:$P$32,$A3)</f>
        <v>0</v>
      </c>
      <c r="R3" s="133"/>
      <c r="S3" s="128"/>
      <c r="T3" s="128"/>
      <c r="U3" s="128"/>
      <c r="V3" s="128"/>
    </row>
    <row r="4" ht="15.75" customHeight="1">
      <c r="A4" s="125" t="s">
        <v>192</v>
      </c>
      <c r="B4" s="125" t="s">
        <v>191</v>
      </c>
      <c r="C4" s="125" t="s">
        <v>283</v>
      </c>
      <c r="D4" s="125" t="s">
        <v>229</v>
      </c>
      <c r="E4" s="125" t="s">
        <v>9</v>
      </c>
      <c r="F4" s="125" t="s">
        <v>8</v>
      </c>
      <c r="G4" s="125" t="s">
        <v>225</v>
      </c>
      <c r="H4" s="125">
        <v>7246.0</v>
      </c>
      <c r="I4" s="125" t="s">
        <v>219</v>
      </c>
      <c r="J4" s="125" t="s">
        <v>220</v>
      </c>
      <c r="K4" s="125"/>
      <c r="L4" s="125">
        <v>5.1248482E7</v>
      </c>
      <c r="M4" s="134" t="s">
        <v>284</v>
      </c>
      <c r="N4" s="133">
        <f>CountIF('Plan - NL'!$I$11:$P$32,$A4)</f>
        <v>0</v>
      </c>
      <c r="O4" s="133">
        <f>COUNTIFS('Plan - NL'!$J$11:$J$32,$A4)</f>
        <v>0</v>
      </c>
      <c r="P4" s="133">
        <f>COUNTIFS('Plan - NL'!$I$11:$I$32,$A4)</f>
        <v>0</v>
      </c>
      <c r="Q4" s="133">
        <f>COUNTIFS('Plan - NL'!$K$11:$P$32,$A4)</f>
        <v>0</v>
      </c>
      <c r="R4" s="133"/>
      <c r="S4" s="128"/>
      <c r="T4" s="128"/>
      <c r="U4" s="128"/>
      <c r="V4" s="128"/>
    </row>
    <row r="5" ht="15.75" customHeight="1">
      <c r="A5" s="125" t="s">
        <v>285</v>
      </c>
      <c r="B5" s="125" t="s">
        <v>286</v>
      </c>
      <c r="C5" s="125" t="s">
        <v>283</v>
      </c>
      <c r="D5" s="125" t="s">
        <v>229</v>
      </c>
      <c r="E5" s="125" t="s">
        <v>9</v>
      </c>
      <c r="F5" s="125"/>
      <c r="G5" s="125" t="s">
        <v>15</v>
      </c>
      <c r="H5" s="125">
        <v>15447.0</v>
      </c>
      <c r="I5" s="125" t="s">
        <v>231</v>
      </c>
      <c r="J5" s="125" t="s">
        <v>70</v>
      </c>
      <c r="M5" s="129"/>
      <c r="N5" s="133">
        <f>CountIF('Plan - NL'!$I$11:$P$32,$A5)</f>
        <v>0</v>
      </c>
      <c r="O5" s="133">
        <f>COUNTIFS('Plan - NL'!$J$11:$J$32,$A5)</f>
        <v>0</v>
      </c>
      <c r="P5" s="133">
        <f>COUNTIFS('Plan - NL'!$I$11:$I$32,$A5)</f>
        <v>0</v>
      </c>
      <c r="Q5" s="133">
        <f>COUNTIFS('Plan - NL'!$K$11:$P$32,$A5)</f>
        <v>0</v>
      </c>
      <c r="R5" s="133"/>
      <c r="S5" s="128"/>
      <c r="T5" s="128"/>
      <c r="U5" s="128"/>
      <c r="V5" s="128"/>
    </row>
    <row r="6" ht="15.75" customHeight="1">
      <c r="A6" s="125" t="s">
        <v>180</v>
      </c>
      <c r="B6" s="125" t="s">
        <v>179</v>
      </c>
      <c r="C6" s="125" t="s">
        <v>283</v>
      </c>
      <c r="D6" s="125" t="s">
        <v>229</v>
      </c>
      <c r="E6" s="125" t="s">
        <v>10</v>
      </c>
      <c r="F6" s="125"/>
      <c r="G6" s="125" t="s">
        <v>15</v>
      </c>
      <c r="I6" s="125" t="s">
        <v>231</v>
      </c>
      <c r="J6" s="125" t="s">
        <v>287</v>
      </c>
      <c r="K6" s="125"/>
      <c r="M6" s="134" t="s">
        <v>288</v>
      </c>
      <c r="N6" s="133">
        <f>CountIF('Plan - NL'!$I$11:$P$32,$A6)</f>
        <v>0</v>
      </c>
      <c r="O6" s="133">
        <f>COUNTIFS('Plan - NL'!$K$11:$K$32,$A6)</f>
        <v>0</v>
      </c>
      <c r="P6" s="133">
        <f>COUNTIFS('Plan - NL'!$L$11:$L$32,$A6)</f>
        <v>0</v>
      </c>
      <c r="Q6" s="133">
        <f>COUNTIFS('Plan - NL'!$I$11:$J$32,$A6)+COUNTIFS('Plan - NL'!$M$11:$P$32,$A6)</f>
        <v>0</v>
      </c>
      <c r="R6" s="133"/>
      <c r="S6" s="128"/>
      <c r="T6" s="128"/>
      <c r="U6" s="128"/>
      <c r="V6" s="128"/>
    </row>
    <row r="7" ht="15.75" customHeight="1">
      <c r="A7" s="125" t="s">
        <v>194</v>
      </c>
      <c r="B7" s="125" t="s">
        <v>193</v>
      </c>
      <c r="C7" s="125" t="s">
        <v>283</v>
      </c>
      <c r="D7" s="125" t="s">
        <v>229</v>
      </c>
      <c r="E7" s="125" t="s">
        <v>12</v>
      </c>
      <c r="M7" s="129"/>
      <c r="N7" s="133">
        <f>CountIF('Plan - NL'!$I$11:$P$32,$A7)</f>
        <v>0</v>
      </c>
      <c r="O7" s="133">
        <f>COUNTIFS('Plan - NL'!$M$11:$M$32,$A7)</f>
        <v>0</v>
      </c>
      <c r="P7" s="133">
        <f>COUNTIFS('Plan - NL'!$N$11:$O$32,$A7)</f>
        <v>0</v>
      </c>
      <c r="Q7" s="133">
        <f>COUNTIFS('Plan - NL'!$I$11:$L$32,$A7)+COUNTIFS('Plan - NL'!$P$11:$P$32,$A7)</f>
        <v>0</v>
      </c>
      <c r="R7" s="133"/>
      <c r="S7" s="145"/>
      <c r="T7" s="128"/>
      <c r="U7" s="128"/>
      <c r="V7" s="128"/>
    </row>
    <row r="8" ht="15.75" customHeight="1">
      <c r="A8" s="125" t="s">
        <v>289</v>
      </c>
      <c r="B8" s="125" t="s">
        <v>290</v>
      </c>
      <c r="C8" s="125" t="s">
        <v>283</v>
      </c>
      <c r="D8" s="125" t="s">
        <v>229</v>
      </c>
      <c r="E8" s="125" t="s">
        <v>11</v>
      </c>
      <c r="F8" s="125"/>
      <c r="G8" s="125" t="s">
        <v>15</v>
      </c>
      <c r="H8" s="125">
        <v>10548.0</v>
      </c>
      <c r="I8" s="125" t="s">
        <v>231</v>
      </c>
      <c r="J8" s="125"/>
      <c r="L8" s="125"/>
      <c r="M8" s="129" t="s">
        <v>291</v>
      </c>
      <c r="N8" s="133">
        <f>CountIF('Plan - NL'!$I$11:$P$32,$A8)</f>
        <v>0</v>
      </c>
      <c r="O8" s="133">
        <f>COUNTIFS('Plan - NL'!$L$11:$L$32,$A8)</f>
        <v>0</v>
      </c>
      <c r="P8" s="133">
        <f>COUNTIFS('Plan - NL'!$K$11:$K$32,$A8)</f>
        <v>0</v>
      </c>
      <c r="Q8" s="133">
        <f>COUNTIFS('Plan - NL'!$I$11:$J$32,$A8)+COUNTIFS('Plan - NL'!$M$11:$P$32,$A8)</f>
        <v>0</v>
      </c>
      <c r="R8" s="133"/>
      <c r="S8" s="128"/>
      <c r="T8" s="128"/>
      <c r="U8" s="128"/>
      <c r="V8" s="128"/>
    </row>
    <row r="9" ht="15.75" customHeight="1">
      <c r="A9" s="125" t="s">
        <v>167</v>
      </c>
      <c r="B9" s="125" t="s">
        <v>166</v>
      </c>
      <c r="C9" s="125" t="s">
        <v>283</v>
      </c>
      <c r="D9" s="125" t="s">
        <v>229</v>
      </c>
      <c r="E9" s="125" t="s">
        <v>9</v>
      </c>
      <c r="F9" s="125"/>
      <c r="G9" s="125" t="s">
        <v>15</v>
      </c>
      <c r="H9" s="125">
        <v>274.0</v>
      </c>
      <c r="I9" s="125" t="s">
        <v>231</v>
      </c>
      <c r="J9" s="125" t="s">
        <v>220</v>
      </c>
      <c r="K9" s="125"/>
      <c r="L9" s="125">
        <v>2.7205364E7</v>
      </c>
      <c r="M9" s="137" t="s">
        <v>292</v>
      </c>
      <c r="N9" s="133">
        <f>CountIF('Plan - NL'!$I$11:$P$32,$A9)</f>
        <v>0</v>
      </c>
      <c r="O9" s="133">
        <f>COUNTIFS('Plan - NL'!$J$11:$J$32,$A9)</f>
        <v>0</v>
      </c>
      <c r="P9" s="133">
        <f>COUNTIFS('Plan - NL'!$I$11:$I$32,$A9)</f>
        <v>0</v>
      </c>
      <c r="Q9" s="133">
        <f>COUNTIFS('Plan - NL'!$K$11:$P$32,$A9)</f>
        <v>0</v>
      </c>
      <c r="R9" s="128"/>
      <c r="S9" s="128"/>
      <c r="T9" s="128"/>
      <c r="U9" s="128"/>
      <c r="V9" s="128"/>
    </row>
    <row r="10" ht="15.75" customHeight="1">
      <c r="A10" s="141"/>
      <c r="B10" s="135"/>
      <c r="G10" s="140" t="s">
        <v>205</v>
      </c>
      <c r="H10" s="135" t="s">
        <v>206</v>
      </c>
      <c r="N10" s="128"/>
      <c r="O10" s="128"/>
      <c r="P10" s="128"/>
      <c r="Q10" s="128"/>
      <c r="R10" s="128"/>
      <c r="S10" s="128"/>
      <c r="T10" s="128"/>
      <c r="U10" s="128"/>
      <c r="V10" s="128"/>
    </row>
    <row r="11" ht="15.75" customHeight="1">
      <c r="A11" s="141"/>
      <c r="B11" s="135" t="s">
        <v>258</v>
      </c>
      <c r="C11" s="142">
        <f t="shared" ref="C11:C20" si="1">COUNTIF($C$3:$C$9,B11)</f>
        <v>0</v>
      </c>
      <c r="D11" s="142">
        <f>COUNTIF($D$3:$D$9,"Ja")</f>
        <v>0</v>
      </c>
      <c r="F11" s="125" t="s">
        <v>271</v>
      </c>
      <c r="G11" s="140">
        <f t="shared" ref="G11:G17" si="2">COUNTIF($E$4:$E$9,$F11)</f>
        <v>0</v>
      </c>
      <c r="H11" s="140">
        <f t="shared" ref="H11:H17" si="3">COUNTIF($F$4:$F$9,$F11)</f>
        <v>1</v>
      </c>
      <c r="N11" s="128"/>
      <c r="O11" s="128"/>
      <c r="P11" s="128"/>
      <c r="Q11" s="128"/>
      <c r="R11" s="128"/>
      <c r="S11" s="128"/>
      <c r="T11" s="128"/>
      <c r="U11" s="128"/>
      <c r="V11" s="128"/>
    </row>
    <row r="12" ht="15.75" customHeight="1">
      <c r="A12" s="141"/>
      <c r="B12" s="135" t="s">
        <v>69</v>
      </c>
      <c r="C12" s="142">
        <f t="shared" si="1"/>
        <v>0</v>
      </c>
      <c r="D12" s="142">
        <f>COUNTIF($D$3:$D$9,"Nej")</f>
        <v>7</v>
      </c>
      <c r="F12" s="125" t="s">
        <v>272</v>
      </c>
      <c r="G12" s="140">
        <f t="shared" si="2"/>
        <v>3</v>
      </c>
      <c r="H12" s="140">
        <f t="shared" si="3"/>
        <v>0</v>
      </c>
      <c r="N12" s="128"/>
      <c r="O12" s="128"/>
      <c r="P12" s="128"/>
      <c r="Q12" s="128"/>
      <c r="R12" s="128"/>
      <c r="S12" s="128"/>
      <c r="T12" s="128"/>
      <c r="U12" s="128"/>
      <c r="V12" s="128"/>
    </row>
    <row r="13" ht="15.75" customHeight="1">
      <c r="A13" s="141"/>
      <c r="B13" s="135" t="s">
        <v>293</v>
      </c>
      <c r="C13" s="142">
        <f t="shared" si="1"/>
        <v>0</v>
      </c>
      <c r="F13" s="125" t="s">
        <v>294</v>
      </c>
      <c r="G13" s="140">
        <f t="shared" si="2"/>
        <v>1</v>
      </c>
      <c r="H13" s="140">
        <f t="shared" si="3"/>
        <v>0</v>
      </c>
      <c r="N13" s="128"/>
      <c r="O13" s="128"/>
      <c r="P13" s="128"/>
      <c r="Q13" s="128"/>
      <c r="R13" s="128"/>
      <c r="S13" s="128"/>
      <c r="T13" s="128"/>
      <c r="U13" s="128"/>
      <c r="V13" s="128"/>
    </row>
    <row r="14" ht="15.75" customHeight="1">
      <c r="A14" s="141"/>
      <c r="B14" s="135" t="s">
        <v>295</v>
      </c>
      <c r="C14" s="142">
        <f t="shared" si="1"/>
        <v>0</v>
      </c>
      <c r="F14" s="125" t="s">
        <v>296</v>
      </c>
      <c r="G14" s="140">
        <f t="shared" si="2"/>
        <v>1</v>
      </c>
      <c r="H14" s="140">
        <f t="shared" si="3"/>
        <v>0</v>
      </c>
      <c r="N14" s="128"/>
      <c r="O14" s="128"/>
      <c r="P14" s="128"/>
      <c r="Q14" s="128"/>
      <c r="R14" s="128"/>
      <c r="S14" s="128"/>
      <c r="T14" s="128"/>
      <c r="U14" s="128"/>
      <c r="V14" s="128"/>
    </row>
    <row r="15" ht="15.75" customHeight="1">
      <c r="A15" s="141"/>
      <c r="B15" s="135" t="s">
        <v>273</v>
      </c>
      <c r="C15" s="142">
        <f t="shared" si="1"/>
        <v>0</v>
      </c>
      <c r="F15" s="125" t="s">
        <v>274</v>
      </c>
      <c r="G15" s="140">
        <f t="shared" si="2"/>
        <v>0</v>
      </c>
      <c r="H15" s="140">
        <f t="shared" si="3"/>
        <v>0</v>
      </c>
      <c r="N15" s="128"/>
      <c r="O15" s="128"/>
      <c r="P15" s="128"/>
      <c r="Q15" s="128"/>
      <c r="R15" s="128"/>
      <c r="S15" s="128"/>
      <c r="T15" s="128"/>
      <c r="U15" s="128"/>
      <c r="V15" s="128"/>
    </row>
    <row r="16" ht="15.75" customHeight="1">
      <c r="A16" s="141"/>
      <c r="B16" s="135" t="s">
        <v>275</v>
      </c>
      <c r="C16" s="142">
        <f t="shared" si="1"/>
        <v>0</v>
      </c>
      <c r="F16" s="125" t="s">
        <v>276</v>
      </c>
      <c r="G16" s="140">
        <f t="shared" si="2"/>
        <v>0</v>
      </c>
      <c r="H16" s="140">
        <f t="shared" si="3"/>
        <v>0</v>
      </c>
      <c r="N16" s="133"/>
      <c r="O16" s="128"/>
      <c r="P16" s="128"/>
      <c r="Q16" s="128"/>
      <c r="R16" s="128"/>
      <c r="S16" s="128"/>
      <c r="T16" s="128"/>
      <c r="U16" s="128"/>
      <c r="V16" s="128"/>
    </row>
    <row r="17" ht="15.75" customHeight="1">
      <c r="A17" s="141"/>
      <c r="B17" s="135" t="s">
        <v>236</v>
      </c>
      <c r="C17" s="142">
        <f t="shared" si="1"/>
        <v>0</v>
      </c>
      <c r="F17" s="125" t="s">
        <v>277</v>
      </c>
      <c r="G17" s="140">
        <f t="shared" si="2"/>
        <v>1</v>
      </c>
      <c r="H17" s="140">
        <f t="shared" si="3"/>
        <v>0</v>
      </c>
      <c r="N17" s="128"/>
      <c r="O17" s="128"/>
      <c r="P17" s="128"/>
      <c r="Q17" s="128"/>
      <c r="R17" s="128"/>
      <c r="S17" s="128"/>
      <c r="T17" s="128"/>
      <c r="U17" s="128"/>
      <c r="V17" s="128"/>
    </row>
    <row r="18" ht="15.75" customHeight="1">
      <c r="A18" s="141"/>
      <c r="B18" s="135" t="s">
        <v>270</v>
      </c>
      <c r="C18" s="142">
        <f t="shared" si="1"/>
        <v>0</v>
      </c>
      <c r="G18" s="140"/>
      <c r="H18" s="135"/>
      <c r="N18" s="133"/>
      <c r="O18" s="128"/>
      <c r="P18" s="128"/>
      <c r="Q18" s="128"/>
      <c r="R18" s="128"/>
      <c r="S18" s="128"/>
      <c r="T18" s="128"/>
      <c r="U18" s="128"/>
      <c r="V18" s="128"/>
    </row>
    <row r="19" ht="15.75" customHeight="1">
      <c r="A19" s="141"/>
      <c r="B19" s="135" t="s">
        <v>278</v>
      </c>
      <c r="C19" s="142">
        <f t="shared" si="1"/>
        <v>0</v>
      </c>
      <c r="F19" s="125" t="s">
        <v>279</v>
      </c>
      <c r="G19" s="140"/>
      <c r="H19" s="135"/>
      <c r="N19" s="128"/>
      <c r="O19" s="128"/>
      <c r="P19" s="128"/>
      <c r="Q19" s="128"/>
      <c r="R19" s="128"/>
      <c r="S19" s="128"/>
      <c r="T19" s="128"/>
      <c r="U19" s="128"/>
      <c r="V19" s="128"/>
    </row>
    <row r="20" ht="15.75" customHeight="1">
      <c r="A20" s="141"/>
      <c r="B20" s="135" t="s">
        <v>267</v>
      </c>
      <c r="C20" s="142">
        <f t="shared" si="1"/>
        <v>0</v>
      </c>
      <c r="F20" s="143" t="s">
        <v>280</v>
      </c>
      <c r="G20" s="140"/>
      <c r="H20" s="135"/>
      <c r="N20" s="128"/>
      <c r="O20" s="128"/>
      <c r="P20" s="128"/>
      <c r="Q20" s="128"/>
      <c r="R20" s="128"/>
      <c r="S20" s="128"/>
      <c r="T20" s="128"/>
      <c r="U20" s="128"/>
      <c r="V20" s="128"/>
    </row>
    <row r="21" ht="15.75" customHeight="1">
      <c r="A21" s="141"/>
      <c r="G21" s="140"/>
      <c r="H21" s="135"/>
      <c r="N21" s="128"/>
      <c r="O21" s="128"/>
      <c r="P21" s="128"/>
      <c r="Q21" s="128"/>
      <c r="R21" s="128"/>
      <c r="S21" s="128"/>
      <c r="T21" s="128"/>
      <c r="U21" s="128"/>
      <c r="V21" s="128"/>
    </row>
    <row r="22" ht="15.75" customHeight="1">
      <c r="A22" s="141"/>
      <c r="G22" s="140"/>
      <c r="H22" s="135"/>
      <c r="N22" s="128"/>
      <c r="O22" s="128"/>
      <c r="P22" s="128"/>
      <c r="Q22" s="128"/>
      <c r="R22" s="128"/>
      <c r="S22" s="128"/>
      <c r="T22" s="128"/>
      <c r="U22" s="128"/>
      <c r="V22" s="128"/>
    </row>
    <row r="23" ht="15.75" customHeight="1">
      <c r="A23" s="141"/>
      <c r="G23" s="140"/>
      <c r="H23" s="135"/>
      <c r="N23" s="128"/>
      <c r="O23" s="128"/>
      <c r="P23" s="128"/>
      <c r="Q23" s="128"/>
      <c r="R23" s="128"/>
      <c r="S23" s="128"/>
      <c r="T23" s="128"/>
      <c r="U23" s="128"/>
      <c r="V23" s="128"/>
    </row>
    <row r="24" ht="15.75" customHeight="1">
      <c r="A24" s="141"/>
      <c r="G24" s="140"/>
      <c r="H24" s="135"/>
      <c r="N24" s="133"/>
      <c r="O24" s="128"/>
      <c r="P24" s="128"/>
      <c r="Q24" s="128"/>
      <c r="R24" s="128"/>
      <c r="S24" s="128"/>
      <c r="T24" s="128"/>
      <c r="U24" s="128"/>
      <c r="V24" s="128"/>
    </row>
    <row r="25" ht="15.75" customHeight="1">
      <c r="A25" s="141"/>
      <c r="G25" s="140"/>
      <c r="H25" s="135"/>
      <c r="N25" s="133"/>
      <c r="O25" s="128"/>
      <c r="P25" s="128"/>
      <c r="Q25" s="128"/>
      <c r="R25" s="128"/>
      <c r="S25" s="128"/>
      <c r="T25" s="128"/>
      <c r="U25" s="128"/>
      <c r="V25" s="128"/>
    </row>
    <row r="26" ht="15.75" customHeight="1">
      <c r="A26" s="141"/>
      <c r="G26" s="140"/>
      <c r="H26" s="135"/>
      <c r="N26" s="125"/>
      <c r="O26" s="128"/>
      <c r="P26" s="128"/>
      <c r="Q26" s="128"/>
      <c r="R26" s="128"/>
      <c r="S26" s="128"/>
      <c r="T26" s="128"/>
      <c r="U26" s="128"/>
      <c r="V26" s="128"/>
    </row>
    <row r="27" ht="15.75" customHeight="1">
      <c r="A27" s="141"/>
      <c r="G27" s="140"/>
      <c r="H27" s="135"/>
      <c r="N27" s="128"/>
      <c r="O27" s="128"/>
      <c r="P27" s="128"/>
      <c r="Q27" s="128"/>
      <c r="R27" s="128"/>
      <c r="S27" s="128"/>
      <c r="T27" s="128"/>
      <c r="U27" s="128"/>
      <c r="V27" s="128"/>
    </row>
    <row r="28" ht="15.75" customHeight="1">
      <c r="A28" s="141"/>
      <c r="G28" s="140"/>
      <c r="H28" s="135"/>
      <c r="N28" s="128"/>
      <c r="O28" s="128"/>
      <c r="P28" s="128"/>
      <c r="Q28" s="128"/>
      <c r="R28" s="128"/>
      <c r="S28" s="128"/>
      <c r="T28" s="128"/>
      <c r="U28" s="128"/>
      <c r="V28" s="128"/>
    </row>
    <row r="29" ht="15.75" customHeight="1">
      <c r="A29" s="141"/>
      <c r="G29" s="140"/>
      <c r="H29" s="135"/>
      <c r="N29" s="128"/>
      <c r="O29" s="128"/>
      <c r="P29" s="128"/>
      <c r="Q29" s="128"/>
      <c r="R29" s="128"/>
      <c r="S29" s="128"/>
      <c r="T29" s="128"/>
      <c r="U29" s="128"/>
      <c r="V29" s="128"/>
    </row>
    <row r="30" ht="15.75" customHeight="1">
      <c r="A30" s="141"/>
      <c r="G30" s="140"/>
      <c r="H30" s="135"/>
      <c r="N30" s="128"/>
      <c r="O30" s="128"/>
      <c r="P30" s="128"/>
      <c r="Q30" s="128"/>
      <c r="R30" s="128"/>
      <c r="S30" s="128"/>
      <c r="T30" s="128"/>
      <c r="U30" s="128"/>
      <c r="V30" s="128"/>
    </row>
    <row r="31" ht="15.75" customHeight="1">
      <c r="A31" s="141"/>
      <c r="G31" s="140"/>
      <c r="H31" s="135"/>
      <c r="N31" s="125"/>
      <c r="O31" s="128"/>
      <c r="P31" s="128"/>
      <c r="Q31" s="128"/>
      <c r="R31" s="128"/>
      <c r="S31" s="128"/>
      <c r="T31" s="128"/>
      <c r="U31" s="128"/>
      <c r="V31" s="128"/>
    </row>
    <row r="32" ht="15.75" customHeight="1">
      <c r="A32" s="141"/>
      <c r="G32" s="140"/>
      <c r="H32" s="135"/>
      <c r="N32" s="128"/>
      <c r="O32" s="128"/>
      <c r="P32" s="128"/>
      <c r="Q32" s="128"/>
      <c r="R32" s="128"/>
      <c r="S32" s="128"/>
      <c r="T32" s="128"/>
      <c r="U32" s="128"/>
      <c r="V32" s="128"/>
    </row>
    <row r="33" ht="15.75" customHeight="1">
      <c r="A33" s="141"/>
      <c r="G33" s="140"/>
      <c r="H33" s="135"/>
      <c r="N33" s="128"/>
      <c r="O33" s="128"/>
      <c r="P33" s="128"/>
      <c r="Q33" s="128"/>
      <c r="R33" s="128"/>
      <c r="S33" s="128"/>
      <c r="T33" s="128"/>
      <c r="U33" s="128"/>
      <c r="V33" s="128"/>
    </row>
    <row r="34" ht="15.75" customHeight="1">
      <c r="A34" s="141"/>
      <c r="G34" s="140"/>
      <c r="H34" s="135"/>
      <c r="N34" s="128"/>
      <c r="O34" s="128"/>
      <c r="P34" s="128"/>
      <c r="Q34" s="128"/>
      <c r="R34" s="128"/>
      <c r="S34" s="128"/>
      <c r="T34" s="128"/>
      <c r="U34" s="128"/>
      <c r="V34" s="128"/>
    </row>
    <row r="35" ht="15.75" customHeight="1">
      <c r="A35" s="141"/>
      <c r="G35" s="140"/>
      <c r="H35" s="135"/>
      <c r="N35" s="128"/>
      <c r="O35" s="128"/>
      <c r="P35" s="128"/>
      <c r="Q35" s="128"/>
      <c r="R35" s="128"/>
      <c r="S35" s="128"/>
      <c r="T35" s="128"/>
      <c r="U35" s="128"/>
      <c r="V35" s="128"/>
    </row>
    <row r="36" ht="15.75" customHeight="1">
      <c r="A36" s="141"/>
      <c r="G36" s="140"/>
      <c r="H36" s="135"/>
      <c r="N36" s="128"/>
      <c r="O36" s="128"/>
      <c r="P36" s="128"/>
      <c r="Q36" s="128"/>
      <c r="R36" s="128"/>
      <c r="S36" s="128"/>
      <c r="T36" s="128"/>
      <c r="U36" s="128"/>
      <c r="V36" s="128"/>
    </row>
    <row r="37" ht="15.75" customHeight="1">
      <c r="A37" s="141"/>
      <c r="G37" s="140"/>
      <c r="H37" s="135"/>
      <c r="N37" s="128"/>
      <c r="O37" s="128"/>
      <c r="P37" s="128"/>
      <c r="Q37" s="128"/>
      <c r="R37" s="128"/>
      <c r="S37" s="128"/>
      <c r="T37" s="128"/>
      <c r="U37" s="128"/>
      <c r="V37" s="128"/>
    </row>
    <row r="38" ht="15.75" customHeight="1">
      <c r="A38" s="141"/>
      <c r="G38" s="140"/>
      <c r="H38" s="135"/>
      <c r="N38" s="128"/>
      <c r="O38" s="128"/>
      <c r="P38" s="128"/>
      <c r="Q38" s="128"/>
      <c r="R38" s="128"/>
      <c r="S38" s="128"/>
      <c r="T38" s="128"/>
      <c r="U38" s="128"/>
      <c r="V38" s="128"/>
    </row>
    <row r="39" ht="15.75" customHeight="1">
      <c r="A39" s="141"/>
      <c r="G39" s="140"/>
      <c r="H39" s="135"/>
      <c r="N39" s="128"/>
      <c r="O39" s="128"/>
      <c r="P39" s="128"/>
      <c r="Q39" s="128"/>
      <c r="R39" s="128"/>
      <c r="S39" s="128"/>
      <c r="T39" s="128"/>
      <c r="U39" s="128"/>
      <c r="V39" s="128"/>
    </row>
    <row r="40" ht="15.75" customHeight="1">
      <c r="A40" s="141"/>
      <c r="G40" s="140"/>
      <c r="H40" s="135"/>
      <c r="N40" s="128"/>
      <c r="O40" s="128"/>
      <c r="P40" s="128"/>
      <c r="Q40" s="128"/>
      <c r="R40" s="128"/>
      <c r="S40" s="128"/>
      <c r="T40" s="128"/>
      <c r="U40" s="128"/>
      <c r="V40" s="128"/>
    </row>
    <row r="41" ht="15.75" customHeight="1">
      <c r="A41" s="141"/>
      <c r="G41" s="140"/>
      <c r="H41" s="135"/>
      <c r="N41" s="128"/>
      <c r="O41" s="128"/>
      <c r="P41" s="128"/>
      <c r="Q41" s="128"/>
      <c r="R41" s="128"/>
      <c r="S41" s="128"/>
      <c r="T41" s="128"/>
      <c r="U41" s="128"/>
      <c r="V41" s="128"/>
    </row>
    <row r="42" ht="15.75" customHeight="1">
      <c r="A42" s="141"/>
      <c r="B42" s="135"/>
      <c r="G42" s="140"/>
      <c r="H42" s="135"/>
      <c r="N42" s="128"/>
      <c r="O42" s="128"/>
      <c r="P42" s="128"/>
      <c r="Q42" s="128"/>
      <c r="R42" s="128"/>
      <c r="S42" s="128"/>
      <c r="T42" s="128"/>
      <c r="U42" s="128"/>
      <c r="V42" s="128"/>
    </row>
    <row r="43" ht="15.75" customHeight="1">
      <c r="N43" s="128"/>
      <c r="O43" s="128"/>
      <c r="P43" s="128"/>
      <c r="Q43" s="128"/>
      <c r="R43" s="128"/>
      <c r="S43" s="128"/>
      <c r="T43" s="128"/>
      <c r="U43" s="128"/>
      <c r="V43" s="128"/>
    </row>
    <row r="44" ht="15.75" customHeight="1">
      <c r="N44" s="128"/>
      <c r="O44" s="128"/>
      <c r="P44" s="128"/>
      <c r="Q44" s="128"/>
      <c r="R44" s="128"/>
      <c r="S44" s="128"/>
      <c r="T44" s="128"/>
      <c r="U44" s="128"/>
      <c r="V44" s="128"/>
    </row>
    <row r="45" ht="15.75" customHeight="1">
      <c r="N45" s="128"/>
      <c r="O45" s="128"/>
      <c r="P45" s="128"/>
      <c r="Q45" s="128"/>
      <c r="R45" s="128"/>
      <c r="S45" s="128"/>
      <c r="T45" s="128"/>
      <c r="U45" s="128"/>
      <c r="V45" s="128"/>
    </row>
    <row r="46" ht="15.75" customHeight="1">
      <c r="N46" s="128"/>
      <c r="O46" s="128"/>
      <c r="P46" s="128"/>
      <c r="Q46" s="128"/>
      <c r="R46" s="128"/>
      <c r="S46" s="128"/>
      <c r="T46" s="128"/>
      <c r="U46" s="128"/>
      <c r="V46" s="128"/>
    </row>
    <row r="47" ht="15.75" customHeight="1">
      <c r="N47" s="128"/>
      <c r="O47" s="128"/>
      <c r="P47" s="128"/>
      <c r="Q47" s="128"/>
      <c r="R47" s="128"/>
      <c r="S47" s="128"/>
      <c r="T47" s="128"/>
      <c r="U47" s="128"/>
      <c r="V47" s="128"/>
    </row>
    <row r="48" ht="15.75" customHeight="1">
      <c r="N48" s="128"/>
      <c r="O48" s="128"/>
      <c r="P48" s="128"/>
      <c r="Q48" s="128"/>
      <c r="R48" s="128"/>
      <c r="S48" s="128"/>
      <c r="T48" s="128"/>
      <c r="U48" s="128"/>
      <c r="V48" s="128"/>
    </row>
    <row r="49" ht="15.75" customHeight="1">
      <c r="N49" s="128"/>
      <c r="O49" s="128"/>
      <c r="P49" s="128"/>
      <c r="Q49" s="128"/>
      <c r="R49" s="128"/>
      <c r="S49" s="128"/>
      <c r="T49" s="128"/>
      <c r="U49" s="128"/>
      <c r="V49" s="128"/>
    </row>
    <row r="50" ht="15.75" customHeight="1">
      <c r="N50" s="128"/>
      <c r="O50" s="128"/>
      <c r="P50" s="128"/>
      <c r="Q50" s="128"/>
      <c r="R50" s="128"/>
      <c r="S50" s="128"/>
      <c r="T50" s="128"/>
      <c r="U50" s="128"/>
      <c r="V50" s="128"/>
    </row>
    <row r="51" ht="15.75" customHeight="1">
      <c r="N51" s="128"/>
      <c r="O51" s="128"/>
      <c r="P51" s="128"/>
      <c r="Q51" s="128"/>
      <c r="R51" s="128"/>
      <c r="S51" s="128"/>
      <c r="T51" s="128"/>
      <c r="U51" s="128"/>
      <c r="V51" s="128"/>
    </row>
    <row r="52" ht="15.75" customHeight="1">
      <c r="N52" s="128"/>
      <c r="O52" s="128"/>
      <c r="P52" s="128"/>
      <c r="Q52" s="128"/>
      <c r="R52" s="128"/>
      <c r="S52" s="128"/>
      <c r="T52" s="128"/>
      <c r="U52" s="128"/>
      <c r="V52" s="128"/>
    </row>
    <row r="53" ht="15.75" customHeight="1">
      <c r="N53" s="128"/>
      <c r="O53" s="128"/>
      <c r="P53" s="128"/>
      <c r="Q53" s="128"/>
      <c r="R53" s="128"/>
      <c r="S53" s="128"/>
      <c r="T53" s="128"/>
      <c r="U53" s="128"/>
      <c r="V53" s="128"/>
    </row>
    <row r="54" ht="15.75" customHeight="1">
      <c r="N54" s="128"/>
      <c r="O54" s="128"/>
      <c r="P54" s="128"/>
      <c r="Q54" s="128"/>
      <c r="R54" s="128"/>
      <c r="S54" s="128"/>
      <c r="T54" s="128"/>
      <c r="U54" s="128"/>
      <c r="V54" s="128"/>
    </row>
    <row r="55" ht="15.75" customHeight="1">
      <c r="O55" s="128"/>
      <c r="P55" s="128"/>
      <c r="Q55" s="128"/>
      <c r="R55" s="128"/>
      <c r="S55" s="128"/>
      <c r="T55" s="128"/>
      <c r="U55" s="128"/>
      <c r="V55" s="128"/>
    </row>
    <row r="56" ht="15.75" customHeight="1">
      <c r="O56" s="128"/>
      <c r="P56" s="128"/>
      <c r="Q56" s="128"/>
      <c r="R56" s="128"/>
      <c r="S56" s="128"/>
      <c r="T56" s="128"/>
      <c r="U56" s="128"/>
      <c r="V56" s="12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Q$9">
    <sortState ref="A2:Q9">
      <sortCondition descending="1" ref="Q2:Q9"/>
      <sortCondition ref="A2:A9"/>
      <sortCondition descending="1" ref="I2:I9"/>
      <sortCondition descending="1" ref="O2:O9"/>
      <sortCondition ref="G2:G9"/>
      <sortCondition descending="1" ref="N2:N9"/>
      <sortCondition ref="B2:B9"/>
      <sortCondition ref="E2:E9"/>
    </sortState>
  </autoFilter>
  <mergeCells count="1">
    <mergeCell ref="N1:Q1"/>
  </mergeCells>
  <hyperlinks>
    <hyperlink r:id="rId1" ref="M4"/>
    <hyperlink r:id="rId2" ref="M6"/>
    <hyperlink r:id="rId3" ref="M9"/>
  </hyperlinks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5"/>
    <col customWidth="1" min="2" max="2" width="8.5"/>
    <col customWidth="1" min="3" max="3" width="7.25"/>
    <col customWidth="1" min="4" max="4" width="7.13"/>
    <col customWidth="1" min="5" max="5" width="9.75"/>
    <col customWidth="1" min="6" max="6" width="11.25"/>
    <col customWidth="1" min="7" max="7" width="20.0"/>
    <col customWidth="1" min="8" max="8" width="17.63"/>
    <col customWidth="1" min="9" max="11" width="5.0"/>
    <col customWidth="1" min="12" max="12" width="4.5"/>
    <col customWidth="1" min="13" max="13" width="5.5"/>
    <col customWidth="1" min="14" max="14" width="4.5"/>
    <col customWidth="1" min="15" max="15" width="5.0"/>
    <col customWidth="1" min="16" max="16" width="4.75"/>
    <col customWidth="1" min="17" max="17" width="46.5"/>
    <col customWidth="1" min="18" max="18" width="24.0"/>
    <col customWidth="1" min="19" max="20" width="5.25"/>
    <col customWidth="1" min="21" max="21" width="9.0"/>
    <col customWidth="1" min="22" max="22" width="10.88"/>
    <col customWidth="1" min="23" max="23" width="15.13"/>
    <col customWidth="1" min="24" max="24" width="12.25"/>
    <col customWidth="1" min="25" max="25" width="12.63"/>
    <col customWidth="1" min="26" max="26" width="15.13"/>
    <col customWidth="1" min="27" max="29" width="16.88"/>
    <col customWidth="1" min="30" max="30" width="11.75"/>
    <col customWidth="1" min="31" max="31" width="13.25"/>
    <col customWidth="1" min="32" max="32" width="15.13"/>
    <col customWidth="1" min="33" max="33" width="15.5"/>
    <col customWidth="1" min="34" max="34" width="15.13"/>
    <col customWidth="1" min="35" max="35" width="11.13"/>
    <col customWidth="1" min="36" max="36" width="12.63"/>
    <col customWidth="1" min="37" max="40" width="15.13"/>
  </cols>
  <sheetData>
    <row r="1" ht="15.75" customHeight="1">
      <c r="A1" s="146" t="s">
        <v>297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Q1" s="148" t="s">
        <v>16</v>
      </c>
      <c r="R1" s="147"/>
      <c r="S1" s="147" t="s">
        <v>18</v>
      </c>
      <c r="T1" s="147" t="s">
        <v>19</v>
      </c>
      <c r="U1" s="147" t="s">
        <v>20</v>
      </c>
      <c r="V1" s="147" t="s">
        <v>21</v>
      </c>
      <c r="W1" s="148" t="s">
        <v>22</v>
      </c>
      <c r="X1" s="148" t="s">
        <v>23</v>
      </c>
      <c r="Y1" s="148" t="s">
        <v>24</v>
      </c>
      <c r="Z1" s="149" t="s">
        <v>25</v>
      </c>
      <c r="AA1" s="148" t="s">
        <v>26</v>
      </c>
      <c r="AB1" s="128"/>
      <c r="AC1" s="128" t="s">
        <v>28</v>
      </c>
      <c r="AD1" s="128" t="s">
        <v>29</v>
      </c>
      <c r="AE1" s="128" t="s">
        <v>30</v>
      </c>
      <c r="AF1" s="128" t="s">
        <v>31</v>
      </c>
      <c r="AG1" s="128" t="s">
        <v>32</v>
      </c>
      <c r="AH1" s="128" t="s">
        <v>33</v>
      </c>
      <c r="AI1" s="128" t="s">
        <v>34</v>
      </c>
      <c r="AJ1" s="128"/>
      <c r="AK1" s="128" t="s">
        <v>35</v>
      </c>
      <c r="AL1" s="128" t="s">
        <v>36</v>
      </c>
      <c r="AM1" s="128" t="s">
        <v>37</v>
      </c>
      <c r="AN1" s="128"/>
    </row>
    <row r="2" ht="15.75" customHeight="1">
      <c r="A2" s="150"/>
      <c r="B2" s="151">
        <v>2.0</v>
      </c>
      <c r="C2" s="152" t="s">
        <v>39</v>
      </c>
      <c r="D2" s="152">
        <v>15.0</v>
      </c>
      <c r="E2" s="152" t="s">
        <v>298</v>
      </c>
      <c r="F2" s="153">
        <v>0.5833333333333334</v>
      </c>
      <c r="G2" s="152" t="s">
        <v>232</v>
      </c>
      <c r="H2" s="154" t="s">
        <v>48</v>
      </c>
      <c r="I2" s="155" t="s">
        <v>64</v>
      </c>
      <c r="J2" s="156" t="s">
        <v>285</v>
      </c>
      <c r="K2" s="156" t="s">
        <v>43</v>
      </c>
      <c r="L2" s="156" t="s">
        <v>63</v>
      </c>
      <c r="M2" s="156" t="s">
        <v>51</v>
      </c>
      <c r="N2" s="156" t="s">
        <v>80</v>
      </c>
      <c r="O2" s="156" t="s">
        <v>145</v>
      </c>
      <c r="P2" s="156"/>
      <c r="Q2" s="156"/>
      <c r="R2" s="157" t="s">
        <v>299</v>
      </c>
      <c r="S2" s="156">
        <f>COUNTIF('Status data'!$A2:$H2,"1")</f>
        <v>4</v>
      </c>
      <c r="T2" s="156">
        <f>COUNTIF('Status data'!$A2:$H2,"2")</f>
        <v>2</v>
      </c>
      <c r="U2" s="156">
        <f>COUNTIF('Status data'!$A2:$H2,"3")</f>
        <v>0</v>
      </c>
      <c r="V2" s="157"/>
      <c r="W2" s="157"/>
      <c r="X2" s="158"/>
      <c r="Y2" s="159"/>
      <c r="Z2" s="158"/>
      <c r="AA2" s="158"/>
      <c r="AB2" s="160"/>
      <c r="AC2" s="161"/>
      <c r="AD2" s="161"/>
      <c r="AE2" s="161"/>
      <c r="AF2" s="162" t="str">
        <f t="shared" ref="AF2:AF5" si="1">HOUR(AD2-AC2)&amp;"h"&amp;minute(AD2-AC2)&amp;"m"</f>
        <v>0h0m</v>
      </c>
      <c r="AG2" s="163"/>
      <c r="AH2" s="164"/>
      <c r="AI2" s="164"/>
      <c r="AJ2" s="163"/>
      <c r="AK2" s="165" t="str">
        <f>AE2-#REF!</f>
        <v>#REF!</v>
      </c>
      <c r="AL2" s="166" t="str">
        <f>AH2-#REF!</f>
        <v>#REF!</v>
      </c>
      <c r="AM2" s="167" t="str">
        <f>#REF!-AC2</f>
        <v>#REF!</v>
      </c>
      <c r="AN2" s="167"/>
    </row>
    <row r="3" ht="15.75" customHeight="1">
      <c r="A3" s="150"/>
      <c r="B3" s="151">
        <v>2.0</v>
      </c>
      <c r="C3" s="152" t="s">
        <v>39</v>
      </c>
      <c r="D3" s="152">
        <v>15.0</v>
      </c>
      <c r="E3" s="152" t="s">
        <v>298</v>
      </c>
      <c r="F3" s="153">
        <v>0.5833333333333334</v>
      </c>
      <c r="G3" s="152" t="s">
        <v>47</v>
      </c>
      <c r="H3" s="154" t="s">
        <v>300</v>
      </c>
      <c r="I3" s="155" t="s">
        <v>192</v>
      </c>
      <c r="J3" s="156" t="s">
        <v>50</v>
      </c>
      <c r="K3" s="156"/>
      <c r="L3" s="156" t="s">
        <v>67</v>
      </c>
      <c r="M3" s="156" t="s">
        <v>154</v>
      </c>
      <c r="N3" s="156" t="s">
        <v>85</v>
      </c>
      <c r="O3" s="156" t="s">
        <v>66</v>
      </c>
      <c r="P3" s="156"/>
      <c r="Q3" s="168" t="s">
        <v>301</v>
      </c>
      <c r="R3" s="157" t="s">
        <v>302</v>
      </c>
      <c r="S3" s="156">
        <f>COUNTIF('Status data'!$A3:$H3,"1")</f>
        <v>0</v>
      </c>
      <c r="T3" s="156">
        <f>COUNTIF('Status data'!$A3:$H3,"2")</f>
        <v>0</v>
      </c>
      <c r="U3" s="156">
        <f>COUNTIF('Status data'!$A3:$H3,"3")</f>
        <v>0</v>
      </c>
      <c r="V3" s="157"/>
      <c r="W3" s="157"/>
      <c r="X3" s="158"/>
      <c r="Y3" s="159"/>
      <c r="Z3" s="158"/>
      <c r="AA3" s="158"/>
      <c r="AB3" s="160"/>
      <c r="AC3" s="169">
        <v>44059.58472222222</v>
      </c>
      <c r="AD3" s="161">
        <v>44059.680555555555</v>
      </c>
      <c r="AE3" s="161">
        <v>44060.032638888886</v>
      </c>
      <c r="AF3" s="162" t="str">
        <f t="shared" si="1"/>
        <v>2h18m</v>
      </c>
      <c r="AG3" s="163"/>
      <c r="AH3" s="170"/>
      <c r="AI3" s="164"/>
      <c r="AJ3" s="163"/>
      <c r="AK3" s="165">
        <f t="shared" ref="AK3:AK4" si="2">AE3-AD3</f>
        <v>0.3520833333</v>
      </c>
      <c r="AL3" s="166">
        <f t="shared" ref="AL3:AL5" si="3">AH3-AD3</f>
        <v>-44059.68056</v>
      </c>
      <c r="AM3" s="167">
        <f t="shared" ref="AM3:AM5" si="4">AD3-AC3</f>
        <v>0.09583333333</v>
      </c>
      <c r="AN3" s="167"/>
    </row>
    <row r="4" ht="15.75" customHeight="1">
      <c r="A4" s="150"/>
      <c r="B4" s="151">
        <v>2.0</v>
      </c>
      <c r="C4" s="152" t="s">
        <v>54</v>
      </c>
      <c r="D4" s="152">
        <v>16.0</v>
      </c>
      <c r="E4" s="152" t="s">
        <v>298</v>
      </c>
      <c r="F4" s="153">
        <v>0.5833333333333334</v>
      </c>
      <c r="G4" s="152" t="s">
        <v>303</v>
      </c>
      <c r="H4" s="154" t="s">
        <v>304</v>
      </c>
      <c r="I4" s="171" t="s">
        <v>49</v>
      </c>
      <c r="J4" s="156" t="s">
        <v>192</v>
      </c>
      <c r="K4" s="156" t="s">
        <v>89</v>
      </c>
      <c r="L4" s="172" t="s">
        <v>305</v>
      </c>
      <c r="M4" s="156" t="s">
        <v>58</v>
      </c>
      <c r="N4" s="156" t="s">
        <v>85</v>
      </c>
      <c r="O4" s="156" t="s">
        <v>147</v>
      </c>
      <c r="P4" s="156"/>
      <c r="Q4" s="127" t="s">
        <v>301</v>
      </c>
      <c r="R4" s="173" t="s">
        <v>306</v>
      </c>
      <c r="S4" s="156">
        <f>COUNTIF('Status data'!$A4:$H4,"1")</f>
        <v>0</v>
      </c>
      <c r="T4" s="156">
        <f>COUNTIF('Status data'!$A4:$H4,"2")</f>
        <v>0</v>
      </c>
      <c r="U4" s="156">
        <f>COUNTIF('Status data'!$A4:$H4,"3")</f>
        <v>0</v>
      </c>
      <c r="V4" s="173"/>
      <c r="W4" s="157"/>
      <c r="X4" s="158"/>
      <c r="Y4" s="159"/>
      <c r="Z4" s="158"/>
      <c r="AA4" s="158"/>
      <c r="AB4" s="160"/>
      <c r="AC4" s="169"/>
      <c r="AD4" s="161"/>
      <c r="AE4" s="161"/>
      <c r="AF4" s="162" t="str">
        <f t="shared" si="1"/>
        <v>0h0m</v>
      </c>
      <c r="AG4" s="163"/>
      <c r="AH4" s="170"/>
      <c r="AI4" s="164"/>
      <c r="AJ4" s="163"/>
      <c r="AK4" s="165">
        <f t="shared" si="2"/>
        <v>0</v>
      </c>
      <c r="AL4" s="166">
        <f t="shared" si="3"/>
        <v>0</v>
      </c>
      <c r="AM4" s="167">
        <f t="shared" si="4"/>
        <v>0</v>
      </c>
      <c r="AN4" s="167"/>
    </row>
    <row r="5" ht="15.75" customHeight="1">
      <c r="A5" s="174"/>
      <c r="B5" s="175">
        <v>3.0</v>
      </c>
      <c r="C5" s="176" t="s">
        <v>39</v>
      </c>
      <c r="D5" s="176">
        <v>22.0</v>
      </c>
      <c r="E5" s="177" t="s">
        <v>298</v>
      </c>
      <c r="F5" s="178">
        <v>0.7916666666666666</v>
      </c>
      <c r="G5" s="176" t="s">
        <v>55</v>
      </c>
      <c r="H5" s="176" t="s">
        <v>70</v>
      </c>
      <c r="I5" s="179" t="s">
        <v>58</v>
      </c>
      <c r="J5" s="179" t="s">
        <v>192</v>
      </c>
      <c r="K5" s="180" t="s">
        <v>89</v>
      </c>
      <c r="L5" s="180" t="s">
        <v>67</v>
      </c>
      <c r="M5" s="180" t="s">
        <v>154</v>
      </c>
      <c r="N5" s="180" t="s">
        <v>66</v>
      </c>
      <c r="O5" s="180" t="s">
        <v>147</v>
      </c>
      <c r="P5" s="180" t="s">
        <v>49</v>
      </c>
      <c r="Q5" s="156"/>
      <c r="R5" s="173" t="s">
        <v>307</v>
      </c>
      <c r="S5" s="156">
        <f>COUNTIF('Status data'!$A5:$H5,"1")</f>
        <v>0</v>
      </c>
      <c r="T5" s="156">
        <f>COUNTIF('Status data'!$A5:$H5,"2")</f>
        <v>0</v>
      </c>
      <c r="U5" s="156">
        <f>COUNTIF('Status data'!$A5:$H5,"3")</f>
        <v>0</v>
      </c>
      <c r="V5" s="173"/>
      <c r="W5" s="173"/>
      <c r="X5" s="181"/>
      <c r="Y5" s="181"/>
      <c r="Z5" s="181"/>
      <c r="AA5" s="181"/>
      <c r="AB5" s="160"/>
      <c r="AC5" s="161"/>
      <c r="AD5" s="161"/>
      <c r="AE5" s="182"/>
      <c r="AF5" s="162" t="str">
        <f t="shared" si="1"/>
        <v>0h0m</v>
      </c>
      <c r="AG5" s="163"/>
      <c r="AH5" s="161"/>
      <c r="AI5" s="163"/>
      <c r="AJ5" s="163"/>
      <c r="AK5" s="165">
        <f>AH5-AD5</f>
        <v>0</v>
      </c>
      <c r="AL5" s="166">
        <f t="shared" si="3"/>
        <v>0</v>
      </c>
      <c r="AM5" s="167">
        <f t="shared" si="4"/>
        <v>0</v>
      </c>
      <c r="AN5" s="167"/>
    </row>
    <row r="6" ht="15.75" customHeight="1">
      <c r="A6" s="150"/>
      <c r="B6" s="151">
        <v>3.0</v>
      </c>
      <c r="C6" s="152" t="s">
        <v>54</v>
      </c>
      <c r="D6" s="152">
        <v>23.0</v>
      </c>
      <c r="E6" s="152" t="s">
        <v>298</v>
      </c>
      <c r="F6" s="153">
        <v>0.5833333333333334</v>
      </c>
      <c r="G6" s="152" t="s">
        <v>308</v>
      </c>
      <c r="H6" s="154" t="s">
        <v>41</v>
      </c>
      <c r="I6" s="179"/>
      <c r="J6" s="179" t="s">
        <v>44</v>
      </c>
      <c r="K6" s="180"/>
      <c r="L6" s="180" t="s">
        <v>63</v>
      </c>
      <c r="M6" s="180" t="s">
        <v>309</v>
      </c>
      <c r="N6" s="180" t="s">
        <v>80</v>
      </c>
      <c r="O6" s="180" t="s">
        <v>145</v>
      </c>
      <c r="P6" s="180"/>
      <c r="Q6" s="156" t="s">
        <v>310</v>
      </c>
      <c r="R6" s="173" t="s">
        <v>311</v>
      </c>
      <c r="S6" s="156">
        <f>COUNTIF('Status data'!$A6:$H6,"1")</f>
        <v>2</v>
      </c>
      <c r="T6" s="156">
        <f>COUNTIF('Status data'!$A6:$H6,"2")</f>
        <v>1</v>
      </c>
      <c r="U6" s="156">
        <f>COUNTIF('Status data'!$A6:$H6,"3")</f>
        <v>1</v>
      </c>
      <c r="V6" s="173"/>
      <c r="W6" s="173"/>
      <c r="X6" s="181"/>
      <c r="Y6" s="181"/>
      <c r="Z6" s="181"/>
      <c r="AA6" s="181"/>
      <c r="AB6" s="160"/>
      <c r="AC6" s="161"/>
      <c r="AD6" s="161"/>
      <c r="AE6" s="161"/>
      <c r="AF6" s="162"/>
      <c r="AG6" s="163"/>
      <c r="AH6" s="164"/>
      <c r="AI6" s="163"/>
      <c r="AJ6" s="163"/>
      <c r="AK6" s="165"/>
      <c r="AL6" s="166"/>
      <c r="AM6" s="167"/>
      <c r="AN6" s="167"/>
    </row>
    <row r="7" ht="15.75" customHeight="1">
      <c r="A7" s="150"/>
      <c r="B7" s="151">
        <v>3.0</v>
      </c>
      <c r="C7" s="152" t="s">
        <v>54</v>
      </c>
      <c r="D7" s="152">
        <v>23.0</v>
      </c>
      <c r="E7" s="152" t="s">
        <v>298</v>
      </c>
      <c r="F7" s="153">
        <v>0.5833333333333334</v>
      </c>
      <c r="G7" s="152" t="s">
        <v>300</v>
      </c>
      <c r="H7" s="154" t="s">
        <v>312</v>
      </c>
      <c r="I7" s="179" t="s">
        <v>192</v>
      </c>
      <c r="J7" s="179" t="s">
        <v>50</v>
      </c>
      <c r="K7" s="180"/>
      <c r="L7" s="180" t="s">
        <v>305</v>
      </c>
      <c r="M7" s="180" t="s">
        <v>51</v>
      </c>
      <c r="N7" s="180" t="s">
        <v>66</v>
      </c>
      <c r="O7" s="180" t="s">
        <v>147</v>
      </c>
      <c r="P7" s="180"/>
      <c r="Q7" s="127"/>
      <c r="R7" s="173"/>
      <c r="S7" s="156">
        <f>COUNTIF('Status data'!$A7:$H7,"1")</f>
        <v>0</v>
      </c>
      <c r="T7" s="156">
        <f>COUNTIF('Status data'!$A7:$H7,"2")</f>
        <v>0</v>
      </c>
      <c r="U7" s="156">
        <f>COUNTIF('Status data'!$A7:$H7,"3")</f>
        <v>0</v>
      </c>
      <c r="V7" s="173"/>
      <c r="W7" s="173"/>
      <c r="X7" s="181"/>
      <c r="Y7" s="181"/>
      <c r="Z7" s="181"/>
      <c r="AA7" s="181"/>
      <c r="AB7" s="160"/>
      <c r="AC7" s="161"/>
      <c r="AD7" s="161"/>
      <c r="AE7" s="161"/>
      <c r="AF7" s="162"/>
      <c r="AG7" s="163"/>
      <c r="AH7" s="164"/>
      <c r="AI7" s="163"/>
      <c r="AJ7" s="163"/>
      <c r="AK7" s="165"/>
      <c r="AL7" s="166"/>
      <c r="AM7" s="167"/>
      <c r="AN7" s="167"/>
    </row>
    <row r="8" ht="15.75" customHeight="1">
      <c r="A8" s="150"/>
      <c r="B8" s="151">
        <v>4.0</v>
      </c>
      <c r="C8" s="152" t="s">
        <v>39</v>
      </c>
      <c r="D8" s="152">
        <v>29.0</v>
      </c>
      <c r="E8" s="152" t="s">
        <v>298</v>
      </c>
      <c r="F8" s="153">
        <v>0.5833333333333334</v>
      </c>
      <c r="G8" s="152" t="s">
        <v>313</v>
      </c>
      <c r="H8" s="154" t="s">
        <v>303</v>
      </c>
      <c r="I8" s="179" t="s">
        <v>49</v>
      </c>
      <c r="J8" s="179" t="s">
        <v>192</v>
      </c>
      <c r="K8" s="180" t="s">
        <v>89</v>
      </c>
      <c r="L8" s="180" t="s">
        <v>67</v>
      </c>
      <c r="M8" s="180" t="s">
        <v>58</v>
      </c>
      <c r="N8" s="180" t="s">
        <v>66</v>
      </c>
      <c r="O8" s="180" t="s">
        <v>147</v>
      </c>
      <c r="P8" s="180" t="s">
        <v>314</v>
      </c>
      <c r="Q8" s="168" t="s">
        <v>315</v>
      </c>
      <c r="R8" s="173"/>
      <c r="S8" s="156">
        <f>COUNTIF('Status data'!$A8:$H8,"1")</f>
        <v>0</v>
      </c>
      <c r="T8" s="156">
        <f>COUNTIF('Status data'!$A8:$H8,"2")</f>
        <v>0</v>
      </c>
      <c r="U8" s="156">
        <f>COUNTIF('Status data'!$A8:$H8,"3")</f>
        <v>0</v>
      </c>
      <c r="V8" s="173"/>
      <c r="W8" s="173"/>
      <c r="X8" s="181"/>
      <c r="Y8" s="181"/>
      <c r="Z8" s="181"/>
      <c r="AA8" s="181"/>
      <c r="AB8" s="160"/>
      <c r="AC8" s="161"/>
      <c r="AD8" s="161"/>
      <c r="AE8" s="161"/>
      <c r="AF8" s="162"/>
      <c r="AG8" s="163"/>
      <c r="AH8" s="164"/>
      <c r="AI8" s="163"/>
      <c r="AJ8" s="163"/>
      <c r="AK8" s="165"/>
      <c r="AL8" s="166"/>
      <c r="AM8" s="167"/>
      <c r="AN8" s="167"/>
    </row>
    <row r="9" ht="15.75" customHeight="1">
      <c r="A9" s="174"/>
      <c r="B9" s="175">
        <v>4.0</v>
      </c>
      <c r="C9" s="176" t="s">
        <v>39</v>
      </c>
      <c r="D9" s="176">
        <v>29.0</v>
      </c>
      <c r="E9" s="177" t="s">
        <v>298</v>
      </c>
      <c r="F9" s="178">
        <v>0.7916666666666666</v>
      </c>
      <c r="G9" s="176" t="s">
        <v>56</v>
      </c>
      <c r="H9" s="176" t="s">
        <v>55</v>
      </c>
      <c r="I9" s="179" t="s">
        <v>64</v>
      </c>
      <c r="J9" s="179" t="s">
        <v>50</v>
      </c>
      <c r="K9" s="180" t="s">
        <v>43</v>
      </c>
      <c r="L9" s="180" t="s">
        <v>199</v>
      </c>
      <c r="M9" s="180" t="s">
        <v>58</v>
      </c>
      <c r="N9" s="180" t="s">
        <v>80</v>
      </c>
      <c r="O9" s="180" t="s">
        <v>85</v>
      </c>
      <c r="P9" s="180" t="s">
        <v>51</v>
      </c>
      <c r="Q9" s="156" t="s">
        <v>316</v>
      </c>
      <c r="R9" s="173"/>
      <c r="S9" s="156">
        <f>COUNTIF('Status data'!$A9:$H9,"1")</f>
        <v>0</v>
      </c>
      <c r="T9" s="156">
        <f>COUNTIF('Status data'!$A9:$H9,"2")</f>
        <v>0</v>
      </c>
      <c r="U9" s="156">
        <f>COUNTIF('Status data'!$A9:$H9,"3")</f>
        <v>0</v>
      </c>
      <c r="V9" s="173"/>
      <c r="W9" s="173"/>
      <c r="X9" s="181"/>
      <c r="Y9" s="181"/>
      <c r="Z9" s="181"/>
      <c r="AA9" s="181"/>
      <c r="AB9" s="160"/>
      <c r="AC9" s="161"/>
      <c r="AD9" s="161"/>
      <c r="AE9" s="161"/>
      <c r="AF9" s="162"/>
      <c r="AG9" s="163"/>
      <c r="AH9" s="164"/>
      <c r="AI9" s="163"/>
      <c r="AJ9" s="163"/>
      <c r="AK9" s="165"/>
      <c r="AL9" s="166"/>
      <c r="AM9" s="167"/>
      <c r="AN9" s="167"/>
    </row>
    <row r="10" ht="15.75" customHeight="1">
      <c r="A10" s="150"/>
      <c r="B10" s="151">
        <v>5.0</v>
      </c>
      <c r="C10" s="152" t="s">
        <v>39</v>
      </c>
      <c r="D10" s="152">
        <v>5.0</v>
      </c>
      <c r="E10" s="152" t="s">
        <v>317</v>
      </c>
      <c r="F10" s="153">
        <v>0.5833333333333334</v>
      </c>
      <c r="G10" s="152" t="s">
        <v>304</v>
      </c>
      <c r="H10" s="154" t="s">
        <v>47</v>
      </c>
      <c r="I10" s="179" t="s">
        <v>49</v>
      </c>
      <c r="J10" s="179" t="s">
        <v>192</v>
      </c>
      <c r="K10" s="180" t="s">
        <v>89</v>
      </c>
      <c r="L10" s="180" t="s">
        <v>67</v>
      </c>
      <c r="M10" s="180" t="s">
        <v>58</v>
      </c>
      <c r="N10" s="180" t="s">
        <v>66</v>
      </c>
      <c r="O10" s="180" t="s">
        <v>147</v>
      </c>
      <c r="P10" s="180"/>
      <c r="Q10" s="168" t="s">
        <v>301</v>
      </c>
      <c r="R10" s="173"/>
      <c r="S10" s="156">
        <f>COUNTIF('Status data'!$A10:$H10,"1")</f>
        <v>0</v>
      </c>
      <c r="T10" s="156">
        <f>COUNTIF('Status data'!$A10:$H10,"2")</f>
        <v>0</v>
      </c>
      <c r="U10" s="156">
        <f>COUNTIF('Status data'!$A10:$H10,"3")</f>
        <v>0</v>
      </c>
      <c r="V10" s="173"/>
      <c r="W10" s="173"/>
      <c r="X10" s="181"/>
      <c r="Y10" s="181"/>
      <c r="Z10" s="181"/>
      <c r="AA10" s="181"/>
      <c r="AB10" s="160"/>
      <c r="AC10" s="161"/>
      <c r="AD10" s="161"/>
      <c r="AE10" s="161"/>
      <c r="AF10" s="162"/>
      <c r="AG10" s="163"/>
      <c r="AH10" s="164"/>
      <c r="AI10" s="163"/>
      <c r="AJ10" s="163"/>
      <c r="AK10" s="165"/>
      <c r="AL10" s="166"/>
      <c r="AM10" s="167"/>
      <c r="AN10" s="167"/>
    </row>
    <row r="11" ht="15.75" customHeight="1">
      <c r="A11" s="174"/>
      <c r="B11" s="175">
        <v>5.0</v>
      </c>
      <c r="C11" s="176" t="s">
        <v>39</v>
      </c>
      <c r="D11" s="176">
        <v>5.0</v>
      </c>
      <c r="E11" s="176" t="s">
        <v>317</v>
      </c>
      <c r="F11" s="178">
        <v>0.7916666666666666</v>
      </c>
      <c r="G11" s="176" t="s">
        <v>70</v>
      </c>
      <c r="H11" s="183" t="s">
        <v>78</v>
      </c>
      <c r="I11" s="179" t="s">
        <v>64</v>
      </c>
      <c r="J11" s="179" t="s">
        <v>285</v>
      </c>
      <c r="K11" s="180" t="s">
        <v>43</v>
      </c>
      <c r="L11" s="180" t="s">
        <v>63</v>
      </c>
      <c r="M11" s="180" t="s">
        <v>51</v>
      </c>
      <c r="N11" s="180" t="s">
        <v>80</v>
      </c>
      <c r="O11" s="180" t="s">
        <v>145</v>
      </c>
      <c r="P11" s="180"/>
      <c r="Q11" s="156"/>
      <c r="R11" s="173"/>
      <c r="S11" s="156">
        <f>COUNTIF('Status data'!$A11:$H11,"1")</f>
        <v>0</v>
      </c>
      <c r="T11" s="156">
        <f>COUNTIF('Status data'!$A11:$H11,"2")</f>
        <v>0</v>
      </c>
      <c r="U11" s="156">
        <f>COUNTIF('Status data'!$A11:$H11,"3")</f>
        <v>0</v>
      </c>
      <c r="V11" s="173"/>
      <c r="W11" s="173"/>
      <c r="X11" s="181"/>
      <c r="Y11" s="181"/>
      <c r="Z11" s="181"/>
      <c r="AA11" s="181"/>
      <c r="AB11" s="160"/>
      <c r="AC11" s="161"/>
      <c r="AD11" s="161"/>
      <c r="AE11" s="161"/>
      <c r="AF11" s="162"/>
      <c r="AG11" s="163"/>
      <c r="AH11" s="164"/>
      <c r="AI11" s="163"/>
      <c r="AJ11" s="163"/>
      <c r="AK11" s="165"/>
      <c r="AL11" s="166"/>
      <c r="AM11" s="167"/>
      <c r="AN11" s="167"/>
    </row>
    <row r="12" ht="15.75" customHeight="1">
      <c r="A12" s="150"/>
      <c r="B12" s="151">
        <v>6.0</v>
      </c>
      <c r="C12" s="152" t="s">
        <v>39</v>
      </c>
      <c r="D12" s="152">
        <v>12.0</v>
      </c>
      <c r="E12" s="152" t="s">
        <v>317</v>
      </c>
      <c r="F12" s="153">
        <v>0.5833333333333334</v>
      </c>
      <c r="G12" s="152" t="s">
        <v>303</v>
      </c>
      <c r="H12" s="154" t="s">
        <v>312</v>
      </c>
      <c r="I12" s="179" t="s">
        <v>49</v>
      </c>
      <c r="J12" s="179" t="s">
        <v>50</v>
      </c>
      <c r="K12" s="180" t="s">
        <v>89</v>
      </c>
      <c r="L12" s="180" t="s">
        <v>67</v>
      </c>
      <c r="M12" s="180" t="s">
        <v>154</v>
      </c>
      <c r="N12" s="180" t="s">
        <v>85</v>
      </c>
      <c r="O12" s="180" t="s">
        <v>66</v>
      </c>
      <c r="P12" s="180"/>
      <c r="Q12" s="168" t="s">
        <v>318</v>
      </c>
      <c r="R12" s="173"/>
      <c r="S12" s="156">
        <f>COUNTIF('Status data'!$A12:$H12,"1")</f>
        <v>4</v>
      </c>
      <c r="T12" s="156">
        <f>COUNTIF('Status data'!$A12:$H12,"2")</f>
        <v>0</v>
      </c>
      <c r="U12" s="156">
        <f>COUNTIF('Status data'!$A12:$H12,"3")</f>
        <v>2</v>
      </c>
      <c r="V12" s="173"/>
      <c r="W12" s="173"/>
      <c r="X12" s="181"/>
      <c r="Y12" s="181"/>
      <c r="Z12" s="181"/>
      <c r="AA12" s="181"/>
      <c r="AB12" s="160"/>
      <c r="AC12" s="161"/>
      <c r="AD12" s="161"/>
      <c r="AE12" s="161"/>
      <c r="AF12" s="162"/>
      <c r="AG12" s="163"/>
      <c r="AH12" s="164"/>
      <c r="AI12" s="163"/>
      <c r="AJ12" s="163"/>
      <c r="AK12" s="165"/>
      <c r="AL12" s="166"/>
      <c r="AM12" s="167"/>
      <c r="AN12" s="167"/>
    </row>
    <row r="13" ht="15.75" customHeight="1">
      <c r="A13" s="174"/>
      <c r="B13" s="175">
        <v>6.0</v>
      </c>
      <c r="C13" s="176" t="s">
        <v>39</v>
      </c>
      <c r="D13" s="176">
        <v>12.0</v>
      </c>
      <c r="E13" s="176" t="s">
        <v>317</v>
      </c>
      <c r="F13" s="178">
        <v>0.7916666666666666</v>
      </c>
      <c r="G13" s="176" t="s">
        <v>70</v>
      </c>
      <c r="H13" s="176" t="s">
        <v>56</v>
      </c>
      <c r="I13" s="179" t="s">
        <v>64</v>
      </c>
      <c r="J13" s="179" t="s">
        <v>44</v>
      </c>
      <c r="K13" s="180" t="s">
        <v>43</v>
      </c>
      <c r="L13" s="180" t="s">
        <v>319</v>
      </c>
      <c r="M13" s="180" t="s">
        <v>58</v>
      </c>
      <c r="N13" s="180" t="s">
        <v>80</v>
      </c>
      <c r="O13" s="180" t="s">
        <v>145</v>
      </c>
      <c r="P13" s="180" t="s">
        <v>51</v>
      </c>
      <c r="Q13" s="156" t="s">
        <v>320</v>
      </c>
      <c r="R13" s="173"/>
      <c r="S13" s="156">
        <f>COUNTIF('Status data'!$A13:$H13,"1")</f>
        <v>0</v>
      </c>
      <c r="T13" s="156">
        <f>COUNTIF('Status data'!$A13:$H13,"2")</f>
        <v>0</v>
      </c>
      <c r="U13" s="156">
        <f>COUNTIF('Status data'!$A13:$H13,"3")</f>
        <v>0</v>
      </c>
      <c r="V13" s="173"/>
      <c r="W13" s="173"/>
      <c r="X13" s="181"/>
      <c r="Y13" s="181"/>
      <c r="Z13" s="181"/>
      <c r="AA13" s="181"/>
      <c r="AB13" s="160"/>
      <c r="AC13" s="161"/>
      <c r="AD13" s="161"/>
      <c r="AE13" s="161"/>
      <c r="AF13" s="162"/>
      <c r="AG13" s="163"/>
      <c r="AH13" s="164"/>
      <c r="AI13" s="163"/>
      <c r="AJ13" s="163"/>
      <c r="AK13" s="165"/>
      <c r="AL13" s="166"/>
      <c r="AM13" s="167"/>
      <c r="AN13" s="167"/>
    </row>
    <row r="14" ht="15.75" customHeight="1">
      <c r="A14" s="174"/>
      <c r="B14" s="175">
        <v>7.0</v>
      </c>
      <c r="C14" s="176" t="s">
        <v>39</v>
      </c>
      <c r="D14" s="176">
        <v>19.0</v>
      </c>
      <c r="E14" s="176" t="s">
        <v>317</v>
      </c>
      <c r="F14" s="178">
        <v>0.5833333333333334</v>
      </c>
      <c r="G14" s="183" t="s">
        <v>78</v>
      </c>
      <c r="H14" s="176" t="s">
        <v>55</v>
      </c>
      <c r="I14" s="179" t="s">
        <v>49</v>
      </c>
      <c r="J14" s="179" t="s">
        <v>50</v>
      </c>
      <c r="K14" s="180" t="s">
        <v>89</v>
      </c>
      <c r="L14" s="180" t="s">
        <v>67</v>
      </c>
      <c r="M14" s="180" t="s">
        <v>154</v>
      </c>
      <c r="N14" s="180" t="s">
        <v>85</v>
      </c>
      <c r="O14" s="180" t="s">
        <v>147</v>
      </c>
      <c r="P14" s="180"/>
      <c r="Q14" s="156"/>
      <c r="R14" s="173"/>
      <c r="S14" s="156">
        <f>COUNTIF('Status data'!$A14:$H14,"1")</f>
        <v>0</v>
      </c>
      <c r="T14" s="156">
        <f>COUNTIF('Status data'!$A14:$H14,"2")</f>
        <v>0</v>
      </c>
      <c r="U14" s="156">
        <f>COUNTIF('Status data'!$A14:$H14,"3")</f>
        <v>0</v>
      </c>
      <c r="V14" s="173"/>
      <c r="W14" s="173"/>
      <c r="X14" s="181"/>
      <c r="Y14" s="181"/>
      <c r="Z14" s="181"/>
      <c r="AA14" s="181"/>
      <c r="AB14" s="160"/>
      <c r="AC14" s="161"/>
      <c r="AD14" s="161"/>
      <c r="AE14" s="161"/>
      <c r="AF14" s="162" t="str">
        <f t="shared" ref="AF14:AF16" si="5">HOUR(AD14-AC14)&amp;"h"&amp;minute(AD14-AC14)&amp;"m"</f>
        <v>0h0m</v>
      </c>
      <c r="AG14" s="163"/>
      <c r="AH14" s="164"/>
      <c r="AI14" s="163"/>
      <c r="AJ14" s="163"/>
      <c r="AK14" s="165">
        <f t="shared" ref="AK14:AK16" si="6">AE14-AD14</f>
        <v>0</v>
      </c>
      <c r="AL14" s="166">
        <f t="shared" ref="AL14:AL15" si="7">AH14-AD14</f>
        <v>0</v>
      </c>
      <c r="AM14" s="167">
        <f t="shared" ref="AM14:AM15" si="8">AD14-AC14</f>
        <v>0</v>
      </c>
      <c r="AN14" s="167"/>
    </row>
    <row r="15" ht="15.75" customHeight="1">
      <c r="A15" s="150"/>
      <c r="B15" s="151">
        <v>7.0</v>
      </c>
      <c r="C15" s="152" t="s">
        <v>54</v>
      </c>
      <c r="D15" s="152">
        <v>20.0</v>
      </c>
      <c r="E15" s="152" t="s">
        <v>317</v>
      </c>
      <c r="F15" s="153">
        <v>0.5833333333333334</v>
      </c>
      <c r="G15" s="152" t="s">
        <v>321</v>
      </c>
      <c r="H15" s="154" t="s">
        <v>41</v>
      </c>
      <c r="I15" s="179" t="s">
        <v>64</v>
      </c>
      <c r="J15" s="179" t="s">
        <v>44</v>
      </c>
      <c r="K15" s="180" t="s">
        <v>43</v>
      </c>
      <c r="L15" s="180" t="s">
        <v>322</v>
      </c>
      <c r="M15" s="180" t="s">
        <v>309</v>
      </c>
      <c r="N15" s="180" t="s">
        <v>323</v>
      </c>
      <c r="O15" s="180" t="s">
        <v>145</v>
      </c>
      <c r="P15" s="180"/>
      <c r="Q15" s="156"/>
      <c r="R15" s="173"/>
      <c r="S15" s="156">
        <f>COUNTIF('Status data'!$A15:$H15,"1")</f>
        <v>0</v>
      </c>
      <c r="T15" s="156">
        <f>COUNTIF('Status data'!$A15:$H15,"2")</f>
        <v>0</v>
      </c>
      <c r="U15" s="156">
        <f>COUNTIF('Status data'!$A15:$H15,"3")</f>
        <v>0</v>
      </c>
      <c r="V15" s="173"/>
      <c r="W15" s="173"/>
      <c r="X15" s="181"/>
      <c r="Y15" s="181"/>
      <c r="Z15" s="181"/>
      <c r="AA15" s="181"/>
      <c r="AB15" s="160"/>
      <c r="AC15" s="184">
        <v>44086.58472222222</v>
      </c>
      <c r="AD15" s="184">
        <v>44086.691666666666</v>
      </c>
      <c r="AE15" s="161">
        <v>44087.04305555556</v>
      </c>
      <c r="AF15" s="162" t="str">
        <f t="shared" si="5"/>
        <v>2h34m</v>
      </c>
      <c r="AG15" s="163"/>
      <c r="AH15" s="164"/>
      <c r="AI15" s="164"/>
      <c r="AJ15" s="163"/>
      <c r="AK15" s="165">
        <f t="shared" si="6"/>
        <v>0.3513888889</v>
      </c>
      <c r="AL15" s="166">
        <f t="shared" si="7"/>
        <v>-44086.69167</v>
      </c>
      <c r="AM15" s="167">
        <f t="shared" si="8"/>
        <v>0.1069444444</v>
      </c>
      <c r="AN15" s="167"/>
    </row>
    <row r="16" ht="15.75" customHeight="1">
      <c r="A16" s="185"/>
      <c r="B16" s="186">
        <v>8.0</v>
      </c>
      <c r="C16" s="187" t="s">
        <v>39</v>
      </c>
      <c r="D16" s="187">
        <v>26.0</v>
      </c>
      <c r="E16" s="187" t="s">
        <v>317</v>
      </c>
      <c r="F16" s="188">
        <v>0.5833333333333334</v>
      </c>
      <c r="G16" s="189" t="s">
        <v>78</v>
      </c>
      <c r="H16" s="187" t="s">
        <v>56</v>
      </c>
      <c r="I16" s="190" t="s">
        <v>49</v>
      </c>
      <c r="J16" s="190" t="s">
        <v>192</v>
      </c>
      <c r="K16" s="191" t="s">
        <v>89</v>
      </c>
      <c r="L16" s="191" t="s">
        <v>67</v>
      </c>
      <c r="M16" s="191" t="s">
        <v>58</v>
      </c>
      <c r="N16" s="191" t="s">
        <v>66</v>
      </c>
      <c r="O16" s="191" t="s">
        <v>147</v>
      </c>
      <c r="P16" s="191"/>
      <c r="Q16" s="156"/>
      <c r="R16" s="173"/>
      <c r="S16" s="156">
        <f>COUNTIF('Status data'!$A16:$H16,"1")</f>
        <v>0</v>
      </c>
      <c r="T16" s="156">
        <f>COUNTIF('Status data'!$A16:$H16,"2")</f>
        <v>0</v>
      </c>
      <c r="U16" s="156">
        <f>COUNTIF('Status data'!$A16:$H16,"3")</f>
        <v>0</v>
      </c>
      <c r="V16" s="173"/>
      <c r="W16" s="173"/>
      <c r="X16" s="181"/>
      <c r="Y16" s="181"/>
      <c r="Z16" s="181"/>
      <c r="AA16" s="181"/>
      <c r="AB16" s="160"/>
      <c r="AC16" s="182"/>
      <c r="AD16" s="161"/>
      <c r="AE16" s="184"/>
      <c r="AF16" s="162" t="str">
        <f t="shared" si="5"/>
        <v>0h0m</v>
      </c>
      <c r="AG16" s="192"/>
      <c r="AH16" s="193"/>
      <c r="AI16" s="192"/>
      <c r="AJ16" s="192"/>
      <c r="AK16" s="192">
        <f t="shared" si="6"/>
        <v>0</v>
      </c>
      <c r="AL16" s="192"/>
      <c r="AM16" s="192"/>
      <c r="AN16" s="192"/>
    </row>
    <row r="17" ht="15.75" customHeight="1">
      <c r="A17" s="194"/>
      <c r="B17" s="195">
        <v>9.0</v>
      </c>
      <c r="C17" s="152" t="s">
        <v>39</v>
      </c>
      <c r="D17" s="152">
        <v>14.0</v>
      </c>
      <c r="E17" s="152" t="s">
        <v>324</v>
      </c>
      <c r="F17" s="196">
        <v>0.5833333333333334</v>
      </c>
      <c r="G17" s="152" t="s">
        <v>41</v>
      </c>
      <c r="H17" s="152" t="s">
        <v>48</v>
      </c>
      <c r="I17" s="197"/>
      <c r="J17" s="197"/>
      <c r="K17" s="198"/>
      <c r="L17" s="198"/>
      <c r="M17" s="198"/>
      <c r="N17" s="198"/>
      <c r="O17" s="198"/>
      <c r="P17" s="198"/>
      <c r="Q17" s="156"/>
      <c r="R17" s="173"/>
      <c r="S17" s="156">
        <f>COUNTIF('Status data'!$A17:$H17,"1")</f>
        <v>0</v>
      </c>
      <c r="T17" s="156">
        <f>COUNTIF('Status data'!$A17:$H17,"2")</f>
        <v>0</v>
      </c>
      <c r="U17" s="156">
        <f>COUNTIF('Status data'!$A17:$H17,"3")</f>
        <v>0</v>
      </c>
      <c r="V17" s="173"/>
      <c r="W17" s="173"/>
      <c r="X17" s="181"/>
      <c r="Y17" s="181"/>
      <c r="Z17" s="181"/>
      <c r="AA17" s="181"/>
      <c r="AB17" s="160"/>
      <c r="AC17" s="161"/>
      <c r="AD17" s="161"/>
      <c r="AE17" s="199"/>
      <c r="AF17" s="162"/>
      <c r="AG17" s="133"/>
      <c r="AH17" s="192"/>
      <c r="AI17" s="192"/>
      <c r="AJ17" s="192"/>
      <c r="AK17" s="192"/>
      <c r="AL17" s="192"/>
      <c r="AM17" s="192"/>
      <c r="AN17" s="192"/>
    </row>
    <row r="18" ht="15.75" customHeight="1">
      <c r="A18" s="200"/>
      <c r="B18" s="201">
        <v>9.0</v>
      </c>
      <c r="C18" s="177" t="s">
        <v>39</v>
      </c>
      <c r="D18" s="177">
        <v>14.0</v>
      </c>
      <c r="E18" s="177" t="s">
        <v>324</v>
      </c>
      <c r="F18" s="202">
        <v>0.5833333333333334</v>
      </c>
      <c r="G18" s="203" t="s">
        <v>78</v>
      </c>
      <c r="H18" s="177" t="s">
        <v>70</v>
      </c>
      <c r="I18" s="197"/>
      <c r="J18" s="197"/>
      <c r="K18" s="198"/>
      <c r="L18" s="198"/>
      <c r="M18" s="198"/>
      <c r="N18" s="198"/>
      <c r="O18" s="198"/>
      <c r="P18" s="198"/>
      <c r="Q18" s="156"/>
      <c r="R18" s="173"/>
      <c r="S18" s="156" t="str">
        <f>COUNTIF(#REF!,"1")</f>
        <v>#REF!</v>
      </c>
      <c r="T18" s="156" t="str">
        <f>COUNTIF(#REF!,"2")</f>
        <v>#REF!</v>
      </c>
      <c r="U18" s="156" t="str">
        <f>COUNTIF(#REF!,"3")</f>
        <v>#REF!</v>
      </c>
      <c r="V18" s="173"/>
      <c r="W18" s="173"/>
      <c r="X18" s="181"/>
      <c r="Y18" s="181"/>
      <c r="Z18" s="181"/>
      <c r="AA18" s="181"/>
      <c r="AB18" s="160"/>
      <c r="AC18" s="161"/>
      <c r="AD18" s="161"/>
      <c r="AE18" s="199"/>
      <c r="AF18" s="162"/>
      <c r="AG18" s="133"/>
      <c r="AH18" s="192"/>
      <c r="AI18" s="192"/>
      <c r="AJ18" s="192"/>
      <c r="AK18" s="192"/>
      <c r="AL18" s="192"/>
      <c r="AM18" s="192"/>
      <c r="AN18" s="192"/>
    </row>
    <row r="19" ht="15.75" customHeight="1">
      <c r="A19" s="194"/>
      <c r="B19" s="195">
        <v>9.0</v>
      </c>
      <c r="C19" s="152" t="s">
        <v>54</v>
      </c>
      <c r="D19" s="152">
        <v>15.0</v>
      </c>
      <c r="E19" s="152" t="s">
        <v>324</v>
      </c>
      <c r="F19" s="196">
        <v>0.5833333333333334</v>
      </c>
      <c r="G19" s="152" t="s">
        <v>47</v>
      </c>
      <c r="H19" s="152" t="s">
        <v>303</v>
      </c>
      <c r="I19" s="197"/>
      <c r="J19" s="197"/>
      <c r="K19" s="198"/>
      <c r="L19" s="198"/>
      <c r="M19" s="198"/>
      <c r="N19" s="198"/>
      <c r="O19" s="198"/>
      <c r="P19" s="198"/>
      <c r="Q19" s="156"/>
      <c r="R19" s="173"/>
      <c r="S19" s="156">
        <f>COUNTIF('Status data'!$A18:$H18,"1")</f>
        <v>0</v>
      </c>
      <c r="T19" s="156">
        <f>COUNTIF('Status data'!$A18:$H18,"2")</f>
        <v>0</v>
      </c>
      <c r="U19" s="156">
        <f>COUNTIF('Status data'!$A18:$H18,"3")</f>
        <v>0</v>
      </c>
      <c r="V19" s="173"/>
      <c r="W19" s="173"/>
      <c r="X19" s="181"/>
      <c r="Y19" s="181"/>
      <c r="Z19" s="181"/>
      <c r="AA19" s="181"/>
      <c r="AB19" s="160"/>
      <c r="AC19" s="161"/>
      <c r="AD19" s="161"/>
      <c r="AE19" s="199"/>
      <c r="AF19" s="162"/>
      <c r="AG19" s="133"/>
      <c r="AH19" s="192"/>
      <c r="AI19" s="192"/>
      <c r="AJ19" s="192"/>
      <c r="AK19" s="192"/>
      <c r="AL19" s="192"/>
      <c r="AM19" s="192"/>
      <c r="AN19" s="192"/>
    </row>
    <row r="20" ht="15.75" customHeight="1">
      <c r="A20" s="200"/>
      <c r="B20" s="201">
        <v>10.0</v>
      </c>
      <c r="C20" s="177" t="s">
        <v>39</v>
      </c>
      <c r="D20" s="177">
        <v>21.0</v>
      </c>
      <c r="E20" s="177" t="s">
        <v>324</v>
      </c>
      <c r="F20" s="202">
        <v>0.7916666666666666</v>
      </c>
      <c r="G20" s="177" t="s">
        <v>55</v>
      </c>
      <c r="H20" s="177" t="s">
        <v>56</v>
      </c>
      <c r="I20" s="197"/>
      <c r="J20" s="197"/>
      <c r="K20" s="198"/>
      <c r="L20" s="198"/>
      <c r="M20" s="198"/>
      <c r="N20" s="198"/>
      <c r="O20" s="198"/>
      <c r="P20" s="198"/>
      <c r="Q20" s="156"/>
      <c r="R20" s="173"/>
      <c r="S20" s="156">
        <f>COUNTIF('Status data'!$A19:$H19,"1")</f>
        <v>2</v>
      </c>
      <c r="T20" s="156">
        <f>COUNTIF('Status data'!$A19:$H19,"2")</f>
        <v>2</v>
      </c>
      <c r="U20" s="156">
        <f>COUNTIF('Status data'!$A19:$H19,"3")</f>
        <v>0</v>
      </c>
      <c r="V20" s="173"/>
      <c r="W20" s="173"/>
      <c r="X20" s="181"/>
      <c r="Y20" s="181"/>
      <c r="Z20" s="181"/>
      <c r="AA20" s="181"/>
      <c r="AB20" s="160"/>
      <c r="AC20" s="161"/>
      <c r="AD20" s="161"/>
      <c r="AE20" s="199"/>
      <c r="AF20" s="162"/>
      <c r="AG20" s="133"/>
      <c r="AH20" s="192"/>
      <c r="AI20" s="192"/>
      <c r="AJ20" s="192"/>
      <c r="AK20" s="192"/>
      <c r="AL20" s="192"/>
      <c r="AM20" s="192"/>
      <c r="AN20" s="192"/>
    </row>
    <row r="21" ht="15.75" customHeight="1">
      <c r="A21" s="194"/>
      <c r="B21" s="195">
        <v>10.0</v>
      </c>
      <c r="C21" s="152" t="s">
        <v>54</v>
      </c>
      <c r="D21" s="152">
        <v>22.0</v>
      </c>
      <c r="E21" s="152" t="s">
        <v>324</v>
      </c>
      <c r="F21" s="196">
        <v>0.5833333333333334</v>
      </c>
      <c r="G21" s="152" t="s">
        <v>232</v>
      </c>
      <c r="H21" s="152" t="s">
        <v>321</v>
      </c>
      <c r="I21" s="197"/>
      <c r="J21" s="197"/>
      <c r="K21" s="198"/>
      <c r="L21" s="198"/>
      <c r="M21" s="198"/>
      <c r="N21" s="198"/>
      <c r="O21" s="198"/>
      <c r="P21" s="198"/>
      <c r="Q21" s="156"/>
      <c r="R21" s="173"/>
      <c r="S21" s="156">
        <f>COUNTIF('Status data'!$A20:$H20,"1")</f>
        <v>0</v>
      </c>
      <c r="T21" s="156">
        <f>COUNTIF('Status data'!$A20:$H20,"2")</f>
        <v>0</v>
      </c>
      <c r="U21" s="156">
        <f>COUNTIF('Status data'!$A20:$H20,"3")</f>
        <v>0</v>
      </c>
      <c r="V21" s="173"/>
      <c r="W21" s="173"/>
      <c r="X21" s="181"/>
      <c r="Y21" s="181"/>
      <c r="Z21" s="181"/>
      <c r="AA21" s="181"/>
      <c r="AB21" s="160"/>
      <c r="AC21" s="161"/>
      <c r="AD21" s="161"/>
      <c r="AE21" s="199"/>
      <c r="AF21" s="162"/>
      <c r="AG21" s="133"/>
      <c r="AH21" s="192"/>
      <c r="AI21" s="192"/>
      <c r="AJ21" s="192"/>
      <c r="AK21" s="192"/>
      <c r="AL21" s="192"/>
      <c r="AM21" s="192"/>
      <c r="AN21" s="192"/>
    </row>
    <row r="22" ht="15.75" customHeight="1">
      <c r="A22" s="200"/>
      <c r="B22" s="201">
        <v>11.0</v>
      </c>
      <c r="C22" s="177" t="s">
        <v>39</v>
      </c>
      <c r="D22" s="177">
        <v>28.0</v>
      </c>
      <c r="E22" s="177" t="s">
        <v>324</v>
      </c>
      <c r="F22" s="202">
        <v>0.5833333333333334</v>
      </c>
      <c r="G22" s="177" t="s">
        <v>70</v>
      </c>
      <c r="H22" s="177" t="s">
        <v>55</v>
      </c>
      <c r="I22" s="197"/>
      <c r="J22" s="197"/>
      <c r="K22" s="198"/>
      <c r="L22" s="198"/>
      <c r="M22" s="198"/>
      <c r="N22" s="198"/>
      <c r="O22" s="198"/>
      <c r="P22" s="198"/>
      <c r="Q22" s="156"/>
      <c r="R22" s="173"/>
      <c r="S22" s="156">
        <f>COUNTIF('Status data'!$A21:$H21,"1")</f>
        <v>0</v>
      </c>
      <c r="T22" s="156">
        <f>COUNTIF('Status data'!$A21:$H21,"2")</f>
        <v>0</v>
      </c>
      <c r="U22" s="156">
        <f>COUNTIF('Status data'!$A21:$H21,"3")</f>
        <v>0</v>
      </c>
      <c r="V22" s="173"/>
      <c r="W22" s="173"/>
      <c r="X22" s="181"/>
      <c r="Y22" s="181"/>
      <c r="Z22" s="181"/>
      <c r="AA22" s="181"/>
      <c r="AB22" s="160"/>
      <c r="AC22" s="161"/>
      <c r="AD22" s="161"/>
      <c r="AE22" s="199"/>
      <c r="AF22" s="162"/>
      <c r="AG22" s="133"/>
      <c r="AH22" s="192"/>
      <c r="AI22" s="192"/>
      <c r="AJ22" s="192"/>
      <c r="AK22" s="192"/>
      <c r="AL22" s="192"/>
      <c r="AM22" s="192"/>
      <c r="AN22" s="192"/>
    </row>
    <row r="23" ht="15.75" customHeight="1">
      <c r="A23" s="200"/>
      <c r="B23" s="201">
        <v>11.0</v>
      </c>
      <c r="C23" s="177" t="s">
        <v>39</v>
      </c>
      <c r="D23" s="177">
        <v>28.0</v>
      </c>
      <c r="E23" s="177" t="s">
        <v>324</v>
      </c>
      <c r="F23" s="202">
        <v>0.5833333333333334</v>
      </c>
      <c r="G23" s="177" t="s">
        <v>56</v>
      </c>
      <c r="H23" s="203" t="s">
        <v>78</v>
      </c>
      <c r="I23" s="197"/>
      <c r="J23" s="197"/>
      <c r="K23" s="198"/>
      <c r="L23" s="198"/>
      <c r="M23" s="198"/>
      <c r="N23" s="198"/>
      <c r="O23" s="198"/>
      <c r="P23" s="198"/>
      <c r="Q23" s="156"/>
      <c r="R23" s="173"/>
      <c r="S23" s="156">
        <f>COUNTIF('Status data'!$A22:$H22,"1")</f>
        <v>0</v>
      </c>
      <c r="T23" s="156">
        <f>COUNTIF('Status data'!$A22:$H22,"2")</f>
        <v>0</v>
      </c>
      <c r="U23" s="156">
        <f>COUNTIF('Status data'!$A22:$H22,"3")</f>
        <v>0</v>
      </c>
      <c r="V23" s="173"/>
      <c r="W23" s="173"/>
      <c r="X23" s="181"/>
      <c r="Y23" s="181"/>
      <c r="Z23" s="181"/>
      <c r="AA23" s="181"/>
      <c r="AB23" s="160"/>
      <c r="AC23" s="161"/>
      <c r="AD23" s="161"/>
      <c r="AE23" s="199"/>
      <c r="AF23" s="162"/>
      <c r="AG23" s="133"/>
      <c r="AH23" s="192"/>
      <c r="AI23" s="192"/>
      <c r="AJ23" s="192"/>
      <c r="AK23" s="192"/>
      <c r="AL23" s="192"/>
      <c r="AM23" s="192"/>
      <c r="AN23" s="192"/>
    </row>
    <row r="24" ht="15.75" customHeight="1">
      <c r="A24" s="194"/>
      <c r="B24" s="195">
        <v>11.0</v>
      </c>
      <c r="C24" s="152" t="s">
        <v>54</v>
      </c>
      <c r="D24" s="152">
        <v>29.0</v>
      </c>
      <c r="E24" s="152" t="s">
        <v>324</v>
      </c>
      <c r="F24" s="196">
        <v>0.5833333333333334</v>
      </c>
      <c r="G24" s="152" t="s">
        <v>312</v>
      </c>
      <c r="H24" s="152" t="s">
        <v>304</v>
      </c>
      <c r="I24" s="179"/>
      <c r="J24" s="179"/>
      <c r="K24" s="180"/>
      <c r="L24" s="180"/>
      <c r="M24" s="180"/>
      <c r="N24" s="180"/>
      <c r="O24" s="180"/>
      <c r="P24" s="180"/>
      <c r="Q24" s="156"/>
      <c r="R24" s="173"/>
      <c r="S24" s="156">
        <f>COUNTIF('Status data'!$A23:$H23,"1")</f>
        <v>0</v>
      </c>
      <c r="T24" s="156">
        <f>COUNTIF('Status data'!$A23:$H23,"2")</f>
        <v>0</v>
      </c>
      <c r="U24" s="156">
        <f>COUNTIF('Status data'!$A23:$H23,"3")</f>
        <v>0</v>
      </c>
      <c r="V24" s="173"/>
      <c r="W24" s="173"/>
      <c r="X24" s="181"/>
      <c r="Y24" s="181"/>
      <c r="Z24" s="181"/>
      <c r="AA24" s="181"/>
      <c r="AB24" s="160"/>
      <c r="AC24" s="161"/>
      <c r="AD24" s="161"/>
      <c r="AE24" s="199"/>
      <c r="AF24" s="162" t="str">
        <f>HOUR(AD24-AC24)&amp;"h"&amp;minute(AD24-AC24)&amp;"m"</f>
        <v>0h0m</v>
      </c>
      <c r="AG24" s="133"/>
      <c r="AH24" s="192"/>
      <c r="AI24" s="192"/>
      <c r="AJ24" s="192"/>
      <c r="AK24" s="192">
        <f>AE24-AD24</f>
        <v>0</v>
      </c>
      <c r="AL24" s="192"/>
      <c r="AM24" s="192"/>
      <c r="AN24" s="192"/>
    </row>
    <row r="25" ht="15.75" customHeight="1">
      <c r="A25" s="194"/>
      <c r="B25" s="195">
        <v>12.0</v>
      </c>
      <c r="C25" s="152" t="s">
        <v>39</v>
      </c>
      <c r="D25" s="152">
        <v>4.0</v>
      </c>
      <c r="E25" s="152" t="s">
        <v>325</v>
      </c>
      <c r="F25" s="196">
        <v>0.5833333333333334</v>
      </c>
      <c r="G25" s="152" t="s">
        <v>308</v>
      </c>
      <c r="H25" s="152" t="s">
        <v>300</v>
      </c>
      <c r="I25" s="179"/>
      <c r="J25" s="179"/>
      <c r="K25" s="180"/>
      <c r="L25" s="180"/>
      <c r="M25" s="180"/>
      <c r="N25" s="180"/>
      <c r="O25" s="180"/>
      <c r="P25" s="180"/>
      <c r="Q25" s="156"/>
      <c r="R25" s="173"/>
      <c r="S25" s="156">
        <f>COUNTIF('Status data'!$A24:$H24,"1")</f>
        <v>0</v>
      </c>
      <c r="T25" s="156">
        <f>COUNTIF('Status data'!$A24:$H24,"2")</f>
        <v>0</v>
      </c>
      <c r="U25" s="156">
        <f>COUNTIF('Status data'!$A24:$H24,"3")</f>
        <v>0</v>
      </c>
      <c r="V25" s="173"/>
      <c r="W25" s="173"/>
      <c r="X25" s="181"/>
      <c r="Y25" s="181"/>
      <c r="Z25" s="181"/>
      <c r="AA25" s="181"/>
      <c r="AB25" s="128"/>
      <c r="AC25" s="128"/>
      <c r="AD25" s="128"/>
      <c r="AE25" s="128"/>
      <c r="AF25" s="128"/>
      <c r="AG25" s="128"/>
      <c r="AH25" s="128"/>
      <c r="AI25" s="128"/>
      <c r="AJ25" s="128"/>
      <c r="AK25" s="128"/>
      <c r="AL25" s="128"/>
      <c r="AM25" s="128"/>
      <c r="AN25" s="128"/>
    </row>
    <row r="26" ht="15.75" customHeight="1">
      <c r="A26" s="174"/>
      <c r="B26" s="175">
        <v>12.0</v>
      </c>
      <c r="C26" s="177" t="s">
        <v>39</v>
      </c>
      <c r="D26" s="176">
        <v>4.0</v>
      </c>
      <c r="E26" s="176" t="s">
        <v>325</v>
      </c>
      <c r="F26" s="178">
        <v>0.7916666666666666</v>
      </c>
      <c r="G26" s="176" t="s">
        <v>55</v>
      </c>
      <c r="H26" s="183" t="s">
        <v>78</v>
      </c>
      <c r="I26" s="179"/>
      <c r="J26" s="179"/>
      <c r="K26" s="180"/>
      <c r="L26" s="180"/>
      <c r="M26" s="180"/>
      <c r="N26" s="180"/>
      <c r="O26" s="180"/>
      <c r="P26" s="180"/>
      <c r="Q26" s="156"/>
      <c r="R26" s="173"/>
      <c r="S26" s="156">
        <f>COUNTIF('Status data'!$A25:$H25,"1")</f>
        <v>0</v>
      </c>
      <c r="T26" s="156">
        <f>COUNTIF('Status data'!$A25:$H25,"2")</f>
        <v>0</v>
      </c>
      <c r="U26" s="156">
        <f>COUNTIF('Status data'!$A25:$H25,"3")</f>
        <v>0</v>
      </c>
      <c r="V26" s="173"/>
      <c r="W26" s="173"/>
      <c r="X26" s="181"/>
      <c r="Y26" s="181"/>
      <c r="Z26" s="181"/>
      <c r="AA26" s="181"/>
      <c r="AB26" s="128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  <c r="AM26" s="128"/>
      <c r="AN26" s="128"/>
    </row>
    <row r="27" ht="15.75" customHeight="1">
      <c r="A27" s="194"/>
      <c r="B27" s="195">
        <v>13.0</v>
      </c>
      <c r="C27" s="152" t="s">
        <v>39</v>
      </c>
      <c r="D27" s="152">
        <v>11.0</v>
      </c>
      <c r="E27" s="152" t="s">
        <v>325</v>
      </c>
      <c r="F27" s="196">
        <v>0.5833333333333334</v>
      </c>
      <c r="G27" s="152" t="s">
        <v>304</v>
      </c>
      <c r="H27" s="152" t="s">
        <v>232</v>
      </c>
      <c r="I27" s="179"/>
      <c r="J27" s="179"/>
      <c r="K27" s="180"/>
      <c r="L27" s="180"/>
      <c r="M27" s="180"/>
      <c r="N27" s="180"/>
      <c r="O27" s="180"/>
      <c r="P27" s="180"/>
      <c r="Q27" s="156"/>
      <c r="R27" s="173"/>
      <c r="S27" s="156">
        <f>COUNTIF('Status data'!$A26:$H26,"1")</f>
        <v>0</v>
      </c>
      <c r="T27" s="156">
        <f>COUNTIF('Status data'!$A26:$H26,"2")</f>
        <v>0</v>
      </c>
      <c r="U27" s="156">
        <f>COUNTIF('Status data'!$A26:$H26,"3")</f>
        <v>0</v>
      </c>
      <c r="V27" s="173"/>
      <c r="W27" s="173"/>
      <c r="X27" s="181"/>
      <c r="Y27" s="181"/>
      <c r="Z27" s="181"/>
      <c r="AA27" s="181"/>
      <c r="AB27" s="128"/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  <c r="AM27" s="128"/>
      <c r="AN27" s="128"/>
    </row>
    <row r="28" ht="15.75" customHeight="1">
      <c r="A28" s="174"/>
      <c r="B28" s="175">
        <v>13.0</v>
      </c>
      <c r="C28" s="177" t="s">
        <v>39</v>
      </c>
      <c r="D28" s="176">
        <v>11.0</v>
      </c>
      <c r="E28" s="176" t="s">
        <v>325</v>
      </c>
      <c r="F28" s="178">
        <v>0.7916666666666666</v>
      </c>
      <c r="G28" s="176" t="s">
        <v>56</v>
      </c>
      <c r="H28" s="176" t="s">
        <v>70</v>
      </c>
      <c r="I28" s="179"/>
      <c r="J28" s="179"/>
      <c r="K28" s="180"/>
      <c r="L28" s="180"/>
      <c r="M28" s="180"/>
      <c r="N28" s="180"/>
      <c r="O28" s="180"/>
      <c r="P28" s="180"/>
      <c r="Q28" s="156"/>
      <c r="R28" s="173"/>
      <c r="S28" s="156">
        <f>COUNTIF('Status data'!$A27:$H27,"1")</f>
        <v>0</v>
      </c>
      <c r="T28" s="156">
        <f>COUNTIF('Status data'!$A27:$H27,"2")</f>
        <v>0</v>
      </c>
      <c r="U28" s="156">
        <f>COUNTIF('Status data'!$A27:$H27,"3")</f>
        <v>0</v>
      </c>
      <c r="V28" s="173"/>
      <c r="W28" s="173"/>
      <c r="X28" s="181"/>
      <c r="Y28" s="181"/>
      <c r="Z28" s="181"/>
      <c r="AA28" s="181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8"/>
      <c r="AN28" s="128"/>
    </row>
    <row r="29" ht="15.75" customHeight="1">
      <c r="A29" s="194"/>
      <c r="B29" s="195">
        <v>13.0</v>
      </c>
      <c r="C29" s="152" t="s">
        <v>54</v>
      </c>
      <c r="D29" s="152">
        <v>12.0</v>
      </c>
      <c r="E29" s="152" t="s">
        <v>325</v>
      </c>
      <c r="F29" s="196">
        <v>0.5833333333333334</v>
      </c>
      <c r="G29" s="152" t="s">
        <v>312</v>
      </c>
      <c r="H29" s="152" t="s">
        <v>47</v>
      </c>
      <c r="I29" s="179"/>
      <c r="J29" s="179"/>
      <c r="K29" s="180"/>
      <c r="L29" s="180"/>
      <c r="M29" s="180"/>
      <c r="N29" s="180"/>
      <c r="O29" s="180"/>
      <c r="P29" s="180"/>
      <c r="Q29" s="156"/>
      <c r="R29" s="173"/>
      <c r="S29" s="156">
        <f>COUNTIF('Status data'!$A28:$H28,"1")</f>
        <v>0</v>
      </c>
      <c r="T29" s="156">
        <f>COUNTIF('Status data'!$A28:$H28,"2")</f>
        <v>0</v>
      </c>
      <c r="U29" s="156">
        <f>COUNTIF('Status data'!$A28:$H28,"3")</f>
        <v>0</v>
      </c>
      <c r="V29" s="173"/>
      <c r="W29" s="173"/>
      <c r="X29" s="181"/>
      <c r="Y29" s="181"/>
      <c r="Z29" s="181"/>
      <c r="AA29" s="181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  <c r="AM29" s="128"/>
      <c r="AN29" s="128"/>
    </row>
    <row r="30" ht="15.75" customHeight="1">
      <c r="A30" s="204" t="s">
        <v>326</v>
      </c>
      <c r="B30" s="175">
        <v>14.0</v>
      </c>
      <c r="C30" s="176" t="s">
        <v>39</v>
      </c>
      <c r="D30" s="177">
        <v>18.0</v>
      </c>
      <c r="E30" s="176" t="s">
        <v>325</v>
      </c>
      <c r="F30" s="178"/>
      <c r="G30" s="204"/>
      <c r="H30" s="204"/>
      <c r="I30" s="205"/>
      <c r="J30" s="205"/>
      <c r="K30" s="205"/>
      <c r="L30" s="205"/>
      <c r="M30" s="205"/>
      <c r="N30" s="205"/>
      <c r="O30" s="205"/>
      <c r="P30" s="206"/>
      <c r="Q30" s="156"/>
      <c r="R30" s="157"/>
      <c r="S30" s="156">
        <f>COUNTIF('Status data'!$A29:$H29,"1")</f>
        <v>0</v>
      </c>
      <c r="T30" s="156">
        <f>COUNTIF('Status data'!$A29:$H29,"2")</f>
        <v>0</v>
      </c>
      <c r="U30" s="156">
        <f>COUNTIF('Status data'!$A29:$H29,"3")</f>
        <v>0</v>
      </c>
      <c r="V30" s="157"/>
      <c r="W30" s="157"/>
      <c r="X30" s="157"/>
      <c r="Y30" s="157"/>
      <c r="Z30" s="207"/>
      <c r="AA30" s="156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8"/>
      <c r="AN30" s="128"/>
    </row>
    <row r="31" ht="15.75" customHeight="1">
      <c r="A31" s="204" t="s">
        <v>327</v>
      </c>
      <c r="B31" s="175">
        <v>14.0</v>
      </c>
      <c r="C31" s="176" t="s">
        <v>54</v>
      </c>
      <c r="D31" s="177">
        <v>18.0</v>
      </c>
      <c r="E31" s="177" t="s">
        <v>325</v>
      </c>
      <c r="F31" s="178"/>
      <c r="G31" s="204"/>
      <c r="H31" s="204"/>
      <c r="I31" s="205"/>
      <c r="J31" s="205"/>
      <c r="K31" s="205"/>
      <c r="L31" s="205"/>
      <c r="M31" s="205"/>
      <c r="N31" s="205"/>
      <c r="O31" s="205"/>
      <c r="P31" s="208"/>
      <c r="Q31" s="156"/>
      <c r="R31" s="157"/>
      <c r="S31" s="156">
        <f>COUNTIF('Status data'!$A30:$H30,"1")</f>
        <v>0</v>
      </c>
      <c r="T31" s="156">
        <f>COUNTIF('Status data'!$A30:$H30,"2")</f>
        <v>0</v>
      </c>
      <c r="U31" s="156">
        <f>COUNTIF('Status data'!$A30:$H30,"3")</f>
        <v>0</v>
      </c>
      <c r="V31" s="157"/>
      <c r="W31" s="157"/>
      <c r="X31" s="157"/>
      <c r="Y31" s="157"/>
      <c r="Z31" s="207"/>
      <c r="AA31" s="156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8"/>
      <c r="AN31" s="128"/>
    </row>
    <row r="32" ht="15.75" customHeight="1">
      <c r="A32" s="7" t="s">
        <v>328</v>
      </c>
      <c r="B32" s="14">
        <v>15.0</v>
      </c>
      <c r="C32" s="86" t="s">
        <v>39</v>
      </c>
      <c r="D32" s="86">
        <v>2.0</v>
      </c>
      <c r="E32" s="86" t="s">
        <v>329</v>
      </c>
      <c r="F32" s="209"/>
      <c r="G32" s="14"/>
      <c r="H32" s="14"/>
      <c r="I32" s="210"/>
      <c r="J32" s="210"/>
      <c r="K32" s="210"/>
      <c r="L32" s="210"/>
      <c r="M32" s="210"/>
      <c r="N32" s="210"/>
      <c r="O32" s="210"/>
      <c r="P32" s="206"/>
      <c r="Q32" s="156"/>
      <c r="R32" s="157"/>
      <c r="S32" s="156">
        <f>COUNTIF('Status data'!$A31:$H31,"1")</f>
        <v>0</v>
      </c>
      <c r="T32" s="156">
        <f>COUNTIF('Status data'!$A31:$H31,"2")</f>
        <v>0</v>
      </c>
      <c r="U32" s="156">
        <f>COUNTIF('Status data'!$A31:$H31,"3")</f>
        <v>0</v>
      </c>
      <c r="V32" s="157"/>
      <c r="W32" s="157"/>
      <c r="X32" s="157"/>
      <c r="Y32" s="157"/>
      <c r="Z32" s="207"/>
      <c r="AA32" s="156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8"/>
      <c r="AN32" s="128"/>
    </row>
    <row r="33" ht="15.75" customHeight="1">
      <c r="A33" s="7" t="s">
        <v>103</v>
      </c>
      <c r="B33" s="14">
        <v>15.0</v>
      </c>
      <c r="C33" s="86" t="s">
        <v>39</v>
      </c>
      <c r="D33" s="86">
        <v>2.0</v>
      </c>
      <c r="E33" s="86" t="s">
        <v>329</v>
      </c>
      <c r="F33" s="209"/>
      <c r="G33" s="14"/>
      <c r="H33" s="14"/>
      <c r="I33" s="210"/>
      <c r="J33" s="210"/>
      <c r="K33" s="210"/>
      <c r="L33" s="210"/>
      <c r="M33" s="210"/>
      <c r="N33" s="210"/>
      <c r="O33" s="210"/>
      <c r="P33" s="206"/>
      <c r="Q33" s="156"/>
      <c r="R33" s="157"/>
      <c r="S33" s="156">
        <f>COUNTIF('Status data'!$A32:$H32,"1")</f>
        <v>0</v>
      </c>
      <c r="T33" s="156">
        <f>COUNTIF('Status data'!$A32:$H32,"2")</f>
        <v>0</v>
      </c>
      <c r="U33" s="156">
        <f>COUNTIF('Status data'!$A32:$H32,"3")</f>
        <v>0</v>
      </c>
      <c r="V33" s="157"/>
      <c r="W33" s="157"/>
      <c r="X33" s="157"/>
      <c r="Y33" s="157"/>
      <c r="Z33" s="207"/>
      <c r="AA33" s="156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28"/>
      <c r="AM33" s="128"/>
      <c r="AN33" s="128"/>
    </row>
    <row r="34" ht="15.75" customHeight="1">
      <c r="A34" s="211"/>
      <c r="B34" s="212">
        <v>4.0</v>
      </c>
      <c r="C34" s="213" t="s">
        <v>330</v>
      </c>
      <c r="D34" s="213" t="s">
        <v>331</v>
      </c>
      <c r="E34" s="213" t="s">
        <v>298</v>
      </c>
      <c r="F34" s="214">
        <v>0.5833333333333334</v>
      </c>
      <c r="G34" s="213" t="s">
        <v>48</v>
      </c>
      <c r="H34" s="215" t="s">
        <v>321</v>
      </c>
      <c r="I34" s="216"/>
      <c r="J34" s="216"/>
      <c r="K34" s="217"/>
      <c r="L34" s="217"/>
      <c r="M34" s="217"/>
      <c r="N34" s="217"/>
      <c r="O34" s="217"/>
      <c r="P34" s="217"/>
      <c r="Q34" s="156"/>
      <c r="R34" s="128"/>
      <c r="S34" s="128"/>
      <c r="T34" s="128"/>
      <c r="U34" s="128"/>
      <c r="V34" s="128"/>
      <c r="W34" s="218"/>
      <c r="X34" s="219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  <c r="AN34" s="128"/>
    </row>
    <row r="35" ht="15.75" customHeight="1">
      <c r="A35" s="146"/>
      <c r="B35" s="128"/>
      <c r="C35" s="128"/>
      <c r="G35" s="128"/>
      <c r="J35" s="128"/>
      <c r="K35" s="128"/>
      <c r="Q35" s="128"/>
      <c r="R35" s="128"/>
      <c r="S35" s="128"/>
      <c r="T35" s="128"/>
      <c r="U35" s="128"/>
      <c r="V35" s="128"/>
      <c r="W35" s="218"/>
      <c r="X35" s="219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</row>
    <row r="36" ht="15.75" customHeight="1">
      <c r="A36" s="146" t="s">
        <v>107</v>
      </c>
      <c r="B36" s="128"/>
      <c r="C36" s="128"/>
      <c r="G36" s="128"/>
      <c r="J36" s="128"/>
      <c r="K36" s="128"/>
      <c r="Q36" s="128"/>
      <c r="R36" s="128"/>
      <c r="S36" s="128"/>
      <c r="T36" s="128"/>
      <c r="U36" s="128"/>
      <c r="V36" s="128"/>
      <c r="W36" s="218"/>
      <c r="X36" s="219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  <c r="AN36" s="128"/>
    </row>
    <row r="37" ht="15.75" customHeight="1">
      <c r="A37" s="128" t="s">
        <v>157</v>
      </c>
      <c r="B37" s="128" t="s">
        <v>51</v>
      </c>
      <c r="C37" s="128">
        <f t="shared" ref="C37:C72" si="9">COUNTIF($I$2:$O$31,B37)</f>
        <v>3</v>
      </c>
      <c r="D37" s="128"/>
      <c r="E37" s="128"/>
      <c r="G37" s="128"/>
      <c r="J37" s="128"/>
      <c r="Q37" s="128"/>
      <c r="R37" s="128"/>
      <c r="S37" s="128"/>
      <c r="T37" s="128"/>
      <c r="U37" s="128"/>
      <c r="V37" s="128"/>
      <c r="W37" s="218"/>
      <c r="X37" s="219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  <c r="AN37" s="128"/>
    </row>
    <row r="38" ht="15.75" customHeight="1">
      <c r="A38" s="128" t="s">
        <v>151</v>
      </c>
      <c r="B38" s="128" t="s">
        <v>152</v>
      </c>
      <c r="C38" s="128">
        <f t="shared" si="9"/>
        <v>0</v>
      </c>
      <c r="D38" s="128"/>
      <c r="E38" s="128"/>
      <c r="G38" s="128"/>
      <c r="J38" s="128"/>
      <c r="Q38" s="128" t="str">
        <f>DATA!I65</f>
        <v/>
      </c>
      <c r="R38" s="220"/>
      <c r="S38" s="220"/>
      <c r="T38" s="220"/>
      <c r="U38" s="220"/>
      <c r="V38" s="221"/>
      <c r="W38" s="222">
        <f>SUM(Y1:Y31)</f>
        <v>0</v>
      </c>
      <c r="X38" s="223">
        <v>2.0</v>
      </c>
      <c r="Y38" s="128" t="s">
        <v>119</v>
      </c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</row>
    <row r="39" ht="15.75" customHeight="1">
      <c r="A39" s="128" t="s">
        <v>158</v>
      </c>
      <c r="B39" s="128" t="s">
        <v>45</v>
      </c>
      <c r="C39" s="128">
        <f t="shared" si="9"/>
        <v>0</v>
      </c>
      <c r="D39" s="128"/>
      <c r="E39" s="128"/>
      <c r="G39" s="128"/>
      <c r="J39" s="128"/>
      <c r="Q39" s="128" t="str">
        <f>DATA!I66</f>
        <v/>
      </c>
      <c r="R39" s="128"/>
      <c r="S39" s="128"/>
      <c r="T39" s="128"/>
      <c r="U39" s="128"/>
      <c r="V39" s="128" t="s">
        <v>332</v>
      </c>
      <c r="W39" s="156" t="str">
        <f>AVERAGE(Y2:Y33)</f>
        <v>#DIV/0!</v>
      </c>
      <c r="X39" s="219">
        <v>1.0</v>
      </c>
      <c r="Y39" s="128" t="s">
        <v>333</v>
      </c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  <c r="AN39" s="128"/>
    </row>
    <row r="40" ht="15.75" customHeight="1">
      <c r="A40" s="128" t="s">
        <v>191</v>
      </c>
      <c r="B40" s="128" t="s">
        <v>192</v>
      </c>
      <c r="C40" s="128">
        <f t="shared" si="9"/>
        <v>7</v>
      </c>
      <c r="D40" s="128"/>
      <c r="E40" s="128"/>
      <c r="Q40" s="128" t="str">
        <f>DATA!I67</f>
        <v/>
      </c>
      <c r="R40" s="128"/>
      <c r="S40" s="128"/>
      <c r="T40" s="128"/>
      <c r="U40" s="128"/>
      <c r="V40" s="128" t="s">
        <v>122</v>
      </c>
      <c r="W40" s="128" t="str">
        <f>MEDIAN(Y2:Y33)</f>
        <v>#NUM!</v>
      </c>
      <c r="X40" s="219" t="s">
        <v>123</v>
      </c>
      <c r="Y40" s="128" t="s">
        <v>124</v>
      </c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</row>
    <row r="41" ht="15.75" customHeight="1">
      <c r="A41" s="128" t="s">
        <v>153</v>
      </c>
      <c r="B41" s="128" t="s">
        <v>154</v>
      </c>
      <c r="C41" s="128">
        <f t="shared" si="9"/>
        <v>4</v>
      </c>
      <c r="D41" s="128"/>
      <c r="E41" s="128"/>
      <c r="G41" s="128"/>
      <c r="H41" s="128"/>
      <c r="I41" s="128"/>
      <c r="J41" s="128"/>
      <c r="Q41" s="128"/>
      <c r="R41" s="128"/>
      <c r="S41" s="128"/>
      <c r="T41" s="128"/>
      <c r="U41" s="128"/>
      <c r="V41" s="128" t="s">
        <v>334</v>
      </c>
      <c r="W41" s="128" t="str">
        <f>W39*40</f>
        <v>#DIV/0!</v>
      </c>
      <c r="X41" s="219" t="s">
        <v>335</v>
      </c>
      <c r="Y41" s="128" t="s">
        <v>336</v>
      </c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</row>
    <row r="42" ht="15.75" customHeight="1">
      <c r="A42" s="128" t="s">
        <v>149</v>
      </c>
      <c r="B42" s="128" t="s">
        <v>73</v>
      </c>
      <c r="C42" s="128">
        <f t="shared" si="9"/>
        <v>0</v>
      </c>
      <c r="G42" s="128"/>
      <c r="H42" s="128"/>
      <c r="I42" s="128"/>
      <c r="J42" s="128"/>
      <c r="K42" s="128"/>
      <c r="L42" s="128"/>
      <c r="Q42" s="128"/>
      <c r="R42" s="128"/>
      <c r="S42" s="128"/>
      <c r="T42" s="128"/>
      <c r="U42" s="128"/>
      <c r="V42" s="128" t="s">
        <v>127</v>
      </c>
      <c r="W42" s="224">
        <f>SUM(Y2:Y33)/23*40</f>
        <v>0</v>
      </c>
      <c r="X42" s="219" t="s">
        <v>128</v>
      </c>
      <c r="Y42" s="128" t="s">
        <v>129</v>
      </c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</row>
    <row r="43" ht="15.75" customHeight="1">
      <c r="A43" s="128" t="s">
        <v>120</v>
      </c>
      <c r="B43" s="128" t="s">
        <v>58</v>
      </c>
      <c r="C43" s="128">
        <f t="shared" si="9"/>
        <v>7</v>
      </c>
      <c r="G43" s="128"/>
      <c r="H43" s="128"/>
      <c r="I43" s="128"/>
      <c r="J43" s="128"/>
      <c r="K43" s="128"/>
      <c r="L43" s="128"/>
      <c r="Q43" s="128"/>
      <c r="R43" s="128"/>
      <c r="S43" s="128"/>
      <c r="T43" s="128"/>
      <c r="U43" s="128"/>
      <c r="V43" s="128"/>
      <c r="W43" s="128"/>
      <c r="X43" s="219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</row>
    <row r="44" ht="15.75" customHeight="1">
      <c r="A44" s="128" t="s">
        <v>118</v>
      </c>
      <c r="B44" s="128" t="s">
        <v>49</v>
      </c>
      <c r="C44" s="128">
        <f t="shared" si="9"/>
        <v>6</v>
      </c>
      <c r="G44" s="128"/>
      <c r="H44" s="128"/>
      <c r="I44" s="128"/>
      <c r="J44" s="128"/>
      <c r="K44" s="128"/>
      <c r="L44" s="128"/>
      <c r="Q44" s="128"/>
      <c r="R44" s="128"/>
      <c r="S44" s="128"/>
      <c r="T44" s="128"/>
      <c r="U44" s="128"/>
      <c r="V44" s="128"/>
      <c r="W44" s="128"/>
      <c r="X44" s="219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</row>
    <row r="45" ht="15.75" customHeight="1">
      <c r="A45" s="128" t="s">
        <v>337</v>
      </c>
      <c r="B45" s="128" t="s">
        <v>85</v>
      </c>
      <c r="C45" s="128">
        <f t="shared" si="9"/>
        <v>5</v>
      </c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219"/>
      <c r="Y45" s="128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  <c r="AM45" s="128"/>
      <c r="AN45" s="128"/>
    </row>
    <row r="46" ht="15.75" customHeight="1">
      <c r="A46" s="225" t="s">
        <v>164</v>
      </c>
      <c r="B46" s="225" t="s">
        <v>165</v>
      </c>
      <c r="C46" s="128">
        <f t="shared" si="9"/>
        <v>0</v>
      </c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219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</row>
    <row r="47" ht="15.75" customHeight="1">
      <c r="A47" s="128" t="s">
        <v>136</v>
      </c>
      <c r="B47" s="128" t="s">
        <v>67</v>
      </c>
      <c r="C47" s="128">
        <f t="shared" si="9"/>
        <v>7</v>
      </c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219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</row>
    <row r="48" ht="15.75" customHeight="1">
      <c r="A48" s="128" t="s">
        <v>132</v>
      </c>
      <c r="B48" s="128" t="s">
        <v>63</v>
      </c>
      <c r="C48" s="128">
        <f t="shared" si="9"/>
        <v>3</v>
      </c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219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</row>
    <row r="49" ht="15.75" customHeight="1">
      <c r="A49" s="225" t="s">
        <v>185</v>
      </c>
      <c r="B49" s="225" t="s">
        <v>186</v>
      </c>
      <c r="C49" s="128">
        <f t="shared" si="9"/>
        <v>0</v>
      </c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219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</row>
    <row r="50" ht="15.75" customHeight="1">
      <c r="A50" s="225" t="s">
        <v>187</v>
      </c>
      <c r="B50" s="225" t="s">
        <v>188</v>
      </c>
      <c r="C50" s="128">
        <f t="shared" si="9"/>
        <v>0</v>
      </c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219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</row>
    <row r="51" ht="15.75" customHeight="1">
      <c r="A51" s="128" t="s">
        <v>148</v>
      </c>
      <c r="B51" s="128" t="s">
        <v>66</v>
      </c>
      <c r="C51" s="128">
        <f t="shared" si="9"/>
        <v>7</v>
      </c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226"/>
      <c r="Q51" s="128"/>
      <c r="R51" s="128"/>
      <c r="S51" s="128"/>
      <c r="T51" s="128">
        <f t="shared" ref="T51:T58" si="10">SUMIF(G$2:G$33,P51,Y$2:Y$33)</f>
        <v>0</v>
      </c>
      <c r="U51" s="128" t="str">
        <f t="shared" ref="U51:U58" si="11">T51/Q51</f>
        <v>#DIV/0!</v>
      </c>
      <c r="V51" s="128"/>
      <c r="W51" s="128"/>
      <c r="X51" s="219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</row>
    <row r="52" ht="15.75" customHeight="1">
      <c r="A52" s="225" t="s">
        <v>189</v>
      </c>
      <c r="B52" s="225" t="s">
        <v>190</v>
      </c>
      <c r="C52" s="128">
        <f t="shared" si="9"/>
        <v>0</v>
      </c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226"/>
      <c r="Q52" s="128"/>
      <c r="R52" s="128"/>
      <c r="S52" s="128"/>
      <c r="T52" s="128">
        <f t="shared" si="10"/>
        <v>0</v>
      </c>
      <c r="U52" s="128" t="str">
        <f t="shared" si="11"/>
        <v>#DIV/0!</v>
      </c>
      <c r="V52" s="128"/>
      <c r="W52" s="128"/>
      <c r="X52" s="219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</row>
    <row r="53" ht="15.75" customHeight="1">
      <c r="A53" s="128" t="s">
        <v>143</v>
      </c>
      <c r="B53" s="128" t="s">
        <v>80</v>
      </c>
      <c r="C53" s="128">
        <f t="shared" si="9"/>
        <v>5</v>
      </c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226"/>
      <c r="Q53" s="128"/>
      <c r="R53" s="128"/>
      <c r="S53" s="128"/>
      <c r="T53" s="128">
        <f t="shared" si="10"/>
        <v>0</v>
      </c>
      <c r="U53" s="128" t="str">
        <f t="shared" si="11"/>
        <v>#DIV/0!</v>
      </c>
      <c r="V53" s="128"/>
      <c r="W53" s="128"/>
      <c r="X53" s="219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</row>
    <row r="54" ht="15.75" customHeight="1">
      <c r="A54" s="128" t="s">
        <v>179</v>
      </c>
      <c r="B54" s="128" t="s">
        <v>180</v>
      </c>
      <c r="C54" s="128">
        <f t="shared" si="9"/>
        <v>0</v>
      </c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226"/>
      <c r="Q54" s="128"/>
      <c r="R54" s="128"/>
      <c r="S54" s="128"/>
      <c r="T54" s="128">
        <f t="shared" si="10"/>
        <v>0</v>
      </c>
      <c r="U54" s="128" t="str">
        <f t="shared" si="11"/>
        <v>#DIV/0!</v>
      </c>
      <c r="V54" s="128"/>
      <c r="W54" s="128"/>
      <c r="X54" s="219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</row>
    <row r="55" ht="15.75" customHeight="1">
      <c r="A55" s="225" t="s">
        <v>181</v>
      </c>
      <c r="B55" s="225" t="s">
        <v>182</v>
      </c>
      <c r="C55" s="128">
        <f t="shared" si="9"/>
        <v>0</v>
      </c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226"/>
      <c r="Q55" s="128"/>
      <c r="R55" s="128"/>
      <c r="S55" s="128"/>
      <c r="T55" s="128">
        <f t="shared" si="10"/>
        <v>0</v>
      </c>
      <c r="U55" s="128" t="str">
        <f t="shared" si="11"/>
        <v>#DIV/0!</v>
      </c>
      <c r="V55" s="128"/>
      <c r="W55" s="128"/>
      <c r="X55" s="219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</row>
    <row r="56" ht="15.75" customHeight="1">
      <c r="A56" s="225" t="s">
        <v>183</v>
      </c>
      <c r="B56" s="225" t="s">
        <v>184</v>
      </c>
      <c r="C56" s="128">
        <f t="shared" si="9"/>
        <v>0</v>
      </c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226"/>
      <c r="Q56" s="128"/>
      <c r="R56" s="128"/>
      <c r="S56" s="128"/>
      <c r="T56" s="128">
        <f t="shared" si="10"/>
        <v>0</v>
      </c>
      <c r="U56" s="128" t="str">
        <f t="shared" si="11"/>
        <v>#DIV/0!</v>
      </c>
      <c r="V56" s="128"/>
      <c r="W56" s="128"/>
      <c r="X56" s="219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  <c r="AN56" s="128"/>
    </row>
    <row r="57" ht="15.75" customHeight="1">
      <c r="A57" s="128" t="s">
        <v>200</v>
      </c>
      <c r="B57" s="128" t="s">
        <v>201</v>
      </c>
      <c r="C57" s="128">
        <f t="shared" si="9"/>
        <v>0</v>
      </c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226"/>
      <c r="Q57" s="128"/>
      <c r="R57" s="128"/>
      <c r="S57" s="128"/>
      <c r="T57" s="128">
        <f t="shared" si="10"/>
        <v>0</v>
      </c>
      <c r="U57" s="128" t="str">
        <f t="shared" si="11"/>
        <v>#DIV/0!</v>
      </c>
      <c r="V57" s="128"/>
      <c r="W57" s="128"/>
      <c r="X57" s="219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  <c r="AN57" s="128"/>
    </row>
    <row r="58" ht="15.75" customHeight="1">
      <c r="A58" s="128" t="s">
        <v>137</v>
      </c>
      <c r="B58" s="128" t="s">
        <v>84</v>
      </c>
      <c r="C58" s="128">
        <f t="shared" si="9"/>
        <v>0</v>
      </c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226"/>
      <c r="Q58" s="128"/>
      <c r="R58" s="128"/>
      <c r="S58" s="128"/>
      <c r="T58" s="128">
        <f t="shared" si="10"/>
        <v>0</v>
      </c>
      <c r="U58" s="128" t="str">
        <f t="shared" si="11"/>
        <v>#DIV/0!</v>
      </c>
      <c r="V58" s="128"/>
      <c r="W58" s="128"/>
      <c r="X58" s="219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</row>
    <row r="59" ht="15.75" customHeight="1">
      <c r="A59" s="128" t="s">
        <v>117</v>
      </c>
      <c r="B59" s="128" t="s">
        <v>64</v>
      </c>
      <c r="C59" s="128">
        <f t="shared" si="9"/>
        <v>5</v>
      </c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226"/>
      <c r="Q59" s="128"/>
      <c r="R59" s="128"/>
      <c r="S59" s="128"/>
      <c r="T59" s="128"/>
      <c r="U59" s="128"/>
      <c r="V59" s="128"/>
      <c r="W59" s="128"/>
      <c r="X59" s="219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  <c r="AN59" s="128"/>
    </row>
    <row r="60" ht="15.75" customHeight="1">
      <c r="A60" s="225" t="s">
        <v>177</v>
      </c>
      <c r="B60" s="225" t="s">
        <v>178</v>
      </c>
      <c r="C60" s="128">
        <f t="shared" si="9"/>
        <v>0</v>
      </c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33"/>
      <c r="Q60" s="128"/>
      <c r="R60" s="128"/>
      <c r="S60" s="128"/>
      <c r="T60" s="128"/>
      <c r="U60" s="128"/>
      <c r="V60" s="128"/>
      <c r="W60" s="128"/>
      <c r="X60" s="219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</row>
    <row r="61" ht="15.75" customHeight="1">
      <c r="A61" s="128" t="s">
        <v>146</v>
      </c>
      <c r="B61" s="128" t="s">
        <v>147</v>
      </c>
      <c r="C61" s="128">
        <f t="shared" si="9"/>
        <v>7</v>
      </c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226"/>
      <c r="Q61" s="128"/>
      <c r="R61" s="128"/>
      <c r="S61" s="128"/>
      <c r="T61" s="128"/>
      <c r="U61" s="128"/>
      <c r="V61" s="128"/>
      <c r="W61" s="128"/>
      <c r="X61" s="219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  <c r="AN61" s="128"/>
    </row>
    <row r="62" ht="15.75" customHeight="1">
      <c r="A62" s="128" t="s">
        <v>131</v>
      </c>
      <c r="B62" s="128" t="s">
        <v>43</v>
      </c>
      <c r="C62" s="128">
        <f t="shared" si="9"/>
        <v>5</v>
      </c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226"/>
      <c r="Q62" s="128"/>
      <c r="R62" s="128"/>
      <c r="S62" s="128"/>
      <c r="T62" s="128"/>
      <c r="U62" s="128"/>
      <c r="V62" s="128"/>
      <c r="W62" s="128"/>
      <c r="X62" s="219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</row>
    <row r="63" ht="15.75" customHeight="1">
      <c r="A63" s="225" t="s">
        <v>175</v>
      </c>
      <c r="B63" s="225" t="s">
        <v>176</v>
      </c>
      <c r="C63" s="128">
        <f t="shared" si="9"/>
        <v>0</v>
      </c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226"/>
      <c r="Q63" s="128"/>
      <c r="R63" s="128"/>
      <c r="S63" s="128"/>
      <c r="T63" s="128"/>
      <c r="U63" s="128"/>
      <c r="V63" s="128"/>
      <c r="W63" s="128"/>
      <c r="X63" s="219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</row>
    <row r="64" ht="15.75" customHeight="1">
      <c r="A64" s="128" t="s">
        <v>144</v>
      </c>
      <c r="B64" s="128" t="s">
        <v>145</v>
      </c>
      <c r="C64" s="128">
        <f t="shared" si="9"/>
        <v>5</v>
      </c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226"/>
      <c r="Q64" s="128"/>
      <c r="R64" s="128"/>
      <c r="S64" s="128"/>
      <c r="T64" s="128"/>
      <c r="U64" s="128"/>
      <c r="V64" s="128"/>
      <c r="W64" s="128"/>
      <c r="X64" s="219"/>
      <c r="Y64" s="128"/>
      <c r="Z64" s="128"/>
      <c r="AA64" s="128"/>
      <c r="AB64" s="128"/>
      <c r="AC64" s="128"/>
      <c r="AD64" s="128"/>
      <c r="AE64" s="128"/>
      <c r="AF64" s="128"/>
      <c r="AG64" s="128"/>
      <c r="AH64" s="128"/>
      <c r="AI64" s="128"/>
      <c r="AJ64" s="128"/>
      <c r="AK64" s="128"/>
      <c r="AL64" s="128"/>
      <c r="AM64" s="128"/>
      <c r="AN64" s="128"/>
    </row>
    <row r="65" ht="15.75" customHeight="1">
      <c r="A65" s="225" t="s">
        <v>173</v>
      </c>
      <c r="B65" s="225" t="s">
        <v>174</v>
      </c>
      <c r="C65" s="128">
        <f t="shared" si="9"/>
        <v>0</v>
      </c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226"/>
      <c r="Q65" s="128"/>
      <c r="R65" s="128"/>
      <c r="S65" s="128"/>
      <c r="T65" s="128"/>
      <c r="U65" s="128"/>
      <c r="V65" s="128"/>
      <c r="W65" s="128"/>
      <c r="X65" s="219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  <c r="AN65" s="128"/>
    </row>
    <row r="66" ht="15.75" customHeight="1">
      <c r="A66" s="128" t="s">
        <v>134</v>
      </c>
      <c r="B66" s="128" t="s">
        <v>135</v>
      </c>
      <c r="C66" s="128">
        <f t="shared" si="9"/>
        <v>0</v>
      </c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226"/>
      <c r="Q66" s="128"/>
      <c r="R66" s="128"/>
      <c r="S66" s="128"/>
      <c r="T66" s="128"/>
      <c r="U66" s="128"/>
      <c r="V66" s="128"/>
      <c r="W66" s="128"/>
      <c r="X66" s="219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  <c r="AN66" s="128"/>
    </row>
    <row r="67" ht="15.75" customHeight="1">
      <c r="A67" s="225" t="s">
        <v>168</v>
      </c>
      <c r="B67" s="225" t="s">
        <v>169</v>
      </c>
      <c r="C67" s="128">
        <f t="shared" si="9"/>
        <v>0</v>
      </c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226"/>
      <c r="Q67" s="128"/>
      <c r="R67" s="128"/>
      <c r="S67" s="128"/>
      <c r="T67" s="128"/>
      <c r="U67" s="128"/>
      <c r="V67" s="128"/>
      <c r="W67" s="128"/>
      <c r="X67" s="219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  <c r="AN67" s="128"/>
    </row>
    <row r="68" ht="15.75" customHeight="1">
      <c r="A68" s="225" t="s">
        <v>170</v>
      </c>
      <c r="B68" s="225" t="s">
        <v>171</v>
      </c>
      <c r="C68" s="128">
        <f t="shared" si="9"/>
        <v>0</v>
      </c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33"/>
      <c r="Q68" s="128"/>
      <c r="R68" s="128"/>
      <c r="S68" s="128"/>
      <c r="T68" s="128"/>
      <c r="U68" s="128"/>
      <c r="V68" s="128"/>
      <c r="W68" s="128"/>
      <c r="X68" s="219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  <c r="AN68" s="128"/>
    </row>
    <row r="69" ht="15.75" customHeight="1">
      <c r="A69" s="128" t="s">
        <v>195</v>
      </c>
      <c r="B69" s="128" t="s">
        <v>97</v>
      </c>
      <c r="C69" s="128">
        <f t="shared" si="9"/>
        <v>0</v>
      </c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226"/>
      <c r="Q69" s="128"/>
      <c r="R69" s="128"/>
      <c r="S69" s="128"/>
      <c r="T69" s="128"/>
      <c r="U69" s="128"/>
      <c r="V69" s="128"/>
      <c r="W69" s="128"/>
      <c r="X69" s="219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  <c r="AN69" s="128"/>
    </row>
    <row r="70" ht="15.75" customHeight="1">
      <c r="A70" s="225" t="s">
        <v>133</v>
      </c>
      <c r="B70" s="225" t="s">
        <v>89</v>
      </c>
      <c r="C70" s="128">
        <f t="shared" si="9"/>
        <v>7</v>
      </c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226"/>
      <c r="Q70" s="128"/>
      <c r="R70" s="128"/>
      <c r="S70" s="128"/>
      <c r="T70" s="128"/>
      <c r="U70" s="128"/>
      <c r="V70" s="128"/>
      <c r="W70" s="128"/>
      <c r="X70" s="219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  <c r="AN70" s="128"/>
    </row>
    <row r="71" ht="15.75" customHeight="1">
      <c r="A71" s="225" t="s">
        <v>166</v>
      </c>
      <c r="B71" s="225" t="s">
        <v>167</v>
      </c>
      <c r="C71" s="128">
        <f t="shared" si="9"/>
        <v>0</v>
      </c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33"/>
      <c r="Q71" s="128"/>
      <c r="R71" s="128"/>
      <c r="S71" s="128"/>
      <c r="T71" s="128"/>
      <c r="U71" s="128"/>
      <c r="V71" s="128"/>
      <c r="W71" s="128"/>
      <c r="X71" s="219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  <c r="AM71" s="128"/>
      <c r="AN71" s="128"/>
    </row>
    <row r="72" ht="15.75" customHeight="1">
      <c r="A72" s="128" t="s">
        <v>125</v>
      </c>
      <c r="B72" s="128" t="s">
        <v>50</v>
      </c>
      <c r="C72" s="128">
        <f t="shared" si="9"/>
        <v>5</v>
      </c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226"/>
      <c r="Q72" s="128"/>
      <c r="R72" s="128"/>
      <c r="S72" s="128"/>
      <c r="T72" s="128"/>
      <c r="U72" s="128"/>
      <c r="V72" s="128"/>
      <c r="W72" s="128"/>
      <c r="X72" s="219"/>
      <c r="Y72" s="128"/>
      <c r="Z72" s="128"/>
      <c r="AA72" s="128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  <c r="AN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226"/>
      <c r="Q73" s="128"/>
      <c r="R73" s="220"/>
      <c r="S73" s="220"/>
      <c r="T73" s="220"/>
      <c r="U73" s="220"/>
      <c r="V73" s="220"/>
      <c r="W73" s="220"/>
      <c r="X73" s="219"/>
      <c r="Y73" s="128"/>
      <c r="Z73" s="128"/>
      <c r="AA73" s="128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  <c r="AN73" s="128"/>
    </row>
    <row r="74" ht="15.75" customHeight="1">
      <c r="A74" s="146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226"/>
      <c r="Q74" s="128" t="str">
        <f>DATA!I64</f>
        <v/>
      </c>
      <c r="R74" s="220"/>
      <c r="S74" s="220"/>
      <c r="T74" s="220"/>
      <c r="U74" s="220"/>
      <c r="V74" s="220"/>
      <c r="W74" s="220" t="str">
        <f>AVERAGE(W34:W72)</f>
        <v>#DIV/0!</v>
      </c>
      <c r="X74" s="219">
        <v>3.0</v>
      </c>
      <c r="Y74" s="128" t="s">
        <v>172</v>
      </c>
      <c r="Z74" s="128"/>
      <c r="AA74" s="128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  <c r="AN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33"/>
      <c r="Q75" s="128"/>
      <c r="R75" s="128"/>
      <c r="S75" s="128"/>
      <c r="T75" s="128"/>
      <c r="U75" s="128"/>
      <c r="V75" s="128"/>
      <c r="W75" s="128"/>
      <c r="X75" s="219"/>
      <c r="Y75" s="128"/>
      <c r="Z75" s="128"/>
      <c r="AA75" s="128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  <c r="AN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226"/>
      <c r="Q76" s="128"/>
      <c r="R76" s="128"/>
      <c r="S76" s="128"/>
      <c r="T76" s="128"/>
      <c r="U76" s="128"/>
      <c r="V76" s="128"/>
      <c r="W76" s="128"/>
      <c r="X76" s="219"/>
      <c r="Y76" s="128"/>
      <c r="Z76" s="128"/>
      <c r="AA76" s="128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226"/>
      <c r="Q77" s="128"/>
      <c r="R77" s="128"/>
      <c r="S77" s="128"/>
      <c r="T77" s="128"/>
      <c r="U77" s="128"/>
      <c r="V77" s="128"/>
      <c r="W77" s="128"/>
      <c r="X77" s="219"/>
      <c r="Y77" s="128"/>
      <c r="Z77" s="128"/>
      <c r="AA77" s="128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  <c r="AN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226"/>
      <c r="Q78" s="128"/>
      <c r="R78" s="128"/>
      <c r="S78" s="128"/>
      <c r="T78" s="128"/>
      <c r="U78" s="128"/>
      <c r="V78" s="128"/>
      <c r="W78" s="128"/>
      <c r="X78" s="219"/>
      <c r="Y78" s="128"/>
      <c r="Z78" s="128"/>
      <c r="AA78" s="128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  <c r="AN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33"/>
      <c r="Q79" s="128"/>
      <c r="R79" s="128"/>
      <c r="S79" s="128"/>
      <c r="T79" s="128"/>
      <c r="U79" s="128"/>
      <c r="V79" s="128"/>
      <c r="W79" s="128"/>
      <c r="X79" s="219"/>
      <c r="Y79" s="128"/>
      <c r="Z79" s="128"/>
      <c r="AA79" s="128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  <c r="AN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65"/>
      <c r="Q80" s="128"/>
      <c r="R80" s="128"/>
      <c r="S80" s="128"/>
      <c r="T80" s="128"/>
      <c r="U80" s="128"/>
      <c r="V80" s="128"/>
      <c r="W80" s="128"/>
      <c r="X80" s="219"/>
      <c r="Y80" s="128"/>
      <c r="Z80" s="128"/>
      <c r="AA80" s="128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  <c r="AN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219"/>
      <c r="Y81" s="128"/>
      <c r="Z81" s="128"/>
      <c r="AA81" s="128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  <c r="AN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219"/>
      <c r="Y82" s="128"/>
      <c r="Z82" s="128"/>
      <c r="AA82" s="128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  <c r="AN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219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  <c r="AN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219"/>
      <c r="Y84" s="128"/>
      <c r="Z84" s="128"/>
      <c r="AA84" s="128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  <c r="AN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219"/>
      <c r="Y85" s="128"/>
      <c r="Z85" s="128"/>
      <c r="AA85" s="128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  <c r="AN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219"/>
      <c r="Y86" s="128"/>
      <c r="Z86" s="128"/>
      <c r="AA86" s="128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  <c r="AN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219"/>
      <c r="Y87" s="128"/>
      <c r="Z87" s="128"/>
      <c r="AA87" s="128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  <c r="AN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219"/>
      <c r="Y88" s="128"/>
      <c r="Z88" s="128"/>
      <c r="AA88" s="128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  <c r="AN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219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219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219"/>
      <c r="Y91" s="128"/>
      <c r="Z91" s="128"/>
      <c r="AA91" s="128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  <c r="AN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219"/>
      <c r="Y92" s="128"/>
      <c r="Z92" s="128"/>
      <c r="AA92" s="128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  <c r="AN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219"/>
      <c r="Y93" s="128"/>
      <c r="Z93" s="128"/>
      <c r="AA93" s="128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  <c r="AN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219"/>
      <c r="Y94" s="128"/>
      <c r="Z94" s="128"/>
      <c r="AA94" s="128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  <c r="AN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219"/>
      <c r="Y95" s="128"/>
      <c r="Z95" s="128"/>
      <c r="AA95" s="128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  <c r="AN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219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  <c r="AN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219"/>
      <c r="Y97" s="128"/>
      <c r="Z97" s="128"/>
      <c r="AA97" s="128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  <c r="AN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219"/>
      <c r="Y98" s="128"/>
      <c r="Z98" s="128"/>
      <c r="AA98" s="128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  <c r="AN98" s="128"/>
    </row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G$62"/>
  <conditionalFormatting sqref="I2:P34">
    <cfRule type="containsBlanks" dxfId="0" priority="1">
      <formula>LEN(TRIM(I2))=0</formula>
    </cfRule>
  </conditionalFormatting>
  <conditionalFormatting sqref="I2:P34">
    <cfRule type="notContainsText" dxfId="1" priority="2" operator="notContains" text="(">
      <formula>ISERROR(SEARCH(("("),(I2)))</formula>
    </cfRule>
  </conditionalFormatting>
  <conditionalFormatting sqref="I2:P34">
    <cfRule type="containsText" dxfId="2" priority="3" operator="containsText" text="(">
      <formula>NOT(ISERROR(SEARCH(("("),(I2))))</formula>
    </cfRule>
  </conditionalFormatting>
  <conditionalFormatting sqref="F2:F34">
    <cfRule type="notContainsText" dxfId="3" priority="4" operator="notContains" text="14">
      <formula>ISERROR(SEARCH(("14"),(F2)))</formula>
    </cfRule>
  </conditionalFormatting>
  <printOptions gridLines="1" horizontalCentered="1"/>
  <pageMargins bottom="0.75" footer="0.0" header="0.0" left="0.7" right="0.7" top="0.75"/>
  <pageSetup paperSize="9" scale="73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5.13"/>
    <col customWidth="1" min="3" max="3" width="9.88"/>
    <col customWidth="1" min="4" max="4" width="29.13"/>
    <col customWidth="1" min="5" max="5" width="16.63"/>
    <col customWidth="1" hidden="1" min="6" max="6" width="28.38"/>
    <col customWidth="1" min="7" max="26" width="15.13"/>
  </cols>
  <sheetData>
    <row r="1" ht="15.75" customHeight="1">
      <c r="A1" s="125" t="s">
        <v>106</v>
      </c>
      <c r="B1" s="125" t="s">
        <v>107</v>
      </c>
      <c r="C1" s="125" t="s">
        <v>338</v>
      </c>
      <c r="D1" s="132" t="s">
        <v>339</v>
      </c>
      <c r="E1" s="143" t="s">
        <v>340</v>
      </c>
      <c r="F1" s="143" t="s">
        <v>341</v>
      </c>
      <c r="G1" s="143"/>
    </row>
    <row r="2" ht="15.75" customHeight="1">
      <c r="A2" s="125" t="s">
        <v>282</v>
      </c>
      <c r="B2" s="125" t="s">
        <v>281</v>
      </c>
      <c r="C2" s="125" t="s">
        <v>342</v>
      </c>
      <c r="D2" s="132" t="s">
        <v>343</v>
      </c>
      <c r="E2" s="143" t="s">
        <v>11</v>
      </c>
      <c r="F2" s="143">
        <v>3.0</v>
      </c>
      <c r="G2" s="227"/>
    </row>
    <row r="3" ht="15.75" customHeight="1">
      <c r="A3" s="125" t="s">
        <v>121</v>
      </c>
      <c r="B3" s="125" t="s">
        <v>44</v>
      </c>
      <c r="C3" s="125" t="s">
        <v>344</v>
      </c>
      <c r="D3" s="132" t="s">
        <v>345</v>
      </c>
      <c r="E3" s="143" t="s">
        <v>9</v>
      </c>
      <c r="F3" s="143">
        <v>3.0</v>
      </c>
      <c r="G3" s="227"/>
    </row>
    <row r="4" ht="15.75" customHeight="1">
      <c r="A4" s="125" t="s">
        <v>157</v>
      </c>
      <c r="B4" s="125" t="s">
        <v>51</v>
      </c>
      <c r="C4" s="125" t="s">
        <v>344</v>
      </c>
      <c r="D4" s="132" t="s">
        <v>346</v>
      </c>
      <c r="E4" s="143" t="s">
        <v>12</v>
      </c>
      <c r="F4" s="143">
        <v>2.0</v>
      </c>
      <c r="G4" s="227"/>
    </row>
    <row r="5" ht="15.75" customHeight="1">
      <c r="A5" s="125" t="s">
        <v>227</v>
      </c>
      <c r="B5" s="125" t="s">
        <v>152</v>
      </c>
      <c r="C5" s="125" t="s">
        <v>347</v>
      </c>
      <c r="D5" s="132" t="s">
        <v>348</v>
      </c>
      <c r="E5" s="143" t="s">
        <v>12</v>
      </c>
      <c r="F5" s="143">
        <v>3.0</v>
      </c>
      <c r="G5" s="227"/>
    </row>
    <row r="6" ht="15.75" customHeight="1">
      <c r="A6" s="125" t="s">
        <v>191</v>
      </c>
      <c r="B6" s="125" t="s">
        <v>192</v>
      </c>
      <c r="C6" s="125" t="s">
        <v>342</v>
      </c>
      <c r="D6" s="132" t="s">
        <v>349</v>
      </c>
      <c r="E6" s="143" t="s">
        <v>9</v>
      </c>
      <c r="F6" s="143">
        <v>1.0</v>
      </c>
      <c r="G6" s="227"/>
    </row>
    <row r="7" ht="15.75" customHeight="1">
      <c r="A7" s="125" t="s">
        <v>153</v>
      </c>
      <c r="B7" s="125" t="s">
        <v>154</v>
      </c>
      <c r="C7" s="125" t="s">
        <v>344</v>
      </c>
      <c r="D7" s="132" t="s">
        <v>350</v>
      </c>
      <c r="E7" s="143" t="s">
        <v>12</v>
      </c>
      <c r="F7" s="143">
        <v>2.0</v>
      </c>
      <c r="G7" s="227"/>
    </row>
    <row r="8" ht="15.75" customHeight="1">
      <c r="A8" s="125" t="s">
        <v>149</v>
      </c>
      <c r="B8" s="125" t="s">
        <v>73</v>
      </c>
      <c r="C8" s="125" t="s">
        <v>344</v>
      </c>
      <c r="D8" s="132" t="s">
        <v>351</v>
      </c>
      <c r="E8" s="143" t="s">
        <v>13</v>
      </c>
      <c r="F8" s="143">
        <v>2.0</v>
      </c>
      <c r="G8" s="227"/>
    </row>
    <row r="9" ht="15.75" customHeight="1">
      <c r="A9" s="125" t="s">
        <v>120</v>
      </c>
      <c r="B9" s="125" t="s">
        <v>58</v>
      </c>
      <c r="C9" s="125" t="s">
        <v>344</v>
      </c>
      <c r="D9" s="132" t="s">
        <v>352</v>
      </c>
      <c r="E9" s="143" t="s">
        <v>12</v>
      </c>
      <c r="F9" s="143">
        <v>1.0</v>
      </c>
      <c r="G9" s="227"/>
    </row>
    <row r="10" ht="15.75" customHeight="1">
      <c r="A10" s="125" t="s">
        <v>118</v>
      </c>
      <c r="B10" s="125" t="s">
        <v>49</v>
      </c>
      <c r="C10" s="125" t="s">
        <v>344</v>
      </c>
      <c r="D10" s="132" t="s">
        <v>352</v>
      </c>
      <c r="E10" s="143" t="s">
        <v>8</v>
      </c>
      <c r="F10" s="143">
        <v>1.0</v>
      </c>
      <c r="G10" s="227"/>
    </row>
    <row r="11" ht="15.75" customHeight="1">
      <c r="A11" s="125" t="s">
        <v>337</v>
      </c>
      <c r="B11" s="125" t="s">
        <v>85</v>
      </c>
      <c r="C11" s="125" t="s">
        <v>344</v>
      </c>
      <c r="D11" s="132" t="s">
        <v>353</v>
      </c>
      <c r="E11" s="143" t="s">
        <v>13</v>
      </c>
      <c r="F11" s="143">
        <v>1.0</v>
      </c>
      <c r="G11" s="227"/>
    </row>
    <row r="12" ht="15.75" customHeight="1">
      <c r="A12" s="125" t="s">
        <v>136</v>
      </c>
      <c r="B12" s="125" t="s">
        <v>67</v>
      </c>
      <c r="C12" s="125" t="s">
        <v>347</v>
      </c>
      <c r="D12" s="132" t="s">
        <v>346</v>
      </c>
      <c r="E12" s="143" t="s">
        <v>11</v>
      </c>
      <c r="F12" s="143">
        <v>1.0</v>
      </c>
      <c r="G12" s="227"/>
    </row>
    <row r="13" ht="15.75" customHeight="1">
      <c r="A13" s="125" t="s">
        <v>132</v>
      </c>
      <c r="B13" s="125" t="s">
        <v>63</v>
      </c>
      <c r="C13" s="125" t="s">
        <v>344</v>
      </c>
      <c r="D13" s="132" t="s">
        <v>350</v>
      </c>
      <c r="E13" s="143" t="s">
        <v>11</v>
      </c>
      <c r="F13" s="143">
        <v>2.0</v>
      </c>
      <c r="G13" s="227"/>
    </row>
    <row r="14" ht="15.75" customHeight="1">
      <c r="A14" s="125" t="s">
        <v>354</v>
      </c>
      <c r="B14" s="125" t="s">
        <v>285</v>
      </c>
      <c r="C14" s="125" t="s">
        <v>342</v>
      </c>
      <c r="D14" s="132" t="s">
        <v>7</v>
      </c>
      <c r="E14" s="143" t="s">
        <v>9</v>
      </c>
      <c r="F14" s="143">
        <v>2.0</v>
      </c>
      <c r="G14" s="227"/>
    </row>
    <row r="15" ht="15.75" customHeight="1">
      <c r="A15" s="125" t="s">
        <v>148</v>
      </c>
      <c r="B15" s="125" t="s">
        <v>66</v>
      </c>
      <c r="C15" s="125" t="s">
        <v>344</v>
      </c>
      <c r="D15" s="132" t="s">
        <v>352</v>
      </c>
      <c r="E15" s="143" t="s">
        <v>13</v>
      </c>
      <c r="F15" s="143">
        <v>2.0</v>
      </c>
      <c r="G15" s="227"/>
    </row>
    <row r="16" ht="15.75" customHeight="1">
      <c r="A16" s="125" t="s">
        <v>143</v>
      </c>
      <c r="B16" s="125" t="s">
        <v>80</v>
      </c>
      <c r="C16" s="125" t="s">
        <v>344</v>
      </c>
      <c r="D16" s="132" t="s">
        <v>352</v>
      </c>
      <c r="E16" s="143" t="s">
        <v>13</v>
      </c>
      <c r="F16" s="143">
        <v>1.0</v>
      </c>
      <c r="G16" s="227"/>
    </row>
    <row r="17" ht="15.75" customHeight="1">
      <c r="A17" s="125" t="s">
        <v>179</v>
      </c>
      <c r="B17" s="125" t="s">
        <v>180</v>
      </c>
      <c r="C17" s="125" t="s">
        <v>342</v>
      </c>
      <c r="D17" s="132" t="s">
        <v>7</v>
      </c>
      <c r="E17" s="143" t="s">
        <v>10</v>
      </c>
      <c r="F17" s="143">
        <v>3.0</v>
      </c>
      <c r="G17" s="227"/>
    </row>
    <row r="18" ht="15.75" customHeight="1">
      <c r="A18" s="125" t="s">
        <v>200</v>
      </c>
      <c r="B18" s="125" t="s">
        <v>201</v>
      </c>
      <c r="C18" s="125" t="s">
        <v>344</v>
      </c>
      <c r="D18" s="132" t="s">
        <v>347</v>
      </c>
      <c r="E18" s="143" t="s">
        <v>12</v>
      </c>
      <c r="F18" s="143">
        <v>3.0</v>
      </c>
      <c r="G18" s="227"/>
    </row>
    <row r="19" ht="15.75" customHeight="1">
      <c r="A19" s="125" t="s">
        <v>137</v>
      </c>
      <c r="B19" s="125" t="s">
        <v>84</v>
      </c>
      <c r="C19" s="125" t="s">
        <v>344</v>
      </c>
      <c r="D19" s="132" t="s">
        <v>355</v>
      </c>
      <c r="E19" s="143" t="s">
        <v>11</v>
      </c>
      <c r="F19" s="143">
        <v>1.0</v>
      </c>
      <c r="G19" s="227"/>
    </row>
    <row r="20" ht="15.75" customHeight="1">
      <c r="A20" s="125" t="s">
        <v>117</v>
      </c>
      <c r="B20" s="125" t="s">
        <v>64</v>
      </c>
      <c r="C20" s="125" t="s">
        <v>344</v>
      </c>
      <c r="D20" s="132" t="s">
        <v>346</v>
      </c>
      <c r="E20" s="143" t="s">
        <v>8</v>
      </c>
      <c r="F20" s="143">
        <v>1.0</v>
      </c>
      <c r="G20" s="227"/>
    </row>
    <row r="21" ht="15.75" customHeight="1">
      <c r="A21" s="125" t="s">
        <v>146</v>
      </c>
      <c r="B21" s="125" t="s">
        <v>147</v>
      </c>
      <c r="C21" s="125" t="s">
        <v>344</v>
      </c>
      <c r="D21" s="132" t="s">
        <v>355</v>
      </c>
      <c r="E21" s="143" t="s">
        <v>14</v>
      </c>
      <c r="F21" s="143">
        <v>2.0</v>
      </c>
      <c r="G21" s="227"/>
    </row>
    <row r="22" ht="15.75" customHeight="1">
      <c r="A22" s="125" t="s">
        <v>131</v>
      </c>
      <c r="B22" s="125" t="s">
        <v>43</v>
      </c>
      <c r="C22" s="125" t="s">
        <v>344</v>
      </c>
      <c r="D22" s="132" t="s">
        <v>352</v>
      </c>
      <c r="E22" s="143" t="s">
        <v>11</v>
      </c>
      <c r="F22" s="143">
        <v>1.0</v>
      </c>
      <c r="G22" s="227"/>
    </row>
    <row r="23" ht="15.75" customHeight="1">
      <c r="A23" s="125" t="s">
        <v>144</v>
      </c>
      <c r="B23" s="125" t="s">
        <v>145</v>
      </c>
      <c r="C23" s="125" t="s">
        <v>344</v>
      </c>
      <c r="D23" s="132" t="s">
        <v>355</v>
      </c>
      <c r="E23" s="143" t="s">
        <v>14</v>
      </c>
      <c r="F23" s="143">
        <v>2.0</v>
      </c>
      <c r="G23" s="227"/>
    </row>
    <row r="24" ht="15.75" customHeight="1">
      <c r="A24" s="125" t="s">
        <v>193</v>
      </c>
      <c r="B24" s="125" t="s">
        <v>194</v>
      </c>
      <c r="C24" s="125" t="s">
        <v>342</v>
      </c>
      <c r="D24" s="132" t="s">
        <v>7</v>
      </c>
      <c r="E24" s="143" t="s">
        <v>12</v>
      </c>
      <c r="F24" s="143">
        <v>2.0</v>
      </c>
      <c r="G24" s="227"/>
    </row>
    <row r="25" ht="15.75" customHeight="1">
      <c r="A25" s="125" t="s">
        <v>356</v>
      </c>
      <c r="B25" s="125" t="s">
        <v>135</v>
      </c>
      <c r="C25" s="125" t="s">
        <v>344</v>
      </c>
      <c r="D25" s="132" t="s">
        <v>357</v>
      </c>
      <c r="E25" s="143" t="s">
        <v>10</v>
      </c>
      <c r="F25" s="143">
        <v>1.0</v>
      </c>
      <c r="G25" s="227"/>
    </row>
    <row r="26" ht="15.75" customHeight="1">
      <c r="A26" s="125" t="s">
        <v>198</v>
      </c>
      <c r="B26" s="125" t="s">
        <v>199</v>
      </c>
      <c r="C26" s="125" t="s">
        <v>344</v>
      </c>
      <c r="D26" s="132" t="e">
        <v>#N/A</v>
      </c>
      <c r="E26" s="143" t="s">
        <v>11</v>
      </c>
      <c r="F26" s="143">
        <v>3.0</v>
      </c>
      <c r="G26" s="227"/>
    </row>
    <row r="27" ht="15.75" customHeight="1">
      <c r="A27" s="125" t="s">
        <v>195</v>
      </c>
      <c r="B27" s="125" t="s">
        <v>97</v>
      </c>
      <c r="C27" s="125" t="s">
        <v>344</v>
      </c>
      <c r="D27" s="132" t="s">
        <v>358</v>
      </c>
      <c r="E27" s="143" t="s">
        <v>13</v>
      </c>
      <c r="F27" s="143">
        <v>3.0</v>
      </c>
      <c r="G27" s="227"/>
    </row>
    <row r="28" ht="15.75" customHeight="1">
      <c r="A28" s="125" t="s">
        <v>133</v>
      </c>
      <c r="B28" s="125" t="s">
        <v>89</v>
      </c>
      <c r="C28" s="125" t="s">
        <v>344</v>
      </c>
      <c r="D28" s="132" t="e">
        <v>#N/A</v>
      </c>
      <c r="E28" s="143" t="s">
        <v>10</v>
      </c>
      <c r="F28" s="143">
        <v>1.0</v>
      </c>
      <c r="G28" s="227"/>
    </row>
    <row r="29" ht="15.75" customHeight="1">
      <c r="A29" s="125" t="s">
        <v>166</v>
      </c>
      <c r="B29" s="125" t="s">
        <v>167</v>
      </c>
      <c r="C29" s="125" t="s">
        <v>342</v>
      </c>
      <c r="D29" s="132" t="s">
        <v>7</v>
      </c>
      <c r="E29" s="143" t="s">
        <v>9</v>
      </c>
      <c r="F29" s="143"/>
      <c r="G29" s="227"/>
    </row>
    <row r="30" ht="15.75" customHeight="1">
      <c r="A30" s="125" t="s">
        <v>125</v>
      </c>
      <c r="B30" s="125" t="s">
        <v>50</v>
      </c>
      <c r="C30" s="125" t="s">
        <v>344</v>
      </c>
      <c r="D30" s="132" t="s">
        <v>352</v>
      </c>
      <c r="E30" s="143" t="s">
        <v>9</v>
      </c>
      <c r="F30" s="143">
        <v>2.0</v>
      </c>
      <c r="G30" s="227"/>
    </row>
    <row r="31" ht="15.75" customHeight="1">
      <c r="A31" s="125" t="s">
        <v>359</v>
      </c>
      <c r="B31" s="125" t="s">
        <v>360</v>
      </c>
      <c r="C31" s="125"/>
      <c r="D31" s="125" t="s">
        <v>361</v>
      </c>
      <c r="E31" s="143"/>
      <c r="F31" s="228">
        <v>3.0</v>
      </c>
    </row>
    <row r="32" ht="15.75" customHeight="1">
      <c r="D32" s="132"/>
      <c r="E32" s="143"/>
      <c r="F32" s="227"/>
    </row>
    <row r="33" ht="15.75" customHeight="1">
      <c r="D33" s="132"/>
      <c r="E33" s="143"/>
      <c r="F33" s="227"/>
    </row>
    <row r="34" ht="15.75" customHeight="1">
      <c r="D34" s="132"/>
      <c r="E34" s="143"/>
      <c r="F34" s="227"/>
    </row>
    <row r="35" ht="15.75" customHeight="1">
      <c r="D35" s="132"/>
      <c r="E35" s="143"/>
      <c r="F35" s="227"/>
    </row>
    <row r="36" ht="15.75" customHeight="1">
      <c r="D36" s="132"/>
      <c r="E36" s="143"/>
      <c r="F36" s="227"/>
    </row>
    <row r="37" ht="15.75" customHeight="1">
      <c r="D37" s="132"/>
      <c r="E37" s="143"/>
      <c r="F37" s="227"/>
    </row>
    <row r="38" ht="15.75" customHeight="1">
      <c r="D38" s="132"/>
      <c r="E38" s="143"/>
      <c r="F38" s="227"/>
    </row>
    <row r="39" ht="15.75" customHeight="1">
      <c r="D39" s="132"/>
      <c r="E39" s="143"/>
      <c r="F39" s="227"/>
    </row>
    <row r="40" ht="15.75" customHeight="1">
      <c r="D40" s="132"/>
      <c r="E40" s="143"/>
      <c r="F40" s="227"/>
    </row>
    <row r="41" ht="15.75" customHeight="1">
      <c r="D41" s="132"/>
      <c r="E41" s="143"/>
      <c r="F41" s="227"/>
    </row>
    <row r="42" ht="15.75" customHeight="1">
      <c r="D42" s="132"/>
      <c r="E42" s="143"/>
      <c r="F42" s="227"/>
    </row>
    <row r="43" ht="15.75" customHeight="1">
      <c r="D43" s="132"/>
      <c r="E43" s="143"/>
      <c r="F43" s="227"/>
    </row>
    <row r="44" ht="15.75" customHeight="1">
      <c r="D44" s="132"/>
      <c r="E44" s="143"/>
      <c r="F44" s="227"/>
    </row>
    <row r="45" ht="15.75" customHeight="1">
      <c r="D45" s="132"/>
      <c r="E45" s="143"/>
      <c r="F45" s="227"/>
    </row>
    <row r="46" ht="15.75" customHeight="1">
      <c r="D46" s="132"/>
      <c r="E46" s="143"/>
      <c r="F46" s="227"/>
    </row>
    <row r="47" ht="15.75" customHeight="1">
      <c r="D47" s="132"/>
      <c r="E47" s="143"/>
      <c r="F47" s="227"/>
    </row>
    <row r="48" ht="15.75" customHeight="1">
      <c r="D48" s="132"/>
      <c r="E48" s="143"/>
      <c r="F48" s="227"/>
    </row>
    <row r="49" ht="15.75" customHeight="1">
      <c r="D49" s="132"/>
      <c r="E49" s="143"/>
      <c r="F49" s="227"/>
    </row>
    <row r="50" ht="15.75" customHeight="1">
      <c r="D50" s="132"/>
      <c r="E50" s="143"/>
      <c r="F50" s="227"/>
    </row>
    <row r="51" ht="15.75" customHeight="1">
      <c r="D51" s="132"/>
      <c r="E51" s="143"/>
      <c r="F51" s="227"/>
    </row>
    <row r="52" ht="15.75" customHeight="1">
      <c r="D52" s="132"/>
      <c r="E52" s="143"/>
      <c r="F52" s="227"/>
    </row>
    <row r="53" ht="15.75" customHeight="1">
      <c r="D53" s="132"/>
      <c r="E53" s="143"/>
      <c r="F53" s="227"/>
    </row>
    <row r="54" ht="15.75" customHeight="1">
      <c r="D54" s="132"/>
      <c r="E54" s="143"/>
      <c r="F54" s="227"/>
    </row>
    <row r="55" ht="15.75" customHeight="1">
      <c r="D55" s="132"/>
      <c r="E55" s="143"/>
      <c r="F55" s="227"/>
    </row>
    <row r="56" ht="15.75" customHeight="1">
      <c r="D56" s="132"/>
      <c r="E56" s="143"/>
      <c r="F56" s="227"/>
    </row>
    <row r="57" ht="15.75" customHeight="1">
      <c r="D57" s="132"/>
      <c r="E57" s="143"/>
      <c r="F57" s="227"/>
    </row>
    <row r="58" ht="15.75" customHeight="1">
      <c r="D58" s="132"/>
      <c r="E58" s="143"/>
      <c r="F58" s="227"/>
    </row>
    <row r="59" ht="15.75" customHeight="1">
      <c r="D59" s="132"/>
      <c r="E59" s="143"/>
      <c r="F59" s="227"/>
    </row>
    <row r="60" ht="15.75" customHeight="1">
      <c r="D60" s="132"/>
      <c r="E60" s="143"/>
      <c r="F60" s="227"/>
    </row>
    <row r="61" ht="15.75" customHeight="1">
      <c r="D61" s="132"/>
      <c r="E61" s="143"/>
      <c r="F61" s="143"/>
    </row>
    <row r="62" ht="15.75" customHeight="1">
      <c r="D62" s="132"/>
      <c r="E62" s="143"/>
      <c r="F62" s="143"/>
    </row>
    <row r="63" ht="15.75" customHeight="1">
      <c r="D63" s="132"/>
      <c r="E63" s="143"/>
      <c r="F63" s="143"/>
    </row>
    <row r="64" ht="15.75" customHeight="1">
      <c r="D64" s="132"/>
      <c r="E64" s="143"/>
      <c r="F64" s="143"/>
    </row>
    <row r="65" ht="15.75" customHeight="1">
      <c r="D65" s="132"/>
      <c r="E65" s="143"/>
      <c r="F65" s="143"/>
    </row>
    <row r="66" ht="15.75" customHeight="1">
      <c r="D66" s="132"/>
      <c r="E66" s="143"/>
      <c r="F66" s="143"/>
    </row>
    <row r="67" ht="15.75" customHeight="1">
      <c r="D67" s="132"/>
      <c r="E67" s="143"/>
      <c r="F67" s="143"/>
    </row>
    <row r="68" ht="15.75" customHeight="1">
      <c r="D68" s="132"/>
      <c r="E68" s="143"/>
      <c r="F68" s="143"/>
    </row>
    <row r="69" ht="15.75" customHeight="1">
      <c r="D69" s="132"/>
      <c r="E69" s="143"/>
      <c r="F69" s="143"/>
    </row>
    <row r="70" ht="15.75" customHeight="1">
      <c r="D70" s="132"/>
      <c r="E70" s="143"/>
      <c r="F70" s="143"/>
    </row>
    <row r="71" ht="15.75" customHeight="1">
      <c r="D71" s="132"/>
      <c r="E71" s="143"/>
      <c r="F71" s="143"/>
    </row>
    <row r="72" ht="15.75" customHeight="1">
      <c r="D72" s="132"/>
      <c r="E72" s="143"/>
      <c r="F72" s="143"/>
    </row>
    <row r="73" ht="15.75" customHeight="1">
      <c r="D73" s="132"/>
      <c r="E73" s="143"/>
      <c r="F73" s="143"/>
    </row>
    <row r="74" ht="15.75" customHeight="1">
      <c r="D74" s="132"/>
      <c r="E74" s="143"/>
      <c r="F74" s="143"/>
    </row>
    <row r="75" ht="15.75" customHeight="1">
      <c r="D75" s="132"/>
      <c r="E75" s="143"/>
      <c r="F75" s="143"/>
    </row>
    <row r="76" ht="15.75" customHeight="1">
      <c r="D76" s="132"/>
      <c r="E76" s="143"/>
      <c r="F76" s="143"/>
    </row>
    <row r="77" ht="15.75" customHeight="1">
      <c r="D77" s="132"/>
      <c r="E77" s="143"/>
      <c r="F77" s="143"/>
    </row>
    <row r="78" ht="15.75" customHeight="1">
      <c r="D78" s="132"/>
      <c r="E78" s="143"/>
      <c r="F78" s="143"/>
    </row>
    <row r="79" ht="15.75" customHeight="1">
      <c r="D79" s="132"/>
      <c r="E79" s="143"/>
      <c r="F79" s="143"/>
    </row>
    <row r="80" ht="15.75" customHeight="1">
      <c r="D80" s="132"/>
      <c r="E80" s="143"/>
      <c r="F80" s="143"/>
    </row>
    <row r="81" ht="15.75" customHeight="1">
      <c r="D81" s="132"/>
      <c r="E81" s="143"/>
      <c r="F81" s="143"/>
    </row>
    <row r="82" ht="15.75" customHeight="1">
      <c r="D82" s="132"/>
      <c r="E82" s="143"/>
      <c r="F82" s="143"/>
    </row>
    <row r="83" ht="15.75" customHeight="1">
      <c r="D83" s="132"/>
      <c r="E83" s="143"/>
      <c r="F83" s="143"/>
    </row>
    <row r="84" ht="15.75" customHeight="1">
      <c r="D84" s="132"/>
      <c r="E84" s="143"/>
      <c r="F84" s="143"/>
    </row>
    <row r="85" ht="15.75" customHeight="1">
      <c r="D85" s="132"/>
      <c r="E85" s="143"/>
      <c r="F85" s="143"/>
    </row>
    <row r="86" ht="15.75" customHeight="1">
      <c r="D86" s="132"/>
      <c r="E86" s="143"/>
      <c r="F86" s="143"/>
    </row>
    <row r="87" ht="15.75" customHeight="1">
      <c r="D87" s="132"/>
      <c r="E87" s="143"/>
      <c r="F87" s="143"/>
    </row>
    <row r="88" ht="15.75" customHeight="1">
      <c r="D88" s="132"/>
      <c r="E88" s="143"/>
      <c r="F88" s="143"/>
    </row>
    <row r="89" ht="15.75" customHeight="1">
      <c r="D89" s="132"/>
      <c r="E89" s="143"/>
      <c r="F89" s="143"/>
    </row>
    <row r="90" ht="15.75" customHeight="1">
      <c r="D90" s="132"/>
      <c r="E90" s="143"/>
      <c r="F90" s="143"/>
    </row>
    <row r="91" ht="15.75" customHeight="1">
      <c r="D91" s="132"/>
      <c r="E91" s="143"/>
      <c r="F91" s="143"/>
    </row>
    <row r="92" ht="15.75" customHeight="1">
      <c r="D92" s="132"/>
      <c r="E92" s="143"/>
      <c r="F92" s="143"/>
    </row>
    <row r="93" ht="15.75" customHeight="1">
      <c r="D93" s="132"/>
      <c r="E93" s="143"/>
      <c r="F93" s="143"/>
    </row>
    <row r="94" ht="15.75" customHeight="1">
      <c r="D94" s="132"/>
      <c r="E94" s="143"/>
      <c r="F94" s="143"/>
    </row>
    <row r="95" ht="15.75" customHeight="1">
      <c r="D95" s="132"/>
      <c r="E95" s="143"/>
      <c r="F95" s="143"/>
    </row>
    <row r="96" ht="15.75" customHeight="1">
      <c r="D96" s="132"/>
      <c r="E96" s="143"/>
      <c r="F96" s="143"/>
    </row>
    <row r="97" ht="15.75" customHeight="1">
      <c r="D97" s="132"/>
      <c r="E97" s="143"/>
      <c r="F97" s="143"/>
    </row>
    <row r="98" ht="15.75" customHeight="1">
      <c r="D98" s="132"/>
      <c r="E98" s="143"/>
      <c r="F98" s="143"/>
    </row>
    <row r="99" ht="15.75" customHeight="1">
      <c r="D99" s="132"/>
      <c r="E99" s="143"/>
      <c r="F99" s="143"/>
    </row>
    <row r="100" ht="15.75" customHeight="1">
      <c r="D100" s="132"/>
      <c r="E100" s="143"/>
      <c r="F100" s="143"/>
    </row>
    <row r="101" ht="15.75" customHeight="1">
      <c r="D101" s="132"/>
      <c r="E101" s="143"/>
      <c r="F101" s="143"/>
    </row>
    <row r="102" ht="15.75" customHeight="1">
      <c r="D102" s="132"/>
      <c r="E102" s="143"/>
      <c r="F102" s="143"/>
    </row>
    <row r="103" ht="15.75" customHeight="1">
      <c r="D103" s="132"/>
      <c r="E103" s="143"/>
      <c r="F103" s="143"/>
    </row>
    <row r="104" ht="15.75" customHeight="1">
      <c r="D104" s="132"/>
      <c r="E104" s="143"/>
      <c r="F104" s="143"/>
    </row>
    <row r="105" ht="15.75" customHeight="1">
      <c r="D105" s="132"/>
      <c r="E105" s="143"/>
      <c r="F105" s="143"/>
    </row>
    <row r="106" ht="15.75" customHeight="1">
      <c r="D106" s="132"/>
      <c r="E106" s="143"/>
      <c r="F106" s="143"/>
    </row>
    <row r="107" ht="15.75" customHeight="1">
      <c r="D107" s="132"/>
      <c r="E107" s="143"/>
      <c r="F107" s="143"/>
    </row>
    <row r="108" ht="15.75" customHeight="1">
      <c r="D108" s="132"/>
      <c r="E108" s="143"/>
      <c r="F108" s="143"/>
    </row>
    <row r="109" ht="15.75" customHeight="1">
      <c r="D109" s="132"/>
      <c r="E109" s="143"/>
      <c r="F109" s="143"/>
    </row>
    <row r="110" ht="15.75" customHeight="1">
      <c r="D110" s="132"/>
      <c r="E110" s="143"/>
      <c r="F110" s="143"/>
    </row>
    <row r="111" ht="15.75" customHeight="1">
      <c r="D111" s="132"/>
      <c r="E111" s="143"/>
      <c r="F111" s="143"/>
    </row>
    <row r="112" ht="15.75" customHeight="1">
      <c r="D112" s="132"/>
      <c r="E112" s="143"/>
      <c r="F112" s="143"/>
    </row>
    <row r="113" ht="15.75" customHeight="1">
      <c r="D113" s="132"/>
      <c r="E113" s="143"/>
      <c r="F113" s="143"/>
    </row>
    <row r="114" ht="15.75" customHeight="1">
      <c r="D114" s="132"/>
      <c r="E114" s="143"/>
      <c r="F114" s="143"/>
    </row>
    <row r="115" ht="15.75" customHeight="1">
      <c r="D115" s="132"/>
      <c r="E115" s="143"/>
      <c r="F115" s="143"/>
    </row>
    <row r="116" ht="15.75" customHeight="1">
      <c r="D116" s="132"/>
      <c r="E116" s="143"/>
      <c r="F116" s="143"/>
    </row>
    <row r="117" ht="15.75" customHeight="1">
      <c r="D117" s="132"/>
      <c r="E117" s="143"/>
      <c r="F117" s="143"/>
    </row>
    <row r="118" ht="15.75" customHeight="1">
      <c r="D118" s="132"/>
      <c r="E118" s="143"/>
      <c r="F118" s="143"/>
    </row>
    <row r="119" ht="15.75" customHeight="1">
      <c r="D119" s="132"/>
      <c r="E119" s="143"/>
      <c r="F119" s="143"/>
    </row>
    <row r="120" ht="15.75" customHeight="1">
      <c r="D120" s="132"/>
      <c r="E120" s="143"/>
      <c r="F120" s="143"/>
    </row>
    <row r="121" ht="15.75" customHeight="1">
      <c r="D121" s="132"/>
      <c r="E121" s="143"/>
      <c r="F121" s="143"/>
    </row>
    <row r="122" ht="15.75" customHeight="1">
      <c r="D122" s="132"/>
      <c r="E122" s="143"/>
      <c r="F122" s="143"/>
    </row>
    <row r="123" ht="15.75" customHeight="1">
      <c r="D123" s="132"/>
      <c r="E123" s="143"/>
      <c r="F123" s="143"/>
    </row>
    <row r="124" ht="15.75" customHeight="1">
      <c r="D124" s="132"/>
      <c r="E124" s="143"/>
      <c r="F124" s="143"/>
    </row>
    <row r="125" ht="15.75" customHeight="1">
      <c r="D125" s="132"/>
      <c r="E125" s="143"/>
      <c r="F125" s="143"/>
    </row>
    <row r="126" ht="15.75" customHeight="1">
      <c r="D126" s="132"/>
      <c r="E126" s="143"/>
      <c r="F126" s="143"/>
    </row>
    <row r="127" ht="15.75" customHeight="1">
      <c r="D127" s="132"/>
      <c r="E127" s="143"/>
      <c r="F127" s="143"/>
    </row>
    <row r="128" ht="15.75" customHeight="1">
      <c r="D128" s="132"/>
      <c r="E128" s="143"/>
      <c r="F128" s="143"/>
    </row>
    <row r="129" ht="15.75" customHeight="1">
      <c r="D129" s="132"/>
      <c r="E129" s="143"/>
      <c r="F129" s="143"/>
    </row>
    <row r="130" ht="15.75" customHeight="1">
      <c r="D130" s="132"/>
      <c r="E130" s="143"/>
      <c r="F130" s="143"/>
    </row>
    <row r="131" ht="15.75" customHeight="1">
      <c r="D131" s="132"/>
      <c r="E131" s="143"/>
      <c r="F131" s="143"/>
    </row>
    <row r="132" ht="15.75" customHeight="1">
      <c r="D132" s="132"/>
      <c r="E132" s="143"/>
      <c r="F132" s="143"/>
    </row>
    <row r="133" ht="15.75" customHeight="1">
      <c r="D133" s="132"/>
      <c r="E133" s="143"/>
      <c r="F133" s="143"/>
    </row>
    <row r="134" ht="15.75" customHeight="1">
      <c r="D134" s="132"/>
      <c r="E134" s="143"/>
      <c r="F134" s="143"/>
    </row>
    <row r="135" ht="15.75" customHeight="1">
      <c r="D135" s="132"/>
      <c r="E135" s="143"/>
      <c r="F135" s="143"/>
    </row>
    <row r="136" ht="15.75" customHeight="1">
      <c r="D136" s="132"/>
      <c r="E136" s="143"/>
      <c r="F136" s="143"/>
    </row>
    <row r="137" ht="15.75" customHeight="1">
      <c r="D137" s="132"/>
      <c r="E137" s="143"/>
      <c r="F137" s="143"/>
    </row>
    <row r="138" ht="15.75" customHeight="1">
      <c r="D138" s="132"/>
      <c r="E138" s="143"/>
      <c r="F138" s="143"/>
    </row>
    <row r="139" ht="15.75" customHeight="1">
      <c r="D139" s="132"/>
      <c r="E139" s="143"/>
      <c r="F139" s="143"/>
    </row>
    <row r="140" ht="15.75" customHeight="1">
      <c r="D140" s="132"/>
      <c r="E140" s="143"/>
      <c r="F140" s="143"/>
    </row>
    <row r="141" ht="15.75" customHeight="1">
      <c r="D141" s="132"/>
      <c r="E141" s="143"/>
      <c r="F141" s="143"/>
    </row>
    <row r="142" ht="15.75" customHeight="1">
      <c r="D142" s="132"/>
      <c r="E142" s="143"/>
      <c r="F142" s="143"/>
    </row>
    <row r="143" ht="15.75" customHeight="1">
      <c r="D143" s="132"/>
      <c r="E143" s="143"/>
      <c r="F143" s="143"/>
    </row>
    <row r="144" ht="15.75" customHeight="1">
      <c r="D144" s="132"/>
      <c r="E144" s="143"/>
      <c r="F144" s="143"/>
    </row>
    <row r="145" ht="15.75" customHeight="1">
      <c r="D145" s="132"/>
      <c r="E145" s="143"/>
      <c r="F145" s="143"/>
    </row>
    <row r="146" ht="15.75" customHeight="1">
      <c r="D146" s="132"/>
      <c r="E146" s="143"/>
      <c r="F146" s="143"/>
    </row>
    <row r="147" ht="15.75" customHeight="1">
      <c r="D147" s="132"/>
      <c r="E147" s="143"/>
      <c r="F147" s="143"/>
    </row>
    <row r="148" ht="15.75" customHeight="1">
      <c r="D148" s="132"/>
      <c r="E148" s="143"/>
      <c r="F148" s="143"/>
    </row>
    <row r="149" ht="15.75" customHeight="1">
      <c r="D149" s="132"/>
      <c r="E149" s="143"/>
      <c r="F149" s="143"/>
    </row>
    <row r="150" ht="15.75" customHeight="1">
      <c r="D150" s="132"/>
      <c r="E150" s="143"/>
      <c r="F150" s="143"/>
    </row>
    <row r="151" ht="15.75" customHeight="1">
      <c r="D151" s="132"/>
      <c r="E151" s="143"/>
      <c r="F151" s="143"/>
    </row>
    <row r="152" ht="15.75" customHeight="1">
      <c r="D152" s="132"/>
      <c r="E152" s="143"/>
      <c r="F152" s="143"/>
    </row>
    <row r="153" ht="15.75" customHeight="1">
      <c r="D153" s="132"/>
      <c r="E153" s="143"/>
      <c r="F153" s="143"/>
    </row>
    <row r="154" ht="15.75" customHeight="1">
      <c r="D154" s="132"/>
      <c r="E154" s="143"/>
      <c r="F154" s="143"/>
    </row>
    <row r="155" ht="15.75" customHeight="1">
      <c r="D155" s="132"/>
      <c r="E155" s="143"/>
      <c r="F155" s="143"/>
    </row>
    <row r="156" ht="15.75" customHeight="1">
      <c r="D156" s="132"/>
      <c r="E156" s="143"/>
      <c r="F156" s="143"/>
    </row>
    <row r="157" ht="15.75" customHeight="1">
      <c r="D157" s="132"/>
      <c r="E157" s="143"/>
      <c r="F157" s="143"/>
    </row>
    <row r="158" ht="15.75" customHeight="1">
      <c r="D158" s="132"/>
      <c r="E158" s="143"/>
      <c r="F158" s="143"/>
    </row>
    <row r="159" ht="15.75" customHeight="1">
      <c r="D159" s="132"/>
      <c r="E159" s="143"/>
      <c r="F159" s="143"/>
    </row>
    <row r="160" ht="15.75" customHeight="1">
      <c r="D160" s="132"/>
      <c r="E160" s="143"/>
      <c r="F160" s="143"/>
    </row>
    <row r="161" ht="15.75" customHeight="1">
      <c r="D161" s="132"/>
      <c r="E161" s="143"/>
      <c r="F161" s="143"/>
    </row>
    <row r="162" ht="15.75" customHeight="1">
      <c r="D162" s="132"/>
      <c r="E162" s="143"/>
      <c r="F162" s="143"/>
    </row>
    <row r="163" ht="15.75" customHeight="1">
      <c r="D163" s="132"/>
      <c r="E163" s="143"/>
      <c r="F163" s="143"/>
    </row>
    <row r="164" ht="15.75" customHeight="1">
      <c r="D164" s="132"/>
      <c r="E164" s="143"/>
      <c r="F164" s="143"/>
    </row>
    <row r="165" ht="15.75" customHeight="1">
      <c r="D165" s="132"/>
      <c r="E165" s="143"/>
      <c r="F165" s="143"/>
    </row>
    <row r="166" ht="15.75" customHeight="1">
      <c r="D166" s="132"/>
      <c r="E166" s="143"/>
      <c r="F166" s="143"/>
    </row>
    <row r="167" ht="15.75" customHeight="1">
      <c r="D167" s="132"/>
      <c r="E167" s="143"/>
      <c r="F167" s="143"/>
    </row>
    <row r="168" ht="15.75" customHeight="1">
      <c r="D168" s="132"/>
      <c r="E168" s="143"/>
      <c r="F168" s="143"/>
    </row>
    <row r="169" ht="15.75" customHeight="1">
      <c r="D169" s="132"/>
      <c r="E169" s="143"/>
      <c r="F169" s="143"/>
    </row>
    <row r="170" ht="15.75" customHeight="1">
      <c r="D170" s="132"/>
      <c r="E170" s="143"/>
      <c r="F170" s="143"/>
    </row>
    <row r="171" ht="15.75" customHeight="1">
      <c r="D171" s="132"/>
      <c r="E171" s="143"/>
      <c r="F171" s="143"/>
    </row>
    <row r="172" ht="15.75" customHeight="1">
      <c r="D172" s="132"/>
      <c r="E172" s="143"/>
      <c r="F172" s="143"/>
    </row>
    <row r="173" ht="15.75" customHeight="1">
      <c r="D173" s="132"/>
      <c r="E173" s="143"/>
      <c r="F173" s="143"/>
    </row>
    <row r="174" ht="15.75" customHeight="1">
      <c r="D174" s="132"/>
      <c r="E174" s="143"/>
      <c r="F174" s="143"/>
    </row>
    <row r="175" ht="15.75" customHeight="1">
      <c r="D175" s="132"/>
      <c r="E175" s="143"/>
      <c r="F175" s="143"/>
    </row>
    <row r="176" ht="15.75" customHeight="1">
      <c r="D176" s="132"/>
      <c r="E176" s="143"/>
      <c r="F176" s="143"/>
    </row>
    <row r="177" ht="15.75" customHeight="1">
      <c r="D177" s="132"/>
      <c r="E177" s="143"/>
      <c r="F177" s="143"/>
    </row>
    <row r="178" ht="15.75" customHeight="1">
      <c r="D178" s="132"/>
      <c r="E178" s="143"/>
      <c r="F178" s="143"/>
    </row>
    <row r="179" ht="15.75" customHeight="1">
      <c r="D179" s="132"/>
      <c r="E179" s="143"/>
      <c r="F179" s="143"/>
    </row>
    <row r="180" ht="15.75" customHeight="1">
      <c r="D180" s="132"/>
      <c r="E180" s="143"/>
      <c r="F180" s="143"/>
    </row>
    <row r="181" ht="15.75" customHeight="1">
      <c r="D181" s="132"/>
      <c r="E181" s="143"/>
      <c r="F181" s="143"/>
    </row>
    <row r="182" ht="15.75" customHeight="1">
      <c r="D182" s="132"/>
      <c r="E182" s="143"/>
      <c r="F182" s="143"/>
    </row>
    <row r="183" ht="15.75" customHeight="1">
      <c r="D183" s="132"/>
      <c r="E183" s="143"/>
      <c r="F183" s="143"/>
    </row>
    <row r="184" ht="15.75" customHeight="1">
      <c r="D184" s="132"/>
      <c r="E184" s="143"/>
      <c r="F184" s="143"/>
    </row>
    <row r="185" ht="15.75" customHeight="1">
      <c r="D185" s="132"/>
      <c r="E185" s="143"/>
      <c r="F185" s="143"/>
    </row>
    <row r="186" ht="15.75" customHeight="1">
      <c r="D186" s="132"/>
      <c r="E186" s="143"/>
      <c r="F186" s="143"/>
    </row>
    <row r="187" ht="15.75" customHeight="1">
      <c r="D187" s="132"/>
      <c r="E187" s="143"/>
      <c r="F187" s="143"/>
    </row>
    <row r="188" ht="15.75" customHeight="1">
      <c r="D188" s="132"/>
      <c r="E188" s="143"/>
      <c r="F188" s="143"/>
    </row>
    <row r="189" ht="15.75" customHeight="1">
      <c r="D189" s="132"/>
      <c r="E189" s="143"/>
      <c r="F189" s="143"/>
    </row>
    <row r="190" ht="15.75" customHeight="1">
      <c r="D190" s="132"/>
      <c r="E190" s="143"/>
      <c r="F190" s="143"/>
    </row>
    <row r="191" ht="15.75" customHeight="1">
      <c r="D191" s="132"/>
      <c r="E191" s="143"/>
      <c r="F191" s="143"/>
    </row>
    <row r="192" ht="15.75" customHeight="1">
      <c r="D192" s="132"/>
      <c r="E192" s="143"/>
      <c r="F192" s="143"/>
    </row>
    <row r="193" ht="15.75" customHeight="1">
      <c r="D193" s="132"/>
      <c r="E193" s="143"/>
      <c r="F193" s="143"/>
    </row>
    <row r="194" ht="15.75" customHeight="1">
      <c r="D194" s="132"/>
      <c r="E194" s="143"/>
      <c r="F194" s="143"/>
    </row>
    <row r="195" ht="15.75" customHeight="1">
      <c r="D195" s="132"/>
      <c r="E195" s="143"/>
      <c r="F195" s="143"/>
    </row>
    <row r="196" ht="15.75" customHeight="1">
      <c r="D196" s="132"/>
      <c r="E196" s="143"/>
      <c r="F196" s="143"/>
    </row>
    <row r="197" ht="15.75" customHeight="1">
      <c r="D197" s="132"/>
      <c r="E197" s="143"/>
      <c r="F197" s="143"/>
    </row>
    <row r="198" ht="15.75" customHeight="1">
      <c r="D198" s="132"/>
      <c r="E198" s="143"/>
      <c r="F198" s="143"/>
    </row>
    <row r="199" ht="15.75" customHeight="1">
      <c r="D199" s="132"/>
      <c r="E199" s="143"/>
      <c r="F199" s="143"/>
    </row>
    <row r="200" ht="15.75" customHeight="1">
      <c r="D200" s="132"/>
      <c r="E200" s="143"/>
      <c r="F200" s="143"/>
    </row>
    <row r="201" ht="15.75" customHeight="1">
      <c r="D201" s="132"/>
      <c r="E201" s="143"/>
      <c r="F201" s="143"/>
    </row>
    <row r="202" ht="15.75" customHeight="1">
      <c r="D202" s="132"/>
      <c r="E202" s="143"/>
      <c r="F202" s="143"/>
    </row>
    <row r="203" ht="15.75" customHeight="1">
      <c r="D203" s="132"/>
      <c r="E203" s="143"/>
      <c r="F203" s="143"/>
    </row>
    <row r="204" ht="15.75" customHeight="1">
      <c r="D204" s="132"/>
      <c r="E204" s="143"/>
      <c r="F204" s="143"/>
    </row>
    <row r="205" ht="15.75" customHeight="1">
      <c r="D205" s="132"/>
      <c r="E205" s="143"/>
      <c r="F205" s="143"/>
    </row>
    <row r="206" ht="15.75" customHeight="1">
      <c r="D206" s="132"/>
      <c r="E206" s="143"/>
      <c r="F206" s="143"/>
    </row>
    <row r="207" ht="15.75" customHeight="1">
      <c r="D207" s="132"/>
      <c r="E207" s="143"/>
      <c r="F207" s="143"/>
    </row>
    <row r="208" ht="15.75" customHeight="1">
      <c r="D208" s="132"/>
      <c r="E208" s="143"/>
      <c r="F208" s="143"/>
    </row>
    <row r="209" ht="15.75" customHeight="1">
      <c r="D209" s="132"/>
      <c r="E209" s="143"/>
      <c r="F209" s="143"/>
    </row>
    <row r="210" ht="15.75" customHeight="1">
      <c r="D210" s="132"/>
      <c r="E210" s="143"/>
      <c r="F210" s="143"/>
    </row>
    <row r="211" ht="15.75" customHeight="1">
      <c r="D211" s="132"/>
      <c r="E211" s="143"/>
      <c r="F211" s="143"/>
    </row>
    <row r="212" ht="15.75" customHeight="1">
      <c r="D212" s="132"/>
      <c r="E212" s="143"/>
      <c r="F212" s="143"/>
    </row>
    <row r="213" ht="15.75" customHeight="1">
      <c r="D213" s="132"/>
      <c r="E213" s="143"/>
      <c r="F213" s="143"/>
    </row>
    <row r="214" ht="15.75" customHeight="1">
      <c r="D214" s="132"/>
      <c r="E214" s="143"/>
      <c r="F214" s="143"/>
    </row>
    <row r="215" ht="15.75" customHeight="1">
      <c r="D215" s="132"/>
      <c r="E215" s="143"/>
      <c r="F215" s="143"/>
    </row>
    <row r="216" ht="15.75" customHeight="1">
      <c r="D216" s="132"/>
      <c r="E216" s="143"/>
      <c r="F216" s="143"/>
    </row>
    <row r="217" ht="15.75" customHeight="1">
      <c r="D217" s="132"/>
      <c r="E217" s="143"/>
      <c r="F217" s="143"/>
    </row>
    <row r="218" ht="15.75" customHeight="1">
      <c r="D218" s="132"/>
      <c r="E218" s="143"/>
      <c r="F218" s="143"/>
    </row>
    <row r="219" ht="15.75" customHeight="1">
      <c r="D219" s="132"/>
      <c r="E219" s="143"/>
      <c r="F219" s="143"/>
    </row>
    <row r="220" ht="15.75" customHeight="1">
      <c r="D220" s="132"/>
      <c r="E220" s="143"/>
      <c r="F220" s="143"/>
    </row>
    <row r="221" ht="15.75" customHeight="1">
      <c r="D221" s="132"/>
      <c r="E221" s="143"/>
      <c r="F221" s="143"/>
    </row>
    <row r="222" ht="15.75" customHeight="1">
      <c r="D222" s="132"/>
      <c r="E222" s="143"/>
      <c r="F222" s="143"/>
    </row>
    <row r="223" ht="15.75" customHeight="1">
      <c r="D223" s="132"/>
      <c r="E223" s="143"/>
      <c r="F223" s="143"/>
    </row>
    <row r="224" ht="15.75" customHeight="1">
      <c r="D224" s="132"/>
      <c r="E224" s="143"/>
      <c r="F224" s="143"/>
    </row>
    <row r="225" ht="15.75" customHeight="1">
      <c r="D225" s="132"/>
      <c r="E225" s="143"/>
      <c r="F225" s="143"/>
    </row>
    <row r="226" ht="15.75" customHeight="1">
      <c r="D226" s="132"/>
      <c r="E226" s="143"/>
      <c r="F226" s="143"/>
    </row>
    <row r="227" ht="15.75" customHeight="1">
      <c r="D227" s="132"/>
      <c r="E227" s="143"/>
      <c r="F227" s="143"/>
    </row>
    <row r="228" ht="15.75" customHeight="1">
      <c r="D228" s="132"/>
      <c r="E228" s="143"/>
      <c r="F228" s="143"/>
    </row>
    <row r="229" ht="15.75" customHeight="1">
      <c r="D229" s="132"/>
      <c r="E229" s="143"/>
      <c r="F229" s="143"/>
    </row>
    <row r="230" ht="15.75" customHeight="1">
      <c r="D230" s="132"/>
      <c r="E230" s="143"/>
      <c r="F230" s="143"/>
    </row>
    <row r="231" ht="15.75" customHeight="1">
      <c r="D231" s="132"/>
      <c r="E231" s="143"/>
      <c r="F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6" width="15.13"/>
  </cols>
  <sheetData>
    <row r="1" ht="15.75" customHeight="1">
      <c r="A1" s="125" t="s">
        <v>8</v>
      </c>
      <c r="B1" s="125" t="s">
        <v>9</v>
      </c>
      <c r="C1" s="125" t="s">
        <v>10</v>
      </c>
      <c r="D1" s="125" t="s">
        <v>11</v>
      </c>
      <c r="E1" s="125" t="s">
        <v>12</v>
      </c>
      <c r="F1" s="125" t="s">
        <v>13</v>
      </c>
      <c r="G1" s="125" t="s">
        <v>14</v>
      </c>
      <c r="H1" s="125" t="s">
        <v>15</v>
      </c>
    </row>
    <row r="2" ht="15.75" customHeight="1">
      <c r="A2" s="142">
        <f>VLOOKUP('Plan - NL'!I11,'2021 status'!$B$2:$F$30,5,FALSE)</f>
        <v>1</v>
      </c>
      <c r="B2" s="142" t="str">
        <f>VLOOKUP('Plan - NL'!J11,'2021 status'!$B$2:$F$30,5,FALSE)</f>
        <v>#N/A</v>
      </c>
      <c r="C2" s="142">
        <f>VLOOKUP('Plan - NL'!K11,'2021 status'!$B$2:$F$30,5,FALSE)</f>
        <v>1</v>
      </c>
      <c r="D2" s="142">
        <f>VLOOKUP('Plan - NL'!L11,'2021 status'!$B$2:$F$30,5,FALSE)</f>
        <v>1</v>
      </c>
      <c r="E2" s="142">
        <f>VLOOKUP('Plan - NL'!M11,'2021 status'!$B$2:$F$30,5,FALSE)</f>
        <v>1</v>
      </c>
      <c r="F2" s="142">
        <f>VLOOKUP('Plan - NL'!N11,'2021 status'!$B$2:$F$30,5,FALSE)</f>
        <v>2</v>
      </c>
      <c r="G2" s="142">
        <f>VLOOKUP('Plan - NL'!O11,'2021 status'!$B$2:$F$30,5,FALSE)</f>
        <v>2</v>
      </c>
      <c r="H2" s="142" t="str">
        <f>VLOOKUP('Plan - NL'!P11,'2021 status'!$B$2:$F$30,5,FALSE)</f>
        <v>#N/A</v>
      </c>
    </row>
    <row r="3" ht="15.75" customHeight="1">
      <c r="A3" s="142" t="str">
        <f>VLOOKUP(#REF!,'2021 status'!$B$2:$F$30,5,FALSE)</f>
        <v>#REF!</v>
      </c>
      <c r="B3" s="142" t="str">
        <f>VLOOKUP(#REF!,'2021 status'!$B$2:$F$30,5,FALSE)</f>
        <v>#REF!</v>
      </c>
      <c r="C3" s="142" t="str">
        <f>VLOOKUP(#REF!,'2021 status'!$B$2:$F$30,5,FALSE)</f>
        <v>#REF!</v>
      </c>
      <c r="D3" s="142" t="str">
        <f>VLOOKUP(#REF!,'2021 status'!$B$2:$F$30,5,FALSE)</f>
        <v>#REF!</v>
      </c>
      <c r="E3" s="142" t="str">
        <f>VLOOKUP(#REF!,'2021 status'!$B$2:$F$30,5,FALSE)</f>
        <v>#REF!</v>
      </c>
      <c r="F3" s="142" t="str">
        <f>VLOOKUP(#REF!,'2021 status'!$B$2:$F$30,5,FALSE)</f>
        <v>#REF!</v>
      </c>
      <c r="G3" s="142" t="str">
        <f>VLOOKUP(#REF!,'2021 status'!$B$2:$F$30,5,FALSE)</f>
        <v>#REF!</v>
      </c>
      <c r="H3" s="142" t="str">
        <f>VLOOKUP(#REF!,'2021 status'!$B$2:$F$30,5,FALSE)</f>
        <v>#REF!</v>
      </c>
    </row>
    <row r="4" ht="15.75" customHeight="1">
      <c r="A4" s="142" t="str">
        <f>VLOOKUP(#REF!,'2021 status'!$B$2:$F$30,5,FALSE)</f>
        <v>#REF!</v>
      </c>
      <c r="B4" s="142" t="str">
        <f>VLOOKUP(#REF!,'2021 status'!$B$2:$F$30,5,FALSE)</f>
        <v>#REF!</v>
      </c>
      <c r="C4" s="142" t="str">
        <f>VLOOKUP(#REF!,'2021 status'!$B$2:$F$30,5,FALSE)</f>
        <v>#REF!</v>
      </c>
      <c r="D4" s="142" t="str">
        <f>VLOOKUP(#REF!,'2021 status'!$B$2:$F$30,5,FALSE)</f>
        <v>#REF!</v>
      </c>
      <c r="E4" s="142" t="str">
        <f>VLOOKUP(#REF!,'2021 status'!$B$2:$F$30,5,FALSE)</f>
        <v>#REF!</v>
      </c>
      <c r="F4" s="142" t="str">
        <f>VLOOKUP(#REF!,'2021 status'!$B$2:$F$30,5,FALSE)</f>
        <v>#REF!</v>
      </c>
      <c r="G4" s="142" t="str">
        <f>VLOOKUP(#REF!,'2021 status'!$B$2:$F$30,5,FALSE)</f>
        <v>#REF!</v>
      </c>
      <c r="H4" s="142" t="str">
        <f>VLOOKUP(#REF!,'2021 status'!$B$2:$F$30,5,FALSE)</f>
        <v>#REF!</v>
      </c>
    </row>
    <row r="5" ht="15.75" customHeight="1">
      <c r="A5" s="142" t="str">
        <f>VLOOKUP(#REF!,'2021 status'!$B$2:$F$30,5,FALSE)</f>
        <v>#REF!</v>
      </c>
      <c r="B5" s="142" t="str">
        <f>VLOOKUP(#REF!,'2021 status'!$B$2:$F$30,5,FALSE)</f>
        <v>#REF!</v>
      </c>
      <c r="C5" s="142" t="str">
        <f>VLOOKUP(#REF!,'2021 status'!$B$2:$F$30,5,FALSE)</f>
        <v>#REF!</v>
      </c>
      <c r="D5" s="142" t="str">
        <f>VLOOKUP(#REF!,'2021 status'!$B$2:$F$30,5,FALSE)</f>
        <v>#REF!</v>
      </c>
      <c r="E5" s="142" t="str">
        <f>VLOOKUP(#REF!,'2021 status'!$B$2:$F$30,5,FALSE)</f>
        <v>#REF!</v>
      </c>
      <c r="F5" s="142" t="str">
        <f>VLOOKUP(#REF!,'2021 status'!$B$2:$F$30,5,FALSE)</f>
        <v>#REF!</v>
      </c>
      <c r="G5" s="142" t="str">
        <f>VLOOKUP(#REF!,'2021 status'!$B$2:$F$30,5,FALSE)</f>
        <v>#REF!</v>
      </c>
      <c r="H5" s="142" t="str">
        <f>VLOOKUP(#REF!,'2021 status'!$B$2:$F$30,5,FALSE)</f>
        <v>#REF!</v>
      </c>
    </row>
    <row r="6" ht="15.75" customHeight="1">
      <c r="A6" s="142">
        <f>VLOOKUP('Plan - NL'!I12,'2021 status'!$B$2:$F$30,5,FALSE)</f>
        <v>1</v>
      </c>
      <c r="B6" s="142">
        <f>VLOOKUP('Plan - NL'!J12,'2021 status'!$B$2:$F$30,5,FALSE)</f>
        <v>3</v>
      </c>
      <c r="C6" s="142">
        <f>VLOOKUP('Plan - NL'!K12,'2021 status'!$B$2:$F$30,5,FALSE)</f>
        <v>2</v>
      </c>
      <c r="D6" s="142" t="str">
        <f>VLOOKUP('Plan - NL'!L12,'2021 status'!$B$2:$F$30,5,FALSE)</f>
        <v>#N/A</v>
      </c>
      <c r="E6" s="142" t="str">
        <f>VLOOKUP('Plan - NL'!M12,'2021 status'!$B$2:$F$30,5,FALSE)</f>
        <v>#N/A</v>
      </c>
      <c r="F6" s="142">
        <f>VLOOKUP('Plan - NL'!N12,'2021 status'!$B$2:$F$30,5,FALSE)</f>
        <v>1</v>
      </c>
      <c r="G6" s="142" t="str">
        <f>VLOOKUP('Plan - NL'!O12,'2021 status'!$B$2:$F$30,5,FALSE)</f>
        <v>#N/A</v>
      </c>
      <c r="H6" s="142" t="str">
        <f>VLOOKUP('Plan - NL'!P12,'2021 status'!$B$2:$F$30,5,FALSE)</f>
        <v>#N/A</v>
      </c>
    </row>
    <row r="7" ht="15.75" customHeight="1">
      <c r="A7" s="142" t="str">
        <f>VLOOKUP(#REF!,'2021 status'!$B$2:$F$30,5,FALSE)</f>
        <v>#REF!</v>
      </c>
      <c r="B7" s="142" t="str">
        <f>VLOOKUP(#REF!,'2021 status'!$B$2:$F$30,5,FALSE)</f>
        <v>#REF!</v>
      </c>
      <c r="C7" s="142" t="str">
        <f>VLOOKUP(#REF!,'2021 status'!$B$2:$F$30,5,FALSE)</f>
        <v>#REF!</v>
      </c>
      <c r="D7" s="142" t="str">
        <f>VLOOKUP(#REF!,'2021 status'!$B$2:$F$30,5,FALSE)</f>
        <v>#REF!</v>
      </c>
      <c r="E7" s="142" t="str">
        <f>VLOOKUP(#REF!,'2021 status'!$B$2:$F$30,5,FALSE)</f>
        <v>#REF!</v>
      </c>
      <c r="F7" s="142" t="str">
        <f>VLOOKUP(#REF!,'2021 status'!$B$2:$F$30,5,FALSE)</f>
        <v>#REF!</v>
      </c>
      <c r="G7" s="142" t="str">
        <f>VLOOKUP(#REF!,'2021 status'!$B$2:$F$30,5,FALSE)</f>
        <v>#REF!</v>
      </c>
      <c r="H7" s="142" t="str">
        <f>VLOOKUP(#REF!,'2021 status'!$B$2:$F$30,5,FALSE)</f>
        <v>#REF!</v>
      </c>
    </row>
    <row r="8" ht="15.75" customHeight="1">
      <c r="A8" s="142" t="str">
        <f>VLOOKUP(#REF!,'2021 status'!$B$2:$F$30,5,FALSE)</f>
        <v>#REF!</v>
      </c>
      <c r="B8" s="142" t="str">
        <f>VLOOKUP(#REF!,'2021 status'!$B$2:$F$30,5,FALSE)</f>
        <v>#REF!</v>
      </c>
      <c r="C8" s="142" t="str">
        <f>VLOOKUP(#REF!,'2021 status'!$B$2:$F$30,5,FALSE)</f>
        <v>#REF!</v>
      </c>
      <c r="D8" s="142" t="str">
        <f>VLOOKUP(#REF!,'2021 status'!$B$2:$F$30,5,FALSE)</f>
        <v>#REF!</v>
      </c>
      <c r="E8" s="142" t="str">
        <f>VLOOKUP(#REF!,'2021 status'!$B$2:$F$30,5,FALSE)</f>
        <v>#REF!</v>
      </c>
      <c r="F8" s="142" t="str">
        <f>VLOOKUP(#REF!,'2021 status'!$B$2:$F$30,5,FALSE)</f>
        <v>#REF!</v>
      </c>
      <c r="G8" s="142" t="str">
        <f>VLOOKUP(#REF!,'2021 status'!$B$2:$F$30,5,FALSE)</f>
        <v>#REF!</v>
      </c>
      <c r="H8" s="142" t="str">
        <f>VLOOKUP(#REF!,'2021 status'!$B$2:$F$30,5,FALSE)</f>
        <v>#REF!</v>
      </c>
    </row>
    <row r="9" ht="15.75" customHeight="1">
      <c r="A9" s="142" t="str">
        <f>VLOOKUP(#REF!,'2021 status'!$B$2:$F$30,5,FALSE)</f>
        <v>#REF!</v>
      </c>
      <c r="B9" s="142" t="str">
        <f>VLOOKUP(#REF!,'2021 status'!$B$2:$F$30,5,FALSE)</f>
        <v>#REF!</v>
      </c>
      <c r="C9" s="142" t="str">
        <f>VLOOKUP(#REF!,'2021 status'!$B$2:$F$30,5,FALSE)</f>
        <v>#REF!</v>
      </c>
      <c r="D9" s="142" t="str">
        <f>VLOOKUP(#REF!,'2021 status'!$B$2:$F$30,5,FALSE)</f>
        <v>#REF!</v>
      </c>
      <c r="E9" s="142" t="str">
        <f>VLOOKUP(#REF!,'2021 status'!$B$2:$F$30,5,FALSE)</f>
        <v>#REF!</v>
      </c>
      <c r="F9" s="142" t="str">
        <f>VLOOKUP(#REF!,'2021 status'!$B$2:$F$30,5,FALSE)</f>
        <v>#REF!</v>
      </c>
      <c r="G9" s="142" t="str">
        <f>VLOOKUP(#REF!,'2021 status'!$B$2:$F$30,5,FALSE)</f>
        <v>#REF!</v>
      </c>
      <c r="H9" s="142" t="str">
        <f>VLOOKUP(#REF!,'2021 status'!$B$2:$F$30,5,FALSE)</f>
        <v>#REF!</v>
      </c>
    </row>
    <row r="10" ht="15.75" customHeight="1">
      <c r="A10" s="142" t="str">
        <f>VLOOKUP(#REF!,'2021 status'!$B$2:$F$30,5,FALSE)</f>
        <v>#REF!</v>
      </c>
      <c r="B10" s="142" t="str">
        <f>VLOOKUP(#REF!,'2021 status'!$B$2:$F$30,5,FALSE)</f>
        <v>#REF!</v>
      </c>
      <c r="C10" s="142" t="str">
        <f>VLOOKUP(#REF!,'2021 status'!$B$2:$F$30,5,FALSE)</f>
        <v>#REF!</v>
      </c>
      <c r="D10" s="142" t="str">
        <f>VLOOKUP(#REF!,'2021 status'!$B$2:$F$30,5,FALSE)</f>
        <v>#REF!</v>
      </c>
      <c r="E10" s="142" t="str">
        <f>VLOOKUP(#REF!,'2021 status'!$B$2:$F$30,5,FALSE)</f>
        <v>#REF!</v>
      </c>
      <c r="F10" s="142" t="str">
        <f>VLOOKUP(#REF!,'2021 status'!$B$2:$F$30,5,FALSE)</f>
        <v>#REF!</v>
      </c>
      <c r="G10" s="142" t="str">
        <f>VLOOKUP(#REF!,'2021 status'!$B$2:$F$30,5,FALSE)</f>
        <v>#REF!</v>
      </c>
      <c r="H10" s="142" t="str">
        <f>VLOOKUP(#REF!,'2021 status'!$B$2:$F$30,5,FALSE)</f>
        <v>#REF!</v>
      </c>
    </row>
    <row r="11" ht="15.75" customHeight="1">
      <c r="A11" s="142" t="str">
        <f>VLOOKUP(#REF!,'2021 status'!$B$2:$F$30,5,FALSE)</f>
        <v>#REF!</v>
      </c>
      <c r="B11" s="142" t="str">
        <f>VLOOKUP(#REF!,'2021 status'!$B$2:$F$30,5,FALSE)</f>
        <v>#REF!</v>
      </c>
      <c r="C11" s="142" t="str">
        <f>VLOOKUP(#REF!,'2021 status'!$B$2:$F$30,5,FALSE)</f>
        <v>#REF!</v>
      </c>
      <c r="D11" s="142" t="str">
        <f>VLOOKUP(#REF!,'2021 status'!$B$2:$F$30,5,FALSE)</f>
        <v>#REF!</v>
      </c>
      <c r="E11" s="142" t="str">
        <f>VLOOKUP(#REF!,'2021 status'!$B$2:$F$30,5,FALSE)</f>
        <v>#REF!</v>
      </c>
      <c r="F11" s="142" t="str">
        <f>VLOOKUP(#REF!,'2021 status'!$B$2:$F$30,5,FALSE)</f>
        <v>#REF!</v>
      </c>
      <c r="G11" s="142" t="str">
        <f>VLOOKUP(#REF!,'2021 status'!$B$2:$F$30,5,FALSE)</f>
        <v>#REF!</v>
      </c>
      <c r="H11" s="142" t="str">
        <f>VLOOKUP(#REF!,'2021 status'!$B$2:$F$30,5,FALSE)</f>
        <v>#REF!</v>
      </c>
    </row>
    <row r="12" ht="15.75" customHeight="1">
      <c r="A12" s="142">
        <f>VLOOKUP('Plan - NL'!I24,'2021 status'!$B$2:$F$30,5,FALSE)</f>
        <v>1</v>
      </c>
      <c r="B12" s="142">
        <f>VLOOKUP('Plan - NL'!J24,'2021 status'!$B$2:$F$30,5,FALSE)</f>
        <v>3</v>
      </c>
      <c r="C12" s="142">
        <f>VLOOKUP('Plan - NL'!K24,'2021 status'!$B$2:$F$30,5,FALSE)</f>
        <v>1</v>
      </c>
      <c r="D12" s="142">
        <f>VLOOKUP('Plan - NL'!L24,'2021 status'!$B$2:$F$30,5,FALSE)</f>
        <v>1</v>
      </c>
      <c r="E12" s="142" t="str">
        <f>VLOOKUP('Plan - NL'!M24,'2021 status'!$B$2:$F$30,5,FALSE)</f>
        <v>#N/A</v>
      </c>
      <c r="F12" s="142">
        <f>VLOOKUP('Plan - NL'!N24,'2021 status'!$B$2:$F$30,5,FALSE)</f>
        <v>1</v>
      </c>
      <c r="G12" s="142">
        <f>VLOOKUP('Plan - NL'!O24,'2021 status'!$B$2:$F$30,5,FALSE)</f>
        <v>3</v>
      </c>
      <c r="H12" s="142" t="str">
        <f>VLOOKUP('Plan - NL'!P24,'2021 status'!$B$2:$F$30,5,FALSE)</f>
        <v>#N/A</v>
      </c>
    </row>
    <row r="13" ht="15.75" customHeight="1">
      <c r="A13" s="142" t="str">
        <f>VLOOKUP(#REF!,'2021 status'!$B$2:$F$30,5,FALSE)</f>
        <v>#REF!</v>
      </c>
      <c r="B13" s="142" t="str">
        <f>VLOOKUP(#REF!,'2021 status'!$B$2:$F$30,5,FALSE)</f>
        <v>#REF!</v>
      </c>
      <c r="C13" s="142" t="str">
        <f>VLOOKUP(#REF!,'2021 status'!$B$2:$F$30,5,FALSE)</f>
        <v>#REF!</v>
      </c>
      <c r="D13" s="142" t="str">
        <f>VLOOKUP(#REF!,'2021 status'!$B$2:$F$30,5,FALSE)</f>
        <v>#REF!</v>
      </c>
      <c r="E13" s="142" t="str">
        <f>VLOOKUP(#REF!,'2021 status'!$B$2:$F$30,5,FALSE)</f>
        <v>#REF!</v>
      </c>
      <c r="F13" s="142" t="str">
        <f>VLOOKUP(#REF!,'2021 status'!$B$2:$F$30,5,FALSE)</f>
        <v>#REF!</v>
      </c>
      <c r="G13" s="142" t="str">
        <f>VLOOKUP(#REF!,'2021 status'!$B$2:$F$30,5,FALSE)</f>
        <v>#REF!</v>
      </c>
      <c r="H13" s="142" t="str">
        <f>VLOOKUP(#REF!,'2021 status'!$B$2:$F$30,5,FALSE)</f>
        <v>#REF!</v>
      </c>
    </row>
    <row r="14" ht="15.75" customHeight="1">
      <c r="A14" s="142" t="str">
        <f>VLOOKUP(#REF!,'2021 status'!$B$2:$F$30,5,FALSE)</f>
        <v>#REF!</v>
      </c>
      <c r="B14" s="142" t="str">
        <f>VLOOKUP(#REF!,'2021 status'!$B$2:$F$30,5,FALSE)</f>
        <v>#REF!</v>
      </c>
      <c r="C14" s="142" t="str">
        <f>VLOOKUP(#REF!,'2021 status'!$B$2:$F$30,5,FALSE)</f>
        <v>#REF!</v>
      </c>
      <c r="D14" s="142" t="str">
        <f>VLOOKUP(#REF!,'2021 status'!$B$2:$F$30,5,FALSE)</f>
        <v>#REF!</v>
      </c>
      <c r="E14" s="142" t="str">
        <f>VLOOKUP(#REF!,'2021 status'!$B$2:$F$30,5,FALSE)</f>
        <v>#REF!</v>
      </c>
      <c r="F14" s="142" t="str">
        <f>VLOOKUP(#REF!,'2021 status'!$B$2:$F$30,5,FALSE)</f>
        <v>#REF!</v>
      </c>
      <c r="G14" s="142" t="str">
        <f>VLOOKUP(#REF!,'2021 status'!$B$2:$F$30,5,FALSE)</f>
        <v>#REF!</v>
      </c>
      <c r="H14" s="142" t="str">
        <f>VLOOKUP(#REF!,'2021 status'!$B$2:$F$30,5,FALSE)</f>
        <v>#REF!</v>
      </c>
    </row>
    <row r="15" ht="15.75" customHeight="1">
      <c r="A15" s="142" t="str">
        <f>VLOOKUP(#REF!,'2021 status'!$B$2:$F$30,5,FALSE)</f>
        <v>#REF!</v>
      </c>
      <c r="B15" s="142" t="str">
        <f>VLOOKUP(#REF!,'2021 status'!$B$2:$F$30,5,FALSE)</f>
        <v>#REF!</v>
      </c>
      <c r="C15" s="142" t="str">
        <f>VLOOKUP(#REF!,'2021 status'!$B$2:$F$30,5,FALSE)</f>
        <v>#REF!</v>
      </c>
      <c r="D15" s="142" t="str">
        <f>VLOOKUP(#REF!,'2021 status'!$B$2:$F$30,5,FALSE)</f>
        <v>#REF!</v>
      </c>
      <c r="E15" s="142" t="str">
        <f>VLOOKUP(#REF!,'2021 status'!$B$2:$F$30,5,FALSE)</f>
        <v>#REF!</v>
      </c>
      <c r="F15" s="142" t="str">
        <f>VLOOKUP(#REF!,'2021 status'!$B$2:$F$30,5,FALSE)</f>
        <v>#REF!</v>
      </c>
      <c r="G15" s="142" t="str">
        <f>VLOOKUP(#REF!,'2021 status'!$B$2:$F$30,5,FALSE)</f>
        <v>#REF!</v>
      </c>
      <c r="H15" s="142" t="str">
        <f>VLOOKUP(#REF!,'2021 status'!$B$2:$F$30,5,FALSE)</f>
        <v>#REF!</v>
      </c>
    </row>
    <row r="16" ht="15.75" customHeight="1">
      <c r="A16" s="142" t="str">
        <f>VLOOKUP(#REF!,'2021 status'!$B$2:$F$30,5,FALSE)</f>
        <v>#REF!</v>
      </c>
      <c r="B16" s="142" t="str">
        <f>VLOOKUP(#REF!,'2021 status'!$B$2:$F$30,5,FALSE)</f>
        <v>#REF!</v>
      </c>
      <c r="C16" s="142" t="str">
        <f>VLOOKUP(#REF!,'2021 status'!$B$2:$F$30,5,FALSE)</f>
        <v>#REF!</v>
      </c>
      <c r="D16" s="142" t="str">
        <f>VLOOKUP(#REF!,'2021 status'!$B$2:$F$30,5,FALSE)</f>
        <v>#REF!</v>
      </c>
      <c r="E16" s="142" t="str">
        <f>VLOOKUP(#REF!,'2021 status'!$B$2:$F$30,5,FALSE)</f>
        <v>#REF!</v>
      </c>
      <c r="F16" s="142" t="str">
        <f>VLOOKUP(#REF!,'2021 status'!$B$2:$F$30,5,FALSE)</f>
        <v>#REF!</v>
      </c>
      <c r="G16" s="142" t="str">
        <f>VLOOKUP(#REF!,'2021 status'!$B$2:$F$30,5,FALSE)</f>
        <v>#REF!</v>
      </c>
      <c r="H16" s="142" t="str">
        <f>VLOOKUP(#REF!,'2021 status'!$B$2:$F$30,5,FALSE)</f>
        <v>#REF!</v>
      </c>
    </row>
    <row r="17" ht="15.75" customHeight="1">
      <c r="A17" s="142" t="str">
        <f>VLOOKUP(#REF!,'2021 status'!$B$2:$F$30,5,FALSE)</f>
        <v>#REF!</v>
      </c>
      <c r="B17" s="142" t="str">
        <f>VLOOKUP(#REF!,'2021 status'!$B$2:$F$30,5,FALSE)</f>
        <v>#REF!</v>
      </c>
      <c r="C17" s="142" t="str">
        <f>VLOOKUP(#REF!,'2021 status'!$B$2:$F$30,5,FALSE)</f>
        <v>#REF!</v>
      </c>
      <c r="D17" s="142" t="str">
        <f>VLOOKUP(#REF!,'2021 status'!$B$2:$F$30,5,FALSE)</f>
        <v>#REF!</v>
      </c>
      <c r="E17" s="142" t="str">
        <f>VLOOKUP(#REF!,'2021 status'!$B$2:$F$30,5,FALSE)</f>
        <v>#REF!</v>
      </c>
      <c r="F17" s="142" t="str">
        <f>VLOOKUP(#REF!,'2021 status'!$B$2:$F$30,5,FALSE)</f>
        <v>#REF!</v>
      </c>
      <c r="G17" s="142" t="str">
        <f>VLOOKUP(#REF!,'2021 status'!$B$2:$F$30,5,FALSE)</f>
        <v>#REF!</v>
      </c>
      <c r="H17" s="142" t="str">
        <f>VLOOKUP(#REF!,'2021 status'!$B$2:$F$30,5,FALSE)</f>
        <v>#REF!</v>
      </c>
    </row>
    <row r="18" ht="15.75" customHeight="1">
      <c r="A18" s="142" t="str">
        <f>VLOOKUP(#REF!,'2021 status'!$B$2:$F$30,5,FALSE)</f>
        <v>#REF!</v>
      </c>
      <c r="B18" s="142" t="str">
        <f>VLOOKUP(#REF!,'2021 status'!$B$2:$F$30,5,FALSE)</f>
        <v>#REF!</v>
      </c>
      <c r="C18" s="142" t="str">
        <f>VLOOKUP(#REF!,'2021 status'!$B$2:$F$30,5,FALSE)</f>
        <v>#REF!</v>
      </c>
      <c r="D18" s="142" t="str">
        <f>VLOOKUP(#REF!,'2021 status'!$B$2:$F$30,5,FALSE)</f>
        <v>#REF!</v>
      </c>
      <c r="E18" s="142" t="str">
        <f>VLOOKUP(#REF!,'2021 status'!$B$2:$F$30,5,FALSE)</f>
        <v>#REF!</v>
      </c>
      <c r="F18" s="142" t="str">
        <f>VLOOKUP(#REF!,'2021 status'!$B$2:$F$30,5,FALSE)</f>
        <v>#REF!</v>
      </c>
      <c r="G18" s="142" t="str">
        <f>VLOOKUP(#REF!,'2021 status'!$B$2:$F$30,5,FALSE)</f>
        <v>#REF!</v>
      </c>
      <c r="H18" s="142" t="str">
        <f>VLOOKUP(#REF!,'2021 status'!$B$2:$F$30,5,FALSE)</f>
        <v>#REF!</v>
      </c>
    </row>
    <row r="19" ht="15.75" customHeight="1">
      <c r="A19" s="142" t="str">
        <f>VLOOKUP('Plan - NL'!I28,'2021 status'!$B$2:$F$30,5,FALSE)</f>
        <v>#N/A</v>
      </c>
      <c r="B19" s="142">
        <f>VLOOKUP('Plan - NL'!J28,'2021 status'!$B$2:$F$30,5,FALSE)</f>
        <v>2</v>
      </c>
      <c r="C19" s="142">
        <f>VLOOKUP('Plan - NL'!K28,'2021 status'!$B$2:$F$30,5,FALSE)</f>
        <v>1</v>
      </c>
      <c r="D19" s="142" t="str">
        <f>VLOOKUP('Plan - NL'!L28,'2021 status'!$B$2:$F$30,5,FALSE)</f>
        <v>#N/A</v>
      </c>
      <c r="E19" s="142" t="str">
        <f>VLOOKUP('Plan - NL'!M28,'2021 status'!$B$2:$F$30,5,FALSE)</f>
        <v>#N/A</v>
      </c>
      <c r="F19" s="142">
        <f>VLOOKUP('Plan - NL'!N28,'2021 status'!$B$2:$F$30,5,FALSE)</f>
        <v>2</v>
      </c>
      <c r="G19" s="142">
        <f>VLOOKUP('Plan - NL'!O28,'2021 status'!$B$2:$F$30,5,FALSE)</f>
        <v>1</v>
      </c>
      <c r="H19" s="142" t="str">
        <f>VLOOKUP('Plan - NL'!P28,'2021 status'!$B$2:$F$30,5,FALSE)</f>
        <v>#N/A</v>
      </c>
    </row>
    <row r="20" ht="15.75" customHeight="1">
      <c r="A20" s="142" t="str">
        <f>VLOOKUP(#REF!,'2021 status'!$B$2:$F$30,5,FALSE)</f>
        <v>#REF!</v>
      </c>
      <c r="B20" s="142" t="str">
        <f>VLOOKUP(#REF!,'2021 status'!$B$2:$F$30,5,FALSE)</f>
        <v>#REF!</v>
      </c>
      <c r="C20" s="142" t="str">
        <f>VLOOKUP(#REF!,'2021 status'!$B$2:$F$30,5,FALSE)</f>
        <v>#REF!</v>
      </c>
      <c r="D20" s="142" t="str">
        <f>VLOOKUP(#REF!,'2021 status'!$B$2:$F$30,5,FALSE)</f>
        <v>#REF!</v>
      </c>
      <c r="E20" s="142" t="str">
        <f>VLOOKUP(#REF!,'2021 status'!$B$2:$F$30,5,FALSE)</f>
        <v>#REF!</v>
      </c>
      <c r="F20" s="142" t="str">
        <f>VLOOKUP(#REF!,'2021 status'!$B$2:$F$30,5,FALSE)</f>
        <v>#REF!</v>
      </c>
      <c r="G20" s="142" t="str">
        <f>VLOOKUP(#REF!,'2021 status'!$B$2:$F$30,5,FALSE)</f>
        <v>#REF!</v>
      </c>
      <c r="H20" s="142" t="str">
        <f>VLOOKUP(#REF!,'2021 status'!$B$2:$F$30,5,FALSE)</f>
        <v>#REF!</v>
      </c>
    </row>
    <row r="21" ht="15.75" customHeight="1">
      <c r="A21" s="142" t="str">
        <f>VLOOKUP(#REF!,'2021 status'!$B$2:$F$30,5,FALSE)</f>
        <v>#REF!</v>
      </c>
      <c r="B21" s="142" t="str">
        <f>VLOOKUP(#REF!,'2021 status'!$B$2:$F$30,5,FALSE)</f>
        <v>#REF!</v>
      </c>
      <c r="C21" s="142" t="str">
        <f>VLOOKUP(#REF!,'2021 status'!$B$2:$F$30,5,FALSE)</f>
        <v>#REF!</v>
      </c>
      <c r="D21" s="142" t="str">
        <f>VLOOKUP(#REF!,'2021 status'!$B$2:$F$30,5,FALSE)</f>
        <v>#REF!</v>
      </c>
      <c r="E21" s="142" t="str">
        <f>VLOOKUP(#REF!,'2021 status'!$B$2:$F$30,5,FALSE)</f>
        <v>#REF!</v>
      </c>
      <c r="F21" s="142" t="str">
        <f>VLOOKUP(#REF!,'2021 status'!$B$2:$F$30,5,FALSE)</f>
        <v>#REF!</v>
      </c>
      <c r="G21" s="142" t="str">
        <f>VLOOKUP(#REF!,'2021 status'!$B$2:$F$30,5,FALSE)</f>
        <v>#REF!</v>
      </c>
      <c r="H21" s="142" t="str">
        <f>VLOOKUP(#REF!,'2021 status'!$B$2:$F$30,5,FALSE)</f>
        <v>#REF!</v>
      </c>
    </row>
    <row r="22" ht="15.75" customHeight="1">
      <c r="A22" s="142" t="str">
        <f>VLOOKUP(#REF!,'2021 status'!$B$2:$F$30,5,FALSE)</f>
        <v>#REF!</v>
      </c>
      <c r="B22" s="142" t="str">
        <f>VLOOKUP(#REF!,'2021 status'!$B$2:$F$30,5,FALSE)</f>
        <v>#REF!</v>
      </c>
      <c r="C22" s="142" t="str">
        <f>VLOOKUP(#REF!,'2021 status'!$B$2:$F$30,5,FALSE)</f>
        <v>#REF!</v>
      </c>
      <c r="D22" s="142" t="str">
        <f>VLOOKUP(#REF!,'2021 status'!$B$2:$F$30,5,FALSE)</f>
        <v>#REF!</v>
      </c>
      <c r="E22" s="142" t="str">
        <f>VLOOKUP(#REF!,'2021 status'!$B$2:$F$30,5,FALSE)</f>
        <v>#REF!</v>
      </c>
      <c r="F22" s="142" t="str">
        <f>VLOOKUP(#REF!,'2021 status'!$B$2:$F$30,5,FALSE)</f>
        <v>#REF!</v>
      </c>
      <c r="G22" s="142" t="str">
        <f>VLOOKUP(#REF!,'2021 status'!$B$2:$F$30,5,FALSE)</f>
        <v>#REF!</v>
      </c>
      <c r="H22" s="142" t="str">
        <f>VLOOKUP(#REF!,'2021 status'!$B$2:$F$30,5,FALSE)</f>
        <v>#REF!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9.88"/>
    <col customWidth="1" min="3" max="3" width="15.13"/>
    <col customWidth="1" min="4" max="4" width="4.88"/>
    <col customWidth="1" min="5" max="26" width="15.13"/>
  </cols>
  <sheetData>
    <row r="1" ht="15.75" customHeight="1">
      <c r="A1" s="125" t="s">
        <v>362</v>
      </c>
      <c r="B1" s="125" t="s">
        <v>338</v>
      </c>
      <c r="C1" s="125" t="s">
        <v>339</v>
      </c>
      <c r="D1" s="143" t="s">
        <v>340</v>
      </c>
      <c r="E1" s="143" t="s">
        <v>341</v>
      </c>
      <c r="F1" s="143"/>
    </row>
    <row r="2" ht="15.75" customHeight="1">
      <c r="A2" s="125" t="s">
        <v>281</v>
      </c>
      <c r="B2" s="125" t="s">
        <v>344</v>
      </c>
      <c r="D2" s="143" t="s">
        <v>11</v>
      </c>
      <c r="E2" s="143">
        <v>3.0</v>
      </c>
      <c r="F2" s="227"/>
    </row>
    <row r="3" ht="15.75" customHeight="1">
      <c r="A3" s="125" t="s">
        <v>44</v>
      </c>
      <c r="B3" s="125" t="s">
        <v>344</v>
      </c>
      <c r="D3" s="143" t="s">
        <v>14</v>
      </c>
      <c r="E3" s="143">
        <v>3.0</v>
      </c>
      <c r="F3" s="227"/>
    </row>
    <row r="4" ht="15.75" customHeight="1">
      <c r="A4" s="125" t="s">
        <v>51</v>
      </c>
      <c r="B4" s="125" t="s">
        <v>344</v>
      </c>
      <c r="D4" s="143" t="s">
        <v>12</v>
      </c>
      <c r="E4" s="143">
        <v>2.0</v>
      </c>
      <c r="F4" s="227"/>
    </row>
    <row r="5" ht="15.75" customHeight="1">
      <c r="A5" s="125" t="s">
        <v>152</v>
      </c>
      <c r="B5" s="125" t="s">
        <v>344</v>
      </c>
      <c r="C5" s="125"/>
      <c r="D5" s="143" t="s">
        <v>12</v>
      </c>
      <c r="E5" s="143">
        <v>3.0</v>
      </c>
      <c r="F5" s="227"/>
    </row>
    <row r="6" ht="15.75" customHeight="1">
      <c r="A6" s="125" t="s">
        <v>192</v>
      </c>
      <c r="B6" s="125" t="s">
        <v>344</v>
      </c>
      <c r="C6" s="125" t="s">
        <v>363</v>
      </c>
      <c r="D6" s="143" t="s">
        <v>9</v>
      </c>
      <c r="E6" s="143">
        <v>1.0</v>
      </c>
      <c r="F6" s="227"/>
    </row>
    <row r="7" ht="15.75" customHeight="1">
      <c r="A7" s="125" t="s">
        <v>154</v>
      </c>
      <c r="B7" s="125" t="s">
        <v>344</v>
      </c>
      <c r="C7" s="125" t="s">
        <v>364</v>
      </c>
      <c r="D7" s="143" t="s">
        <v>12</v>
      </c>
      <c r="E7" s="143">
        <v>2.0</v>
      </c>
      <c r="F7" s="227"/>
    </row>
    <row r="8" ht="15.75" customHeight="1">
      <c r="A8" s="125" t="s">
        <v>73</v>
      </c>
      <c r="B8" s="125" t="s">
        <v>344</v>
      </c>
      <c r="C8" s="125" t="s">
        <v>365</v>
      </c>
      <c r="D8" s="143" t="s">
        <v>13</v>
      </c>
      <c r="E8" s="143">
        <v>2.0</v>
      </c>
      <c r="F8" s="227"/>
    </row>
    <row r="9" ht="15.75" customHeight="1">
      <c r="A9" s="125" t="s">
        <v>58</v>
      </c>
      <c r="B9" s="125" t="s">
        <v>344</v>
      </c>
      <c r="D9" s="143" t="s">
        <v>12</v>
      </c>
      <c r="E9" s="143">
        <v>1.0</v>
      </c>
      <c r="F9" s="227"/>
    </row>
    <row r="10" ht="15.75" customHeight="1">
      <c r="A10" s="125" t="s">
        <v>49</v>
      </c>
      <c r="B10" s="125" t="s">
        <v>344</v>
      </c>
      <c r="D10" s="143" t="s">
        <v>8</v>
      </c>
      <c r="E10" s="143">
        <v>1.0</v>
      </c>
      <c r="F10" s="227"/>
    </row>
    <row r="11" ht="15.75" customHeight="1">
      <c r="A11" s="125" t="s">
        <v>85</v>
      </c>
      <c r="B11" s="125" t="s">
        <v>344</v>
      </c>
      <c r="D11" s="143" t="s">
        <v>13</v>
      </c>
      <c r="E11" s="143">
        <v>1.0</v>
      </c>
      <c r="F11" s="227"/>
    </row>
    <row r="12" ht="15.75" customHeight="1">
      <c r="A12" s="125" t="s">
        <v>67</v>
      </c>
      <c r="B12" s="125" t="s">
        <v>344</v>
      </c>
      <c r="D12" s="143" t="s">
        <v>11</v>
      </c>
      <c r="E12" s="143">
        <v>1.0</v>
      </c>
      <c r="F12" s="227"/>
    </row>
    <row r="13" ht="15.75" customHeight="1">
      <c r="A13" s="125" t="s">
        <v>63</v>
      </c>
      <c r="B13" s="125" t="s">
        <v>344</v>
      </c>
      <c r="D13" s="143" t="s">
        <v>11</v>
      </c>
      <c r="E13" s="143">
        <v>2.0</v>
      </c>
      <c r="F13" s="227"/>
    </row>
    <row r="14" ht="15.75" customHeight="1">
      <c r="A14" s="125" t="s">
        <v>285</v>
      </c>
      <c r="B14" s="125" t="s">
        <v>260</v>
      </c>
      <c r="C14" s="125" t="s">
        <v>366</v>
      </c>
      <c r="D14" s="143" t="s">
        <v>9</v>
      </c>
      <c r="E14" s="143"/>
      <c r="F14" s="227"/>
    </row>
    <row r="15" ht="15.75" customHeight="1">
      <c r="A15" s="125" t="s">
        <v>66</v>
      </c>
      <c r="B15" s="125" t="s">
        <v>344</v>
      </c>
      <c r="D15" s="143" t="s">
        <v>13</v>
      </c>
      <c r="E15" s="143">
        <v>2.0</v>
      </c>
      <c r="F15" s="227"/>
    </row>
    <row r="16" ht="15.75" customHeight="1">
      <c r="A16" s="125" t="s">
        <v>80</v>
      </c>
      <c r="B16" s="125" t="s">
        <v>344</v>
      </c>
      <c r="D16" s="143" t="s">
        <v>13</v>
      </c>
      <c r="E16" s="143">
        <v>1.0</v>
      </c>
      <c r="F16" s="227"/>
    </row>
    <row r="17" ht="15.75" customHeight="1">
      <c r="A17" s="125" t="s">
        <v>180</v>
      </c>
      <c r="B17" s="125" t="s">
        <v>344</v>
      </c>
      <c r="D17" s="143" t="s">
        <v>10</v>
      </c>
      <c r="E17" s="143">
        <v>3.0</v>
      </c>
      <c r="F17" s="227"/>
    </row>
    <row r="18" ht="15.75" customHeight="1">
      <c r="A18" s="125" t="s">
        <v>201</v>
      </c>
      <c r="B18" s="125" t="s">
        <v>344</v>
      </c>
      <c r="D18" s="143" t="s">
        <v>12</v>
      </c>
      <c r="E18" s="143">
        <v>3.0</v>
      </c>
      <c r="F18" s="227"/>
    </row>
    <row r="19" ht="15.75" customHeight="1">
      <c r="A19" s="125" t="s">
        <v>84</v>
      </c>
      <c r="B19" s="125" t="s">
        <v>344</v>
      </c>
      <c r="D19" s="143" t="s">
        <v>11</v>
      </c>
      <c r="E19" s="143">
        <v>1.0</v>
      </c>
      <c r="F19" s="227"/>
    </row>
    <row r="20" ht="15.75" customHeight="1">
      <c r="A20" s="125" t="s">
        <v>64</v>
      </c>
      <c r="B20" s="125" t="s">
        <v>344</v>
      </c>
      <c r="D20" s="143" t="s">
        <v>8</v>
      </c>
      <c r="E20" s="143">
        <v>1.0</v>
      </c>
      <c r="F20" s="227"/>
    </row>
    <row r="21" ht="15.75" customHeight="1">
      <c r="A21" s="125" t="s">
        <v>147</v>
      </c>
      <c r="B21" s="125" t="s">
        <v>344</v>
      </c>
      <c r="D21" s="143" t="s">
        <v>14</v>
      </c>
      <c r="E21" s="143">
        <v>2.0</v>
      </c>
      <c r="F21" s="227"/>
    </row>
    <row r="22" ht="15.75" customHeight="1">
      <c r="A22" s="125" t="s">
        <v>43</v>
      </c>
      <c r="B22" s="125" t="s">
        <v>344</v>
      </c>
      <c r="D22" s="143" t="s">
        <v>11</v>
      </c>
      <c r="E22" s="143">
        <v>1.0</v>
      </c>
      <c r="F22" s="227"/>
    </row>
    <row r="23" ht="15.75" customHeight="1">
      <c r="A23" s="125" t="s">
        <v>145</v>
      </c>
      <c r="B23" s="125" t="s">
        <v>344</v>
      </c>
      <c r="D23" s="143" t="s">
        <v>14</v>
      </c>
      <c r="E23" s="143">
        <v>2.0</v>
      </c>
      <c r="F23" s="227"/>
    </row>
    <row r="24" ht="15.75" customHeight="1">
      <c r="A24" s="125" t="s">
        <v>194</v>
      </c>
      <c r="B24" s="125" t="s">
        <v>344</v>
      </c>
      <c r="C24" s="125" t="s">
        <v>367</v>
      </c>
      <c r="D24" s="143" t="s">
        <v>12</v>
      </c>
      <c r="E24" s="143">
        <v>2.0</v>
      </c>
      <c r="F24" s="227"/>
    </row>
    <row r="25" ht="15.75" customHeight="1">
      <c r="A25" s="125" t="s">
        <v>135</v>
      </c>
      <c r="B25" s="125" t="s">
        <v>344</v>
      </c>
      <c r="D25" s="143" t="s">
        <v>10</v>
      </c>
      <c r="E25" s="143">
        <v>1.0</v>
      </c>
      <c r="F25" s="227"/>
    </row>
    <row r="26" ht="15.75" customHeight="1">
      <c r="A26" s="125" t="s">
        <v>199</v>
      </c>
      <c r="B26" s="125" t="s">
        <v>344</v>
      </c>
      <c r="D26" s="143" t="s">
        <v>11</v>
      </c>
      <c r="E26" s="143">
        <v>3.0</v>
      </c>
      <c r="F26" s="227"/>
    </row>
    <row r="27" ht="15.75" customHeight="1">
      <c r="A27" s="125" t="s">
        <v>97</v>
      </c>
      <c r="B27" s="125" t="s">
        <v>344</v>
      </c>
      <c r="D27" s="143" t="s">
        <v>13</v>
      </c>
      <c r="E27" s="143">
        <v>3.0</v>
      </c>
      <c r="F27" s="227"/>
    </row>
    <row r="28" ht="15.75" customHeight="1">
      <c r="A28" s="125" t="s">
        <v>89</v>
      </c>
      <c r="B28" s="125" t="s">
        <v>344</v>
      </c>
      <c r="D28" s="143" t="s">
        <v>10</v>
      </c>
      <c r="E28" s="143">
        <v>1.0</v>
      </c>
      <c r="F28" s="227"/>
    </row>
    <row r="29" ht="15.75" customHeight="1">
      <c r="A29" s="125" t="s">
        <v>167</v>
      </c>
      <c r="B29" s="125" t="s">
        <v>342</v>
      </c>
      <c r="D29" s="143" t="s">
        <v>9</v>
      </c>
      <c r="E29" s="143"/>
      <c r="F29" s="227"/>
    </row>
    <row r="30" ht="15.75" customHeight="1">
      <c r="A30" s="125" t="s">
        <v>50</v>
      </c>
      <c r="B30" s="125" t="s">
        <v>344</v>
      </c>
      <c r="D30" s="143" t="s">
        <v>9</v>
      </c>
      <c r="E30" s="143">
        <v>2.0</v>
      </c>
      <c r="F30" s="227"/>
    </row>
    <row r="31" ht="15.75" customHeight="1">
      <c r="D31" s="143"/>
      <c r="E31" s="227"/>
    </row>
    <row r="32" ht="15.75" customHeight="1">
      <c r="D32" s="143"/>
      <c r="E32" s="227"/>
    </row>
    <row r="33" ht="15.75" customHeight="1">
      <c r="D33" s="143"/>
      <c r="E33" s="227"/>
    </row>
    <row r="34" ht="15.75" customHeight="1">
      <c r="D34" s="143"/>
      <c r="E34" s="227"/>
    </row>
    <row r="35" ht="15.75" customHeight="1">
      <c r="D35" s="143"/>
      <c r="E35" s="227"/>
    </row>
    <row r="36" ht="15.75" customHeight="1">
      <c r="D36" s="143"/>
      <c r="E36" s="227"/>
    </row>
    <row r="37" ht="15.75" customHeight="1">
      <c r="D37" s="143"/>
      <c r="E37" s="227"/>
    </row>
    <row r="38" ht="15.75" customHeight="1">
      <c r="D38" s="143"/>
      <c r="E38" s="227"/>
    </row>
    <row r="39" ht="15.75" customHeight="1">
      <c r="D39" s="143"/>
      <c r="E39" s="227"/>
    </row>
    <row r="40" ht="15.75" customHeight="1">
      <c r="D40" s="143"/>
      <c r="E40" s="227"/>
    </row>
    <row r="41" ht="15.75" customHeight="1">
      <c r="D41" s="143"/>
      <c r="E41" s="227"/>
    </row>
    <row r="42" ht="15.75" customHeight="1">
      <c r="D42" s="143"/>
      <c r="E42" s="227"/>
    </row>
    <row r="43" ht="15.75" customHeight="1">
      <c r="D43" s="143"/>
      <c r="E43" s="227"/>
    </row>
    <row r="44" ht="15.75" customHeight="1">
      <c r="D44" s="143"/>
      <c r="E44" s="227"/>
    </row>
    <row r="45" ht="15.75" customHeight="1">
      <c r="D45" s="143"/>
      <c r="E45" s="227"/>
    </row>
    <row r="46" ht="15.75" customHeight="1">
      <c r="D46" s="143"/>
      <c r="E46" s="227"/>
    </row>
    <row r="47" ht="15.75" customHeight="1">
      <c r="D47" s="143"/>
      <c r="E47" s="227"/>
    </row>
    <row r="48" ht="15.75" customHeight="1">
      <c r="D48" s="143"/>
      <c r="E48" s="227"/>
    </row>
    <row r="49" ht="15.75" customHeight="1">
      <c r="D49" s="143"/>
      <c r="E49" s="227"/>
    </row>
    <row r="50" ht="15.75" customHeight="1">
      <c r="D50" s="143"/>
      <c r="E50" s="227"/>
    </row>
    <row r="51" ht="15.75" customHeight="1">
      <c r="D51" s="143"/>
      <c r="E51" s="227"/>
    </row>
    <row r="52" ht="15.75" customHeight="1">
      <c r="D52" s="143"/>
      <c r="E52" s="227"/>
    </row>
    <row r="53" ht="15.75" customHeight="1">
      <c r="D53" s="143"/>
      <c r="E53" s="227"/>
    </row>
    <row r="54" ht="15.75" customHeight="1">
      <c r="D54" s="143"/>
      <c r="E54" s="227"/>
    </row>
    <row r="55" ht="15.75" customHeight="1">
      <c r="D55" s="143"/>
      <c r="E55" s="227"/>
    </row>
    <row r="56" ht="15.75" customHeight="1">
      <c r="D56" s="143"/>
      <c r="E56" s="227"/>
    </row>
    <row r="57" ht="15.75" customHeight="1">
      <c r="D57" s="143"/>
      <c r="E57" s="227"/>
    </row>
    <row r="58" ht="15.75" customHeight="1">
      <c r="D58" s="143"/>
      <c r="E58" s="227"/>
    </row>
    <row r="59" ht="15.75" customHeight="1">
      <c r="D59" s="143"/>
      <c r="E59" s="227"/>
    </row>
    <row r="60" ht="15.75" customHeight="1">
      <c r="D60" s="143"/>
      <c r="E60" s="227"/>
    </row>
    <row r="61" ht="15.75" customHeight="1">
      <c r="D61" s="143"/>
      <c r="E61" s="143"/>
    </row>
    <row r="62" ht="15.75" customHeight="1">
      <c r="D62" s="143"/>
      <c r="E62" s="143"/>
    </row>
    <row r="63" ht="15.75" customHeight="1">
      <c r="D63" s="143"/>
      <c r="E63" s="143"/>
    </row>
    <row r="64" ht="15.75" customHeight="1">
      <c r="D64" s="143"/>
      <c r="E64" s="143"/>
    </row>
    <row r="65" ht="15.75" customHeight="1">
      <c r="D65" s="143"/>
      <c r="E65" s="143"/>
    </row>
    <row r="66" ht="15.75" customHeight="1">
      <c r="D66" s="143"/>
      <c r="E66" s="143"/>
    </row>
    <row r="67" ht="15.75" customHeight="1">
      <c r="D67" s="143"/>
      <c r="E67" s="143"/>
    </row>
    <row r="68" ht="15.75" customHeight="1">
      <c r="D68" s="143"/>
      <c r="E68" s="143"/>
    </row>
    <row r="69" ht="15.75" customHeight="1">
      <c r="D69" s="143"/>
      <c r="E69" s="143"/>
    </row>
    <row r="70" ht="15.75" customHeight="1">
      <c r="D70" s="143"/>
      <c r="E70" s="143"/>
    </row>
    <row r="71" ht="15.75" customHeight="1">
      <c r="D71" s="143"/>
      <c r="E71" s="143"/>
    </row>
    <row r="72" ht="15.75" customHeight="1">
      <c r="D72" s="143"/>
      <c r="E72" s="143"/>
    </row>
    <row r="73" ht="15.75" customHeight="1">
      <c r="D73" s="143"/>
      <c r="E73" s="143"/>
    </row>
    <row r="74" ht="15.75" customHeight="1">
      <c r="D74" s="143"/>
      <c r="E74" s="143"/>
    </row>
    <row r="75" ht="15.75" customHeight="1">
      <c r="D75" s="143"/>
      <c r="E75" s="143"/>
    </row>
    <row r="76" ht="15.75" customHeight="1">
      <c r="D76" s="143"/>
      <c r="E76" s="143"/>
    </row>
    <row r="77" ht="15.75" customHeight="1">
      <c r="D77" s="143"/>
      <c r="E77" s="143"/>
    </row>
    <row r="78" ht="15.75" customHeight="1">
      <c r="D78" s="143"/>
      <c r="E78" s="143"/>
    </row>
    <row r="79" ht="15.75" customHeight="1">
      <c r="D79" s="143"/>
      <c r="E79" s="143"/>
    </row>
    <row r="80" ht="15.75" customHeight="1">
      <c r="D80" s="143"/>
      <c r="E80" s="143"/>
    </row>
    <row r="81" ht="15.75" customHeight="1">
      <c r="D81" s="143"/>
      <c r="E81" s="143"/>
    </row>
    <row r="82" ht="15.75" customHeight="1">
      <c r="D82" s="143"/>
      <c r="E82" s="143"/>
    </row>
    <row r="83" ht="15.75" customHeight="1">
      <c r="D83" s="143"/>
      <c r="E83" s="143"/>
    </row>
    <row r="84" ht="15.75" customHeight="1">
      <c r="D84" s="143"/>
      <c r="E84" s="143"/>
    </row>
    <row r="85" ht="15.75" customHeight="1">
      <c r="D85" s="143"/>
      <c r="E85" s="143"/>
    </row>
    <row r="86" ht="15.75" customHeight="1">
      <c r="D86" s="143"/>
      <c r="E86" s="143"/>
    </row>
    <row r="87" ht="15.75" customHeight="1">
      <c r="D87" s="143"/>
      <c r="E87" s="143"/>
    </row>
    <row r="88" ht="15.75" customHeight="1">
      <c r="D88" s="143"/>
      <c r="E88" s="143"/>
    </row>
    <row r="89" ht="15.75" customHeight="1">
      <c r="D89" s="143"/>
      <c r="E89" s="143"/>
    </row>
    <row r="90" ht="15.75" customHeight="1">
      <c r="D90" s="143"/>
      <c r="E90" s="143"/>
    </row>
    <row r="91" ht="15.75" customHeight="1">
      <c r="D91" s="143"/>
      <c r="E91" s="143"/>
    </row>
    <row r="92" ht="15.75" customHeight="1">
      <c r="D92" s="143"/>
      <c r="E92" s="143"/>
    </row>
    <row r="93" ht="15.75" customHeight="1">
      <c r="D93" s="143"/>
      <c r="E93" s="143"/>
    </row>
    <row r="94" ht="15.75" customHeight="1">
      <c r="D94" s="143"/>
      <c r="E94" s="143"/>
    </row>
    <row r="95" ht="15.75" customHeight="1">
      <c r="D95" s="143"/>
      <c r="E95" s="143"/>
    </row>
    <row r="96" ht="15.75" customHeight="1">
      <c r="D96" s="143"/>
      <c r="E96" s="143"/>
    </row>
    <row r="97" ht="15.75" customHeight="1">
      <c r="D97" s="143"/>
      <c r="E97" s="143"/>
    </row>
    <row r="98" ht="15.75" customHeight="1">
      <c r="D98" s="143"/>
      <c r="E98" s="143"/>
    </row>
    <row r="99" ht="15.75" customHeight="1">
      <c r="D99" s="143"/>
      <c r="E99" s="143"/>
    </row>
    <row r="100" ht="15.75" customHeight="1">
      <c r="D100" s="143"/>
      <c r="E100" s="143"/>
    </row>
    <row r="101" ht="15.75" customHeight="1">
      <c r="D101" s="143"/>
      <c r="E101" s="143"/>
    </row>
    <row r="102" ht="15.75" customHeight="1">
      <c r="D102" s="143"/>
      <c r="E102" s="143"/>
    </row>
    <row r="103" ht="15.75" customHeight="1">
      <c r="D103" s="143"/>
      <c r="E103" s="143"/>
    </row>
    <row r="104" ht="15.75" customHeight="1">
      <c r="D104" s="143"/>
      <c r="E104" s="143"/>
    </row>
    <row r="105" ht="15.75" customHeight="1">
      <c r="D105" s="143"/>
      <c r="E105" s="143"/>
    </row>
    <row r="106" ht="15.75" customHeight="1">
      <c r="D106" s="143"/>
      <c r="E106" s="143"/>
    </row>
    <row r="107" ht="15.75" customHeight="1">
      <c r="D107" s="143"/>
      <c r="E107" s="143"/>
    </row>
    <row r="108" ht="15.75" customHeight="1">
      <c r="D108" s="143"/>
      <c r="E108" s="143"/>
    </row>
    <row r="109" ht="15.75" customHeight="1">
      <c r="D109" s="143"/>
      <c r="E109" s="143"/>
    </row>
    <row r="110" ht="15.75" customHeight="1">
      <c r="D110" s="143"/>
      <c r="E110" s="143"/>
    </row>
    <row r="111" ht="15.75" customHeight="1">
      <c r="D111" s="143"/>
      <c r="E111" s="143"/>
    </row>
    <row r="112" ht="15.75" customHeight="1">
      <c r="D112" s="143"/>
      <c r="E112" s="143"/>
    </row>
    <row r="113" ht="15.75" customHeight="1">
      <c r="D113" s="143"/>
      <c r="E113" s="143"/>
    </row>
    <row r="114" ht="15.75" customHeight="1">
      <c r="D114" s="143"/>
      <c r="E114" s="143"/>
    </row>
    <row r="115" ht="15.75" customHeight="1">
      <c r="D115" s="143"/>
      <c r="E115" s="143"/>
    </row>
    <row r="116" ht="15.75" customHeight="1">
      <c r="D116" s="143"/>
      <c r="E116" s="143"/>
    </row>
    <row r="117" ht="15.75" customHeight="1">
      <c r="D117" s="143"/>
      <c r="E117" s="143"/>
    </row>
    <row r="118" ht="15.75" customHeight="1">
      <c r="D118" s="143"/>
      <c r="E118" s="143"/>
    </row>
    <row r="119" ht="15.75" customHeight="1">
      <c r="D119" s="143"/>
      <c r="E119" s="143"/>
    </row>
    <row r="120" ht="15.75" customHeight="1">
      <c r="D120" s="143"/>
      <c r="E120" s="143"/>
    </row>
    <row r="121" ht="15.75" customHeight="1">
      <c r="D121" s="143"/>
      <c r="E121" s="143"/>
    </row>
    <row r="122" ht="15.75" customHeight="1">
      <c r="D122" s="143"/>
      <c r="E122" s="143"/>
    </row>
    <row r="123" ht="15.75" customHeight="1">
      <c r="D123" s="143"/>
      <c r="E123" s="143"/>
    </row>
    <row r="124" ht="15.75" customHeight="1">
      <c r="D124" s="143"/>
      <c r="E124" s="143"/>
    </row>
    <row r="125" ht="15.75" customHeight="1">
      <c r="D125" s="143"/>
      <c r="E125" s="143"/>
    </row>
    <row r="126" ht="15.75" customHeight="1">
      <c r="D126" s="143"/>
      <c r="E126" s="143"/>
    </row>
    <row r="127" ht="15.75" customHeight="1">
      <c r="D127" s="143"/>
      <c r="E127" s="143"/>
    </row>
    <row r="128" ht="15.75" customHeight="1">
      <c r="D128" s="143"/>
      <c r="E128" s="143"/>
    </row>
    <row r="129" ht="15.75" customHeight="1">
      <c r="D129" s="143"/>
      <c r="E129" s="143"/>
    </row>
    <row r="130" ht="15.75" customHeight="1">
      <c r="D130" s="143"/>
      <c r="E130" s="143"/>
    </row>
    <row r="131" ht="15.75" customHeight="1">
      <c r="D131" s="143"/>
      <c r="E131" s="143"/>
    </row>
    <row r="132" ht="15.75" customHeight="1">
      <c r="D132" s="143"/>
      <c r="E132" s="143"/>
    </row>
    <row r="133" ht="15.75" customHeight="1">
      <c r="D133" s="143"/>
      <c r="E133" s="143"/>
    </row>
    <row r="134" ht="15.75" customHeight="1">
      <c r="D134" s="143"/>
      <c r="E134" s="143"/>
    </row>
    <row r="135" ht="15.75" customHeight="1">
      <c r="D135" s="143"/>
      <c r="E135" s="143"/>
    </row>
    <row r="136" ht="15.75" customHeight="1">
      <c r="D136" s="143"/>
      <c r="E136" s="143"/>
    </row>
    <row r="137" ht="15.75" customHeight="1">
      <c r="D137" s="143"/>
      <c r="E137" s="143"/>
    </row>
    <row r="138" ht="15.75" customHeight="1">
      <c r="D138" s="143"/>
      <c r="E138" s="143"/>
    </row>
    <row r="139" ht="15.75" customHeight="1">
      <c r="D139" s="143"/>
      <c r="E139" s="143"/>
    </row>
    <row r="140" ht="15.75" customHeight="1">
      <c r="D140" s="143"/>
      <c r="E140" s="143"/>
    </row>
    <row r="141" ht="15.75" customHeight="1">
      <c r="D141" s="143"/>
      <c r="E141" s="143"/>
    </row>
    <row r="142" ht="15.75" customHeight="1">
      <c r="D142" s="143"/>
      <c r="E142" s="143"/>
    </row>
    <row r="143" ht="15.75" customHeight="1">
      <c r="D143" s="143"/>
      <c r="E143" s="143"/>
    </row>
    <row r="144" ht="15.75" customHeight="1">
      <c r="D144" s="143"/>
      <c r="E144" s="143"/>
    </row>
    <row r="145" ht="15.75" customHeight="1">
      <c r="D145" s="143"/>
      <c r="E145" s="143"/>
    </row>
    <row r="146" ht="15.75" customHeight="1">
      <c r="D146" s="143"/>
      <c r="E146" s="143"/>
    </row>
    <row r="147" ht="15.75" customHeight="1">
      <c r="D147" s="143"/>
      <c r="E147" s="143"/>
    </row>
    <row r="148" ht="15.75" customHeight="1">
      <c r="D148" s="143"/>
      <c r="E148" s="143"/>
    </row>
    <row r="149" ht="15.75" customHeight="1">
      <c r="D149" s="143"/>
      <c r="E149" s="143"/>
    </row>
    <row r="150" ht="15.75" customHeight="1">
      <c r="D150" s="143"/>
      <c r="E150" s="143"/>
    </row>
    <row r="151" ht="15.75" customHeight="1">
      <c r="D151" s="143"/>
      <c r="E151" s="143"/>
    </row>
    <row r="152" ht="15.75" customHeight="1">
      <c r="D152" s="143"/>
      <c r="E152" s="143"/>
    </row>
    <row r="153" ht="15.75" customHeight="1">
      <c r="D153" s="143"/>
      <c r="E153" s="143"/>
    </row>
    <row r="154" ht="15.75" customHeight="1">
      <c r="D154" s="143"/>
      <c r="E154" s="143"/>
    </row>
    <row r="155" ht="15.75" customHeight="1">
      <c r="D155" s="143"/>
      <c r="E155" s="143"/>
    </row>
    <row r="156" ht="15.75" customHeight="1">
      <c r="D156" s="143"/>
      <c r="E156" s="143"/>
    </row>
    <row r="157" ht="15.75" customHeight="1">
      <c r="D157" s="143"/>
      <c r="E157" s="143"/>
    </row>
    <row r="158" ht="15.75" customHeight="1">
      <c r="D158" s="143"/>
      <c r="E158" s="143"/>
    </row>
    <row r="159" ht="15.75" customHeight="1">
      <c r="D159" s="143"/>
      <c r="E159" s="143"/>
    </row>
    <row r="160" ht="15.75" customHeight="1">
      <c r="D160" s="143"/>
      <c r="E160" s="143"/>
    </row>
    <row r="161" ht="15.75" customHeight="1">
      <c r="D161" s="143"/>
      <c r="E161" s="143"/>
    </row>
    <row r="162" ht="15.75" customHeight="1">
      <c r="D162" s="143"/>
      <c r="E162" s="143"/>
    </row>
    <row r="163" ht="15.75" customHeight="1">
      <c r="D163" s="143"/>
      <c r="E163" s="143"/>
    </row>
    <row r="164" ht="15.75" customHeight="1">
      <c r="D164" s="143"/>
      <c r="E164" s="143"/>
    </row>
    <row r="165" ht="15.75" customHeight="1">
      <c r="D165" s="143"/>
      <c r="E165" s="143"/>
    </row>
    <row r="166" ht="15.75" customHeight="1">
      <c r="D166" s="143"/>
      <c r="E166" s="143"/>
    </row>
    <row r="167" ht="15.75" customHeight="1">
      <c r="D167" s="143"/>
      <c r="E167" s="143"/>
    </row>
    <row r="168" ht="15.75" customHeight="1">
      <c r="D168" s="143"/>
      <c r="E168" s="143"/>
    </row>
    <row r="169" ht="15.75" customHeight="1">
      <c r="D169" s="143"/>
      <c r="E169" s="143"/>
    </row>
    <row r="170" ht="15.75" customHeight="1">
      <c r="D170" s="143"/>
      <c r="E170" s="143"/>
    </row>
    <row r="171" ht="15.75" customHeight="1">
      <c r="D171" s="143"/>
      <c r="E171" s="143"/>
    </row>
    <row r="172" ht="15.75" customHeight="1">
      <c r="D172" s="143"/>
      <c r="E172" s="143"/>
    </row>
    <row r="173" ht="15.75" customHeight="1">
      <c r="D173" s="143"/>
      <c r="E173" s="143"/>
    </row>
    <row r="174" ht="15.75" customHeight="1">
      <c r="D174" s="143"/>
      <c r="E174" s="143"/>
    </row>
    <row r="175" ht="15.75" customHeight="1">
      <c r="D175" s="143"/>
      <c r="E175" s="143"/>
    </row>
    <row r="176" ht="15.75" customHeight="1">
      <c r="D176" s="143"/>
      <c r="E176" s="143"/>
    </row>
    <row r="177" ht="15.75" customHeight="1">
      <c r="D177" s="143"/>
      <c r="E177" s="143"/>
    </row>
    <row r="178" ht="15.75" customHeight="1">
      <c r="D178" s="143"/>
      <c r="E178" s="143"/>
    </row>
    <row r="179" ht="15.75" customHeight="1">
      <c r="D179" s="143"/>
      <c r="E179" s="143"/>
    </row>
    <row r="180" ht="15.75" customHeight="1">
      <c r="D180" s="143"/>
      <c r="E180" s="143"/>
    </row>
    <row r="181" ht="15.75" customHeight="1">
      <c r="D181" s="143"/>
      <c r="E181" s="143"/>
    </row>
    <row r="182" ht="15.75" customHeight="1">
      <c r="D182" s="143"/>
      <c r="E182" s="143"/>
    </row>
    <row r="183" ht="15.75" customHeight="1">
      <c r="D183" s="143"/>
      <c r="E183" s="143"/>
    </row>
    <row r="184" ht="15.75" customHeight="1">
      <c r="D184" s="143"/>
      <c r="E184" s="143"/>
    </row>
    <row r="185" ht="15.75" customHeight="1">
      <c r="D185" s="143"/>
      <c r="E185" s="143"/>
    </row>
    <row r="186" ht="15.75" customHeight="1">
      <c r="D186" s="143"/>
      <c r="E186" s="143"/>
    </row>
    <row r="187" ht="15.75" customHeight="1">
      <c r="D187" s="143"/>
      <c r="E187" s="143"/>
    </row>
    <row r="188" ht="15.75" customHeight="1">
      <c r="D188" s="143"/>
      <c r="E188" s="143"/>
    </row>
    <row r="189" ht="15.75" customHeight="1">
      <c r="D189" s="143"/>
      <c r="E189" s="143"/>
    </row>
    <row r="190" ht="15.75" customHeight="1">
      <c r="D190" s="143"/>
      <c r="E190" s="143"/>
    </row>
    <row r="191" ht="15.75" customHeight="1">
      <c r="D191" s="143"/>
      <c r="E191" s="143"/>
    </row>
    <row r="192" ht="15.75" customHeight="1">
      <c r="D192" s="143"/>
      <c r="E192" s="143"/>
    </row>
    <row r="193" ht="15.75" customHeight="1">
      <c r="D193" s="143"/>
      <c r="E193" s="143"/>
    </row>
    <row r="194" ht="15.75" customHeight="1">
      <c r="D194" s="143"/>
      <c r="E194" s="143"/>
    </row>
    <row r="195" ht="15.75" customHeight="1">
      <c r="D195" s="143"/>
      <c r="E195" s="143"/>
    </row>
    <row r="196" ht="15.75" customHeight="1">
      <c r="D196" s="143"/>
      <c r="E196" s="143"/>
    </row>
    <row r="197" ht="15.75" customHeight="1">
      <c r="D197" s="143"/>
      <c r="E197" s="143"/>
    </row>
    <row r="198" ht="15.75" customHeight="1">
      <c r="D198" s="143"/>
      <c r="E198" s="143"/>
    </row>
    <row r="199" ht="15.75" customHeight="1">
      <c r="D199" s="143"/>
      <c r="E199" s="143"/>
    </row>
    <row r="200" ht="15.75" customHeight="1">
      <c r="D200" s="143"/>
      <c r="E200" s="143"/>
    </row>
    <row r="201" ht="15.75" customHeight="1">
      <c r="D201" s="143"/>
      <c r="E201" s="143"/>
    </row>
    <row r="202" ht="15.75" customHeight="1">
      <c r="D202" s="143"/>
      <c r="E202" s="143"/>
    </row>
    <row r="203" ht="15.75" customHeight="1">
      <c r="D203" s="143"/>
      <c r="E203" s="143"/>
    </row>
    <row r="204" ht="15.75" customHeight="1">
      <c r="D204" s="143"/>
      <c r="E204" s="143"/>
    </row>
    <row r="205" ht="15.75" customHeight="1">
      <c r="D205" s="143"/>
      <c r="E205" s="143"/>
    </row>
    <row r="206" ht="15.75" customHeight="1">
      <c r="D206" s="143"/>
      <c r="E206" s="143"/>
    </row>
    <row r="207" ht="15.75" customHeight="1">
      <c r="D207" s="143"/>
      <c r="E207" s="143"/>
    </row>
    <row r="208" ht="15.75" customHeight="1">
      <c r="D208" s="143"/>
      <c r="E208" s="143"/>
    </row>
    <row r="209" ht="15.75" customHeight="1">
      <c r="D209" s="143"/>
      <c r="E209" s="143"/>
    </row>
    <row r="210" ht="15.75" customHeight="1">
      <c r="D210" s="143"/>
      <c r="E210" s="143"/>
    </row>
    <row r="211" ht="15.75" customHeight="1">
      <c r="D211" s="143"/>
      <c r="E211" s="143"/>
    </row>
    <row r="212" ht="15.75" customHeight="1">
      <c r="D212" s="143"/>
      <c r="E212" s="143"/>
    </row>
    <row r="213" ht="15.75" customHeight="1">
      <c r="D213" s="143"/>
      <c r="E213" s="143"/>
    </row>
    <row r="214" ht="15.75" customHeight="1">
      <c r="D214" s="143"/>
      <c r="E214" s="143"/>
    </row>
    <row r="215" ht="15.75" customHeight="1">
      <c r="D215" s="143"/>
      <c r="E215" s="143"/>
    </row>
    <row r="216" ht="15.75" customHeight="1">
      <c r="D216" s="143"/>
      <c r="E216" s="143"/>
    </row>
    <row r="217" ht="15.75" customHeight="1">
      <c r="D217" s="143"/>
      <c r="E217" s="143"/>
    </row>
    <row r="218" ht="15.75" customHeight="1">
      <c r="D218" s="143"/>
      <c r="E218" s="143"/>
    </row>
    <row r="219" ht="15.75" customHeight="1">
      <c r="D219" s="143"/>
      <c r="E219" s="143"/>
    </row>
    <row r="220" ht="15.75" customHeight="1">
      <c r="D220" s="143"/>
      <c r="E220" s="143"/>
    </row>
    <row r="221" ht="15.75" customHeight="1">
      <c r="D221" s="143"/>
      <c r="E221" s="143"/>
    </row>
    <row r="222" ht="15.75" customHeight="1">
      <c r="D222" s="143"/>
      <c r="E222" s="143"/>
    </row>
    <row r="223" ht="15.75" customHeight="1">
      <c r="D223" s="143"/>
      <c r="E223" s="143"/>
    </row>
    <row r="224" ht="15.75" customHeight="1">
      <c r="D224" s="143"/>
      <c r="E224" s="143"/>
    </row>
    <row r="225" ht="15.75" customHeight="1">
      <c r="D225" s="143"/>
      <c r="E225" s="143"/>
    </row>
    <row r="226" ht="15.75" customHeight="1">
      <c r="D226" s="143"/>
      <c r="E226" s="143"/>
    </row>
    <row r="227" ht="15.75" customHeight="1">
      <c r="D227" s="143"/>
      <c r="E227" s="143"/>
    </row>
    <row r="228" ht="15.75" customHeight="1">
      <c r="D228" s="143"/>
      <c r="E228" s="143"/>
    </row>
    <row r="229" ht="15.75" customHeight="1">
      <c r="D229" s="143"/>
      <c r="E229" s="143"/>
    </row>
    <row r="230" ht="15.75" customHeight="1">
      <c r="D230" s="143"/>
      <c r="E230" s="143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3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6" width="15.13"/>
  </cols>
  <sheetData>
    <row r="1" ht="15.75" customHeight="1">
      <c r="A1" s="125" t="s">
        <v>368</v>
      </c>
    </row>
    <row r="2" ht="15.75" customHeight="1">
      <c r="B2" s="125" t="s">
        <v>369</v>
      </c>
      <c r="C2" s="125" t="s">
        <v>370</v>
      </c>
    </row>
    <row r="3" ht="15.75" customHeight="1">
      <c r="A3" s="125" t="s">
        <v>371</v>
      </c>
      <c r="B3" s="125" t="s">
        <v>80</v>
      </c>
    </row>
    <row r="4" ht="15.75" customHeight="1">
      <c r="A4" s="125" t="s">
        <v>372</v>
      </c>
      <c r="B4" s="125" t="s">
        <v>67</v>
      </c>
      <c r="C4" s="125" t="s">
        <v>66</v>
      </c>
    </row>
    <row r="5" ht="15.75" customHeight="1">
      <c r="A5" s="125" t="s">
        <v>373</v>
      </c>
      <c r="B5" s="125" t="s">
        <v>190</v>
      </c>
      <c r="C5" s="125" t="s">
        <v>135</v>
      </c>
    </row>
    <row r="6" ht="15.75" customHeight="1">
      <c r="A6" s="125" t="s">
        <v>374</v>
      </c>
      <c r="B6" s="125" t="s">
        <v>84</v>
      </c>
      <c r="C6" s="125" t="s">
        <v>375</v>
      </c>
    </row>
    <row r="7" ht="15.75" customHeight="1">
      <c r="A7" s="125" t="s">
        <v>376</v>
      </c>
      <c r="B7" s="125" t="s">
        <v>135</v>
      </c>
      <c r="C7" s="125" t="s">
        <v>80</v>
      </c>
    </row>
    <row r="8" ht="15.75" customHeight="1">
      <c r="A8" s="125" t="s">
        <v>377</v>
      </c>
      <c r="B8" s="125" t="s">
        <v>58</v>
      </c>
    </row>
    <row r="9" ht="15.75" customHeight="1">
      <c r="A9" s="125" t="s">
        <v>378</v>
      </c>
      <c r="B9" s="125" t="s">
        <v>84</v>
      </c>
    </row>
    <row r="10" ht="15.75" customHeight="1">
      <c r="A10" s="125" t="s">
        <v>379</v>
      </c>
      <c r="B10" s="125" t="s">
        <v>84</v>
      </c>
    </row>
    <row r="11" ht="15.75" customHeight="1">
      <c r="A11" s="125" t="s">
        <v>380</v>
      </c>
      <c r="B11" s="125" t="s">
        <v>84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6" width="15.13"/>
  </cols>
  <sheetData>
    <row r="1" ht="15.75" customHeight="1">
      <c r="H1" s="125" t="s">
        <v>381</v>
      </c>
      <c r="I1" s="229" t="s">
        <v>382</v>
      </c>
      <c r="K1" s="125" t="s">
        <v>383</v>
      </c>
      <c r="L1" s="230" t="s">
        <v>382</v>
      </c>
      <c r="M1" s="231" t="s">
        <v>384</v>
      </c>
      <c r="N1" s="231" t="s">
        <v>385</v>
      </c>
      <c r="O1" s="231" t="s">
        <v>386</v>
      </c>
      <c r="P1" s="231" t="s">
        <v>387</v>
      </c>
      <c r="Q1" s="125" t="s">
        <v>388</v>
      </c>
      <c r="R1" s="125" t="s">
        <v>389</v>
      </c>
    </row>
    <row r="2" ht="15.75" customHeight="1">
      <c r="A2" s="142" t="str">
        <f t="shared" ref="A2:F2" si="1">#REF!</f>
        <v>#REF!</v>
      </c>
      <c r="B2" s="142" t="str">
        <f t="shared" si="1"/>
        <v>#REF!</v>
      </c>
      <c r="C2" s="142" t="str">
        <f t="shared" si="1"/>
        <v>#REF!</v>
      </c>
      <c r="D2" s="142" t="str">
        <f t="shared" si="1"/>
        <v>#REF!</v>
      </c>
      <c r="E2" s="232" t="str">
        <f t="shared" si="1"/>
        <v>#REF!</v>
      </c>
      <c r="F2" s="233" t="str">
        <f t="shared" si="1"/>
        <v>#REF!</v>
      </c>
      <c r="G2" s="142" t="str">
        <f t="shared" ref="G2:G48" si="3">C2&amp;" "&amp;B2</f>
        <v>#REF!</v>
      </c>
      <c r="H2" s="229" t="str">
        <f t="shared" ref="H2:H43" si="4">#REF!</f>
        <v>#REF!</v>
      </c>
      <c r="I2" s="229" t="str">
        <f t="shared" ref="I2:I48" si="5">AVERAGE(H$2:H$51)</f>
        <v>#REF!</v>
      </c>
      <c r="J2" s="234" t="str">
        <f t="shared" ref="J2:J43" si="6">#REF!</f>
        <v>#REF!</v>
      </c>
      <c r="K2" s="230" t="str">
        <f t="shared" ref="K2:K48" si="7">IF(DAY(J2)&gt;30,24+HOUR(J2)+MINUTE(J2)/60,HOUR(J2)+MINUTE(J2)/60)</f>
        <v>#REF!</v>
      </c>
      <c r="L2" s="230" t="str">
        <f t="shared" ref="L2:L48" si="8">AVERAGE(K$2:K$51)</f>
        <v>#REF!</v>
      </c>
      <c r="M2" s="125">
        <v>24.0</v>
      </c>
      <c r="N2" s="125">
        <v>36.0</v>
      </c>
      <c r="O2" s="235" t="str">
        <f t="shared" ref="O2:O43" si="9">#REF!</f>
        <v>#REF!</v>
      </c>
      <c r="P2" s="235" t="str">
        <f t="shared" ref="P2:P48" si="10">IF(O2&gt;0,O2-E2,"")</f>
        <v>#REF!</v>
      </c>
      <c r="Q2" s="230" t="str">
        <f t="shared" ref="Q2:Q48" si="11">HOUR(P2)+MINUTE(P2)/60</f>
        <v>#REF!</v>
      </c>
      <c r="R2" s="142" t="str">
        <f t="shared" ref="R2:R48" si="12">HOUR("02.23.00")+MINUTE("02.23.00")/60</f>
        <v>#VALUE!</v>
      </c>
      <c r="S2" s="142" t="str">
        <f>AVERAGE(Q2:Q61)</f>
        <v>#REF!</v>
      </c>
      <c r="T2" s="142" t="str">
        <f t="shared" ref="T2:T48" si="13">O2-E2</f>
        <v>#REF!</v>
      </c>
      <c r="U2" s="230" t="str">
        <f t="shared" ref="U2:U48" si="14">IF(DAY(T2)&gt;30,24+HOUR(T2)+MINUTE(T2)/60,HOUR(T2)+MINUTE(T2)/60)</f>
        <v>#REF!</v>
      </c>
    </row>
    <row r="3" ht="15.75" customHeight="1">
      <c r="A3" s="142" t="str">
        <f t="shared" ref="A3:F3" si="2">#REF!</f>
        <v>#REF!</v>
      </c>
      <c r="B3" s="142" t="str">
        <f t="shared" si="2"/>
        <v>#REF!</v>
      </c>
      <c r="C3" s="142" t="str">
        <f t="shared" si="2"/>
        <v>#REF!</v>
      </c>
      <c r="D3" s="142" t="str">
        <f t="shared" si="2"/>
        <v>#REF!</v>
      </c>
      <c r="E3" s="232" t="str">
        <f t="shared" si="2"/>
        <v>#REF!</v>
      </c>
      <c r="F3" s="233" t="str">
        <f t="shared" si="2"/>
        <v>#REF!</v>
      </c>
      <c r="G3" s="142" t="str">
        <f t="shared" si="3"/>
        <v>#REF!</v>
      </c>
      <c r="H3" s="229" t="str">
        <f t="shared" si="4"/>
        <v>#REF!</v>
      </c>
      <c r="I3" s="229" t="str">
        <f t="shared" si="5"/>
        <v>#REF!</v>
      </c>
      <c r="J3" s="234" t="str">
        <f t="shared" si="6"/>
        <v>#REF!</v>
      </c>
      <c r="K3" s="230" t="str">
        <f t="shared" si="7"/>
        <v>#REF!</v>
      </c>
      <c r="L3" s="230" t="str">
        <f t="shared" si="8"/>
        <v>#REF!</v>
      </c>
      <c r="M3" s="125">
        <v>24.0</v>
      </c>
      <c r="N3" s="125">
        <v>36.0</v>
      </c>
      <c r="O3" s="235" t="str">
        <f t="shared" si="9"/>
        <v>#REF!</v>
      </c>
      <c r="P3" s="235" t="str">
        <f t="shared" si="10"/>
        <v>#REF!</v>
      </c>
      <c r="Q3" s="230" t="str">
        <f t="shared" si="11"/>
        <v>#REF!</v>
      </c>
      <c r="R3" s="142" t="str">
        <f t="shared" si="12"/>
        <v>#VALUE!</v>
      </c>
      <c r="T3" s="142" t="str">
        <f t="shared" si="13"/>
        <v>#REF!</v>
      </c>
      <c r="U3" s="230" t="str">
        <f t="shared" si="14"/>
        <v>#REF!</v>
      </c>
    </row>
    <row r="4" ht="15.75" customHeight="1">
      <c r="A4" s="142" t="str">
        <f t="shared" ref="A4:F4" si="15">#REF!</f>
        <v>#REF!</v>
      </c>
      <c r="B4" s="142" t="str">
        <f t="shared" si="15"/>
        <v>#REF!</v>
      </c>
      <c r="C4" s="142" t="str">
        <f t="shared" si="15"/>
        <v>#REF!</v>
      </c>
      <c r="D4" s="142" t="str">
        <f t="shared" si="15"/>
        <v>#REF!</v>
      </c>
      <c r="E4" s="232" t="str">
        <f t="shared" si="15"/>
        <v>#REF!</v>
      </c>
      <c r="F4" s="233" t="str">
        <f t="shared" si="15"/>
        <v>#REF!</v>
      </c>
      <c r="G4" s="142" t="str">
        <f t="shared" si="3"/>
        <v>#REF!</v>
      </c>
      <c r="H4" s="229" t="str">
        <f t="shared" si="4"/>
        <v>#REF!</v>
      </c>
      <c r="I4" s="229" t="str">
        <f t="shared" si="5"/>
        <v>#REF!</v>
      </c>
      <c r="J4" s="234" t="str">
        <f t="shared" si="6"/>
        <v>#REF!</v>
      </c>
      <c r="K4" s="230" t="str">
        <f t="shared" si="7"/>
        <v>#REF!</v>
      </c>
      <c r="L4" s="230" t="str">
        <f t="shared" si="8"/>
        <v>#REF!</v>
      </c>
      <c r="M4" s="125">
        <v>24.0</v>
      </c>
      <c r="N4" s="125">
        <v>36.0</v>
      </c>
      <c r="O4" s="235" t="str">
        <f t="shared" si="9"/>
        <v>#REF!</v>
      </c>
      <c r="P4" s="235" t="str">
        <f t="shared" si="10"/>
        <v>#REF!</v>
      </c>
      <c r="Q4" s="230" t="str">
        <f t="shared" si="11"/>
        <v>#REF!</v>
      </c>
      <c r="R4" s="142" t="str">
        <f t="shared" si="12"/>
        <v>#VALUE!</v>
      </c>
      <c r="T4" s="142" t="str">
        <f t="shared" si="13"/>
        <v>#REF!</v>
      </c>
      <c r="U4" s="230" t="str">
        <f t="shared" si="14"/>
        <v>#REF!</v>
      </c>
    </row>
    <row r="5" ht="15.75" customHeight="1">
      <c r="A5" s="142" t="str">
        <f t="shared" ref="A5:F5" si="16">#REF!</f>
        <v>#REF!</v>
      </c>
      <c r="B5" s="142" t="str">
        <f t="shared" si="16"/>
        <v>#REF!</v>
      </c>
      <c r="C5" s="142" t="str">
        <f t="shared" si="16"/>
        <v>#REF!</v>
      </c>
      <c r="D5" s="142" t="str">
        <f t="shared" si="16"/>
        <v>#REF!</v>
      </c>
      <c r="E5" s="232" t="str">
        <f t="shared" si="16"/>
        <v>#REF!</v>
      </c>
      <c r="F5" s="233" t="str">
        <f t="shared" si="16"/>
        <v>#REF!</v>
      </c>
      <c r="G5" s="142" t="str">
        <f t="shared" si="3"/>
        <v>#REF!</v>
      </c>
      <c r="H5" s="229" t="str">
        <f t="shared" si="4"/>
        <v>#REF!</v>
      </c>
      <c r="I5" s="229" t="str">
        <f t="shared" si="5"/>
        <v>#REF!</v>
      </c>
      <c r="J5" s="234" t="str">
        <f t="shared" si="6"/>
        <v>#REF!</v>
      </c>
      <c r="K5" s="230" t="str">
        <f t="shared" si="7"/>
        <v>#REF!</v>
      </c>
      <c r="L5" s="230" t="str">
        <f t="shared" si="8"/>
        <v>#REF!</v>
      </c>
      <c r="M5" s="125">
        <v>24.0</v>
      </c>
      <c r="N5" s="125">
        <v>36.0</v>
      </c>
      <c r="O5" s="235" t="str">
        <f t="shared" si="9"/>
        <v>#REF!</v>
      </c>
      <c r="P5" s="235" t="str">
        <f t="shared" si="10"/>
        <v>#REF!</v>
      </c>
      <c r="Q5" s="230" t="str">
        <f t="shared" si="11"/>
        <v>#REF!</v>
      </c>
      <c r="R5" s="142" t="str">
        <f t="shared" si="12"/>
        <v>#VALUE!</v>
      </c>
      <c r="T5" s="142" t="str">
        <f t="shared" si="13"/>
        <v>#REF!</v>
      </c>
      <c r="U5" s="230" t="str">
        <f t="shared" si="14"/>
        <v>#REF!</v>
      </c>
    </row>
    <row r="6" ht="15.75" customHeight="1">
      <c r="A6" s="142" t="str">
        <f t="shared" ref="A6:F6" si="17">#REF!</f>
        <v>#REF!</v>
      </c>
      <c r="B6" s="142" t="str">
        <f t="shared" si="17"/>
        <v>#REF!</v>
      </c>
      <c r="C6" s="142" t="str">
        <f t="shared" si="17"/>
        <v>#REF!</v>
      </c>
      <c r="D6" s="142" t="str">
        <f t="shared" si="17"/>
        <v>#REF!</v>
      </c>
      <c r="E6" s="232" t="str">
        <f t="shared" si="17"/>
        <v>#REF!</v>
      </c>
      <c r="F6" s="233" t="str">
        <f t="shared" si="17"/>
        <v>#REF!</v>
      </c>
      <c r="G6" s="142" t="str">
        <f t="shared" si="3"/>
        <v>#REF!</v>
      </c>
      <c r="H6" s="229" t="str">
        <f t="shared" si="4"/>
        <v>#REF!</v>
      </c>
      <c r="I6" s="229" t="str">
        <f t="shared" si="5"/>
        <v>#REF!</v>
      </c>
      <c r="J6" s="234" t="str">
        <f t="shared" si="6"/>
        <v>#REF!</v>
      </c>
      <c r="K6" s="230" t="str">
        <f t="shared" si="7"/>
        <v>#REF!</v>
      </c>
      <c r="L6" s="230" t="str">
        <f t="shared" si="8"/>
        <v>#REF!</v>
      </c>
      <c r="M6" s="125">
        <v>24.0</v>
      </c>
      <c r="N6" s="125">
        <v>36.0</v>
      </c>
      <c r="O6" s="235" t="str">
        <f t="shared" si="9"/>
        <v>#REF!</v>
      </c>
      <c r="P6" s="235" t="str">
        <f t="shared" si="10"/>
        <v>#REF!</v>
      </c>
      <c r="Q6" s="230" t="str">
        <f t="shared" si="11"/>
        <v>#REF!</v>
      </c>
      <c r="R6" s="142" t="str">
        <f t="shared" si="12"/>
        <v>#VALUE!</v>
      </c>
      <c r="T6" s="142" t="str">
        <f t="shared" si="13"/>
        <v>#REF!</v>
      </c>
      <c r="U6" s="230" t="str">
        <f t="shared" si="14"/>
        <v>#REF!</v>
      </c>
    </row>
    <row r="7" ht="15.75" customHeight="1">
      <c r="A7" s="142" t="str">
        <f t="shared" ref="A7:F7" si="18">#REF!</f>
        <v>#REF!</v>
      </c>
      <c r="B7" s="142" t="str">
        <f t="shared" si="18"/>
        <v>#REF!</v>
      </c>
      <c r="C7" s="142" t="str">
        <f t="shared" si="18"/>
        <v>#REF!</v>
      </c>
      <c r="D7" s="142" t="str">
        <f t="shared" si="18"/>
        <v>#REF!</v>
      </c>
      <c r="E7" s="232" t="str">
        <f t="shared" si="18"/>
        <v>#REF!</v>
      </c>
      <c r="F7" s="233" t="str">
        <f t="shared" si="18"/>
        <v>#REF!</v>
      </c>
      <c r="G7" s="142" t="str">
        <f t="shared" si="3"/>
        <v>#REF!</v>
      </c>
      <c r="H7" s="229" t="str">
        <f t="shared" si="4"/>
        <v>#REF!</v>
      </c>
      <c r="I7" s="229" t="str">
        <f t="shared" si="5"/>
        <v>#REF!</v>
      </c>
      <c r="J7" s="234" t="str">
        <f t="shared" si="6"/>
        <v>#REF!</v>
      </c>
      <c r="K7" s="230" t="str">
        <f t="shared" si="7"/>
        <v>#REF!</v>
      </c>
      <c r="L7" s="230" t="str">
        <f t="shared" si="8"/>
        <v>#REF!</v>
      </c>
      <c r="M7" s="125">
        <v>24.0</v>
      </c>
      <c r="N7" s="125">
        <v>36.0</v>
      </c>
      <c r="O7" s="235" t="str">
        <f t="shared" si="9"/>
        <v>#REF!</v>
      </c>
      <c r="P7" s="235" t="str">
        <f t="shared" si="10"/>
        <v>#REF!</v>
      </c>
      <c r="Q7" s="230" t="str">
        <f t="shared" si="11"/>
        <v>#REF!</v>
      </c>
      <c r="R7" s="142" t="str">
        <f t="shared" si="12"/>
        <v>#VALUE!</v>
      </c>
      <c r="T7" s="142" t="str">
        <f t="shared" si="13"/>
        <v>#REF!</v>
      </c>
      <c r="U7" s="230" t="str">
        <f t="shared" si="14"/>
        <v>#REF!</v>
      </c>
    </row>
    <row r="8" ht="15.75" customHeight="1">
      <c r="A8" s="142" t="str">
        <f t="shared" ref="A8:F8" si="19">#REF!</f>
        <v>#REF!</v>
      </c>
      <c r="B8" s="142" t="str">
        <f t="shared" si="19"/>
        <v>#REF!</v>
      </c>
      <c r="C8" s="142" t="str">
        <f t="shared" si="19"/>
        <v>#REF!</v>
      </c>
      <c r="D8" s="142" t="str">
        <f t="shared" si="19"/>
        <v>#REF!</v>
      </c>
      <c r="E8" s="232" t="str">
        <f t="shared" si="19"/>
        <v>#REF!</v>
      </c>
      <c r="F8" s="233" t="str">
        <f t="shared" si="19"/>
        <v>#REF!</v>
      </c>
      <c r="G8" s="142" t="str">
        <f t="shared" si="3"/>
        <v>#REF!</v>
      </c>
      <c r="H8" s="229" t="str">
        <f t="shared" si="4"/>
        <v>#REF!</v>
      </c>
      <c r="I8" s="229" t="str">
        <f t="shared" si="5"/>
        <v>#REF!</v>
      </c>
      <c r="J8" s="234" t="str">
        <f t="shared" si="6"/>
        <v>#REF!</v>
      </c>
      <c r="K8" s="230" t="str">
        <f t="shared" si="7"/>
        <v>#REF!</v>
      </c>
      <c r="L8" s="230" t="str">
        <f t="shared" si="8"/>
        <v>#REF!</v>
      </c>
      <c r="M8" s="125">
        <v>24.0</v>
      </c>
      <c r="N8" s="125">
        <v>36.0</v>
      </c>
      <c r="O8" s="235" t="str">
        <f t="shared" si="9"/>
        <v>#REF!</v>
      </c>
      <c r="P8" s="235" t="str">
        <f t="shared" si="10"/>
        <v>#REF!</v>
      </c>
      <c r="Q8" s="230" t="str">
        <f t="shared" si="11"/>
        <v>#REF!</v>
      </c>
      <c r="R8" s="142" t="str">
        <f t="shared" si="12"/>
        <v>#VALUE!</v>
      </c>
      <c r="T8" s="142" t="str">
        <f t="shared" si="13"/>
        <v>#REF!</v>
      </c>
      <c r="U8" s="230" t="str">
        <f t="shared" si="14"/>
        <v>#REF!</v>
      </c>
    </row>
    <row r="9" ht="15.75" customHeight="1">
      <c r="A9" s="142" t="str">
        <f t="shared" ref="A9:F9" si="20">#REF!</f>
        <v>#REF!</v>
      </c>
      <c r="B9" s="142" t="str">
        <f t="shared" si="20"/>
        <v>#REF!</v>
      </c>
      <c r="C9" s="142" t="str">
        <f t="shared" si="20"/>
        <v>#REF!</v>
      </c>
      <c r="D9" s="142" t="str">
        <f t="shared" si="20"/>
        <v>#REF!</v>
      </c>
      <c r="E9" s="232" t="str">
        <f t="shared" si="20"/>
        <v>#REF!</v>
      </c>
      <c r="F9" s="233" t="str">
        <f t="shared" si="20"/>
        <v>#REF!</v>
      </c>
      <c r="G9" s="142" t="str">
        <f t="shared" si="3"/>
        <v>#REF!</v>
      </c>
      <c r="H9" s="229" t="str">
        <f t="shared" si="4"/>
        <v>#REF!</v>
      </c>
      <c r="I9" s="229" t="str">
        <f t="shared" si="5"/>
        <v>#REF!</v>
      </c>
      <c r="J9" s="234" t="str">
        <f t="shared" si="6"/>
        <v>#REF!</v>
      </c>
      <c r="K9" s="230" t="str">
        <f t="shared" si="7"/>
        <v>#REF!</v>
      </c>
      <c r="L9" s="230" t="str">
        <f t="shared" si="8"/>
        <v>#REF!</v>
      </c>
      <c r="M9" s="125">
        <v>24.0</v>
      </c>
      <c r="N9" s="125">
        <v>36.0</v>
      </c>
      <c r="O9" s="235" t="str">
        <f t="shared" si="9"/>
        <v>#REF!</v>
      </c>
      <c r="P9" s="235" t="str">
        <f t="shared" si="10"/>
        <v>#REF!</v>
      </c>
      <c r="Q9" s="230" t="str">
        <f t="shared" si="11"/>
        <v>#REF!</v>
      </c>
      <c r="R9" s="142" t="str">
        <f t="shared" si="12"/>
        <v>#VALUE!</v>
      </c>
      <c r="T9" s="142" t="str">
        <f t="shared" si="13"/>
        <v>#REF!</v>
      </c>
      <c r="U9" s="230" t="str">
        <f t="shared" si="14"/>
        <v>#REF!</v>
      </c>
    </row>
    <row r="10" ht="15.75" customHeight="1">
      <c r="A10" s="142" t="str">
        <f t="shared" ref="A10:F10" si="21">#REF!</f>
        <v>#REF!</v>
      </c>
      <c r="B10" s="142" t="str">
        <f t="shared" si="21"/>
        <v>#REF!</v>
      </c>
      <c r="C10" s="142" t="str">
        <f t="shared" si="21"/>
        <v>#REF!</v>
      </c>
      <c r="D10" s="142" t="str">
        <f t="shared" si="21"/>
        <v>#REF!</v>
      </c>
      <c r="E10" s="232" t="str">
        <f t="shared" si="21"/>
        <v>#REF!</v>
      </c>
      <c r="F10" s="233" t="str">
        <f t="shared" si="21"/>
        <v>#REF!</v>
      </c>
      <c r="G10" s="142" t="str">
        <f t="shared" si="3"/>
        <v>#REF!</v>
      </c>
      <c r="H10" s="229" t="str">
        <f t="shared" si="4"/>
        <v>#REF!</v>
      </c>
      <c r="I10" s="229" t="str">
        <f t="shared" si="5"/>
        <v>#REF!</v>
      </c>
      <c r="J10" s="234" t="str">
        <f t="shared" si="6"/>
        <v>#REF!</v>
      </c>
      <c r="K10" s="230" t="str">
        <f t="shared" si="7"/>
        <v>#REF!</v>
      </c>
      <c r="L10" s="230" t="str">
        <f t="shared" si="8"/>
        <v>#REF!</v>
      </c>
      <c r="M10" s="125">
        <v>24.0</v>
      </c>
      <c r="N10" s="125">
        <v>36.0</v>
      </c>
      <c r="O10" s="235" t="str">
        <f t="shared" si="9"/>
        <v>#REF!</v>
      </c>
      <c r="P10" s="235" t="str">
        <f t="shared" si="10"/>
        <v>#REF!</v>
      </c>
      <c r="Q10" s="230" t="str">
        <f t="shared" si="11"/>
        <v>#REF!</v>
      </c>
      <c r="R10" s="142" t="str">
        <f t="shared" si="12"/>
        <v>#VALUE!</v>
      </c>
      <c r="T10" s="142" t="str">
        <f t="shared" si="13"/>
        <v>#REF!</v>
      </c>
      <c r="U10" s="230" t="str">
        <f t="shared" si="14"/>
        <v>#REF!</v>
      </c>
    </row>
    <row r="11" ht="15.75" customHeight="1">
      <c r="A11" s="142" t="str">
        <f t="shared" ref="A11:F11" si="22">#REF!</f>
        <v>#REF!</v>
      </c>
      <c r="B11" s="142" t="str">
        <f t="shared" si="22"/>
        <v>#REF!</v>
      </c>
      <c r="C11" s="142" t="str">
        <f t="shared" si="22"/>
        <v>#REF!</v>
      </c>
      <c r="D11" s="142" t="str">
        <f t="shared" si="22"/>
        <v>#REF!</v>
      </c>
      <c r="E11" s="232" t="str">
        <f t="shared" si="22"/>
        <v>#REF!</v>
      </c>
      <c r="F11" s="233" t="str">
        <f t="shared" si="22"/>
        <v>#REF!</v>
      </c>
      <c r="G11" s="142" t="str">
        <f t="shared" si="3"/>
        <v>#REF!</v>
      </c>
      <c r="H11" s="229" t="str">
        <f t="shared" si="4"/>
        <v>#REF!</v>
      </c>
      <c r="I11" s="229" t="str">
        <f t="shared" si="5"/>
        <v>#REF!</v>
      </c>
      <c r="J11" s="234" t="str">
        <f t="shared" si="6"/>
        <v>#REF!</v>
      </c>
      <c r="K11" s="230" t="str">
        <f t="shared" si="7"/>
        <v>#REF!</v>
      </c>
      <c r="L11" s="230" t="str">
        <f t="shared" si="8"/>
        <v>#REF!</v>
      </c>
      <c r="M11" s="125">
        <v>24.0</v>
      </c>
      <c r="N11" s="125">
        <v>36.0</v>
      </c>
      <c r="O11" s="235" t="str">
        <f t="shared" si="9"/>
        <v>#REF!</v>
      </c>
      <c r="P11" s="235" t="str">
        <f t="shared" si="10"/>
        <v>#REF!</v>
      </c>
      <c r="Q11" s="230" t="str">
        <f t="shared" si="11"/>
        <v>#REF!</v>
      </c>
      <c r="R11" s="142" t="str">
        <f t="shared" si="12"/>
        <v>#VALUE!</v>
      </c>
      <c r="T11" s="142" t="str">
        <f t="shared" si="13"/>
        <v>#REF!</v>
      </c>
      <c r="U11" s="230" t="str">
        <f t="shared" si="14"/>
        <v>#REF!</v>
      </c>
    </row>
    <row r="12" ht="15.75" customHeight="1">
      <c r="A12" s="142" t="str">
        <f t="shared" ref="A12:F12" si="23">#REF!</f>
        <v>#REF!</v>
      </c>
      <c r="B12" s="142" t="str">
        <f t="shared" si="23"/>
        <v>#REF!</v>
      </c>
      <c r="C12" s="142" t="str">
        <f t="shared" si="23"/>
        <v>#REF!</v>
      </c>
      <c r="D12" s="142" t="str">
        <f t="shared" si="23"/>
        <v>#REF!</v>
      </c>
      <c r="E12" s="232" t="str">
        <f t="shared" si="23"/>
        <v>#REF!</v>
      </c>
      <c r="F12" s="233" t="str">
        <f t="shared" si="23"/>
        <v>#REF!</v>
      </c>
      <c r="G12" s="142" t="str">
        <f t="shared" si="3"/>
        <v>#REF!</v>
      </c>
      <c r="H12" s="229" t="str">
        <f t="shared" si="4"/>
        <v>#REF!</v>
      </c>
      <c r="I12" s="229" t="str">
        <f t="shared" si="5"/>
        <v>#REF!</v>
      </c>
      <c r="J12" s="234" t="str">
        <f t="shared" si="6"/>
        <v>#REF!</v>
      </c>
      <c r="K12" s="230" t="str">
        <f t="shared" si="7"/>
        <v>#REF!</v>
      </c>
      <c r="L12" s="230" t="str">
        <f t="shared" si="8"/>
        <v>#REF!</v>
      </c>
      <c r="M12" s="125">
        <v>24.0</v>
      </c>
      <c r="N12" s="125">
        <v>36.0</v>
      </c>
      <c r="O12" s="235" t="str">
        <f t="shared" si="9"/>
        <v>#REF!</v>
      </c>
      <c r="P12" s="235" t="str">
        <f t="shared" si="10"/>
        <v>#REF!</v>
      </c>
      <c r="Q12" s="230" t="str">
        <f t="shared" si="11"/>
        <v>#REF!</v>
      </c>
      <c r="R12" s="142" t="str">
        <f t="shared" si="12"/>
        <v>#VALUE!</v>
      </c>
      <c r="T12" s="142" t="str">
        <f t="shared" si="13"/>
        <v>#REF!</v>
      </c>
      <c r="U12" s="230" t="str">
        <f t="shared" si="14"/>
        <v>#REF!</v>
      </c>
    </row>
    <row r="13" ht="15.75" customHeight="1">
      <c r="A13" s="142" t="str">
        <f t="shared" ref="A13:F13" si="24">#REF!</f>
        <v>#REF!</v>
      </c>
      <c r="B13" s="142" t="str">
        <f t="shared" si="24"/>
        <v>#REF!</v>
      </c>
      <c r="C13" s="142" t="str">
        <f t="shared" si="24"/>
        <v>#REF!</v>
      </c>
      <c r="D13" s="142" t="str">
        <f t="shared" si="24"/>
        <v>#REF!</v>
      </c>
      <c r="E13" s="232" t="str">
        <f t="shared" si="24"/>
        <v>#REF!</v>
      </c>
      <c r="F13" s="233" t="str">
        <f t="shared" si="24"/>
        <v>#REF!</v>
      </c>
      <c r="G13" s="142" t="str">
        <f t="shared" si="3"/>
        <v>#REF!</v>
      </c>
      <c r="H13" s="229" t="str">
        <f t="shared" si="4"/>
        <v>#REF!</v>
      </c>
      <c r="I13" s="229" t="str">
        <f t="shared" si="5"/>
        <v>#REF!</v>
      </c>
      <c r="J13" s="234" t="str">
        <f t="shared" si="6"/>
        <v>#REF!</v>
      </c>
      <c r="K13" s="230" t="str">
        <f t="shared" si="7"/>
        <v>#REF!</v>
      </c>
      <c r="L13" s="230" t="str">
        <f t="shared" si="8"/>
        <v>#REF!</v>
      </c>
      <c r="M13" s="125">
        <v>24.0</v>
      </c>
      <c r="N13" s="125">
        <v>36.0</v>
      </c>
      <c r="O13" s="235" t="str">
        <f t="shared" si="9"/>
        <v>#REF!</v>
      </c>
      <c r="P13" s="235" t="str">
        <f t="shared" si="10"/>
        <v>#REF!</v>
      </c>
      <c r="Q13" s="230" t="str">
        <f t="shared" si="11"/>
        <v>#REF!</v>
      </c>
      <c r="R13" s="142" t="str">
        <f t="shared" si="12"/>
        <v>#VALUE!</v>
      </c>
      <c r="T13" s="142" t="str">
        <f t="shared" si="13"/>
        <v>#REF!</v>
      </c>
      <c r="U13" s="230" t="str">
        <f t="shared" si="14"/>
        <v>#REF!</v>
      </c>
    </row>
    <row r="14" ht="15.75" customHeight="1">
      <c r="A14" s="142" t="str">
        <f t="shared" ref="A14:F14" si="25">#REF!</f>
        <v>#REF!</v>
      </c>
      <c r="B14" s="142" t="str">
        <f t="shared" si="25"/>
        <v>#REF!</v>
      </c>
      <c r="C14" s="142" t="str">
        <f t="shared" si="25"/>
        <v>#REF!</v>
      </c>
      <c r="D14" s="142" t="str">
        <f t="shared" si="25"/>
        <v>#REF!</v>
      </c>
      <c r="E14" s="232" t="str">
        <f t="shared" si="25"/>
        <v>#REF!</v>
      </c>
      <c r="F14" s="233" t="str">
        <f t="shared" si="25"/>
        <v>#REF!</v>
      </c>
      <c r="G14" s="142" t="str">
        <f t="shared" si="3"/>
        <v>#REF!</v>
      </c>
      <c r="H14" s="229" t="str">
        <f t="shared" si="4"/>
        <v>#REF!</v>
      </c>
      <c r="I14" s="229" t="str">
        <f t="shared" si="5"/>
        <v>#REF!</v>
      </c>
      <c r="J14" s="234" t="str">
        <f t="shared" si="6"/>
        <v>#REF!</v>
      </c>
      <c r="K14" s="230" t="str">
        <f t="shared" si="7"/>
        <v>#REF!</v>
      </c>
      <c r="L14" s="230" t="str">
        <f t="shared" si="8"/>
        <v>#REF!</v>
      </c>
      <c r="M14" s="125">
        <v>24.0</v>
      </c>
      <c r="N14" s="125">
        <v>36.0</v>
      </c>
      <c r="O14" s="235" t="str">
        <f t="shared" si="9"/>
        <v>#REF!</v>
      </c>
      <c r="P14" s="235" t="str">
        <f t="shared" si="10"/>
        <v>#REF!</v>
      </c>
      <c r="Q14" s="230" t="str">
        <f t="shared" si="11"/>
        <v>#REF!</v>
      </c>
      <c r="R14" s="142" t="str">
        <f t="shared" si="12"/>
        <v>#VALUE!</v>
      </c>
      <c r="T14" s="142" t="str">
        <f t="shared" si="13"/>
        <v>#REF!</v>
      </c>
      <c r="U14" s="230" t="str">
        <f t="shared" si="14"/>
        <v>#REF!</v>
      </c>
    </row>
    <row r="15" ht="15.75" customHeight="1">
      <c r="A15" s="142" t="str">
        <f t="shared" ref="A15:F15" si="26">#REF!</f>
        <v>#REF!</v>
      </c>
      <c r="B15" s="142" t="str">
        <f t="shared" si="26"/>
        <v>#REF!</v>
      </c>
      <c r="C15" s="142" t="str">
        <f t="shared" si="26"/>
        <v>#REF!</v>
      </c>
      <c r="D15" s="142" t="str">
        <f t="shared" si="26"/>
        <v>#REF!</v>
      </c>
      <c r="E15" s="232" t="str">
        <f t="shared" si="26"/>
        <v>#REF!</v>
      </c>
      <c r="F15" s="233" t="str">
        <f t="shared" si="26"/>
        <v>#REF!</v>
      </c>
      <c r="G15" s="142" t="str">
        <f t="shared" si="3"/>
        <v>#REF!</v>
      </c>
      <c r="H15" s="229" t="str">
        <f t="shared" si="4"/>
        <v>#REF!</v>
      </c>
      <c r="I15" s="229" t="str">
        <f t="shared" si="5"/>
        <v>#REF!</v>
      </c>
      <c r="J15" s="234" t="str">
        <f t="shared" si="6"/>
        <v>#REF!</v>
      </c>
      <c r="K15" s="230" t="str">
        <f t="shared" si="7"/>
        <v>#REF!</v>
      </c>
      <c r="L15" s="230" t="str">
        <f t="shared" si="8"/>
        <v>#REF!</v>
      </c>
      <c r="M15" s="125">
        <v>24.0</v>
      </c>
      <c r="N15" s="125">
        <v>36.0</v>
      </c>
      <c r="O15" s="235" t="str">
        <f t="shared" si="9"/>
        <v>#REF!</v>
      </c>
      <c r="P15" s="235" t="str">
        <f t="shared" si="10"/>
        <v>#REF!</v>
      </c>
      <c r="Q15" s="230" t="str">
        <f t="shared" si="11"/>
        <v>#REF!</v>
      </c>
      <c r="R15" s="142" t="str">
        <f t="shared" si="12"/>
        <v>#VALUE!</v>
      </c>
      <c r="T15" s="142" t="str">
        <f t="shared" si="13"/>
        <v>#REF!</v>
      </c>
      <c r="U15" s="230" t="str">
        <f t="shared" si="14"/>
        <v>#REF!</v>
      </c>
    </row>
    <row r="16" ht="15.75" customHeight="1">
      <c r="A16" s="142" t="str">
        <f t="shared" ref="A16:F16" si="27">#REF!</f>
        <v>#REF!</v>
      </c>
      <c r="B16" s="142" t="str">
        <f t="shared" si="27"/>
        <v>#REF!</v>
      </c>
      <c r="C16" s="142" t="str">
        <f t="shared" si="27"/>
        <v>#REF!</v>
      </c>
      <c r="D16" s="142" t="str">
        <f t="shared" si="27"/>
        <v>#REF!</v>
      </c>
      <c r="E16" s="232" t="str">
        <f t="shared" si="27"/>
        <v>#REF!</v>
      </c>
      <c r="F16" s="233" t="str">
        <f t="shared" si="27"/>
        <v>#REF!</v>
      </c>
      <c r="G16" s="142" t="str">
        <f t="shared" si="3"/>
        <v>#REF!</v>
      </c>
      <c r="H16" s="229" t="str">
        <f t="shared" si="4"/>
        <v>#REF!</v>
      </c>
      <c r="I16" s="229" t="str">
        <f t="shared" si="5"/>
        <v>#REF!</v>
      </c>
      <c r="J16" s="234" t="str">
        <f t="shared" si="6"/>
        <v>#REF!</v>
      </c>
      <c r="K16" s="230" t="str">
        <f t="shared" si="7"/>
        <v>#REF!</v>
      </c>
      <c r="L16" s="230" t="str">
        <f t="shared" si="8"/>
        <v>#REF!</v>
      </c>
      <c r="M16" s="125">
        <v>24.0</v>
      </c>
      <c r="N16" s="125">
        <v>36.0</v>
      </c>
      <c r="O16" s="235" t="str">
        <f t="shared" si="9"/>
        <v>#REF!</v>
      </c>
      <c r="P16" s="235" t="str">
        <f t="shared" si="10"/>
        <v>#REF!</v>
      </c>
      <c r="Q16" s="230" t="str">
        <f t="shared" si="11"/>
        <v>#REF!</v>
      </c>
      <c r="R16" s="142" t="str">
        <f t="shared" si="12"/>
        <v>#VALUE!</v>
      </c>
      <c r="T16" s="142" t="str">
        <f t="shared" si="13"/>
        <v>#REF!</v>
      </c>
      <c r="U16" s="230" t="str">
        <f t="shared" si="14"/>
        <v>#REF!</v>
      </c>
    </row>
    <row r="17" ht="15.75" customHeight="1">
      <c r="A17" s="142" t="str">
        <f t="shared" ref="A17:F17" si="28">#REF!</f>
        <v>#REF!</v>
      </c>
      <c r="B17" s="142" t="str">
        <f t="shared" si="28"/>
        <v>#REF!</v>
      </c>
      <c r="C17" s="142" t="str">
        <f t="shared" si="28"/>
        <v>#REF!</v>
      </c>
      <c r="D17" s="142" t="str">
        <f t="shared" si="28"/>
        <v>#REF!</v>
      </c>
      <c r="E17" s="232" t="str">
        <f t="shared" si="28"/>
        <v>#REF!</v>
      </c>
      <c r="F17" s="233" t="str">
        <f t="shared" si="28"/>
        <v>#REF!</v>
      </c>
      <c r="G17" s="142" t="str">
        <f t="shared" si="3"/>
        <v>#REF!</v>
      </c>
      <c r="H17" s="229" t="str">
        <f t="shared" si="4"/>
        <v>#REF!</v>
      </c>
      <c r="I17" s="229" t="str">
        <f t="shared" si="5"/>
        <v>#REF!</v>
      </c>
      <c r="J17" s="234" t="str">
        <f t="shared" si="6"/>
        <v>#REF!</v>
      </c>
      <c r="K17" s="230" t="str">
        <f t="shared" si="7"/>
        <v>#REF!</v>
      </c>
      <c r="L17" s="230" t="str">
        <f t="shared" si="8"/>
        <v>#REF!</v>
      </c>
      <c r="M17" s="125">
        <v>24.0</v>
      </c>
      <c r="N17" s="125">
        <v>36.0</v>
      </c>
      <c r="O17" s="235" t="str">
        <f t="shared" si="9"/>
        <v>#REF!</v>
      </c>
      <c r="P17" s="235" t="str">
        <f t="shared" si="10"/>
        <v>#REF!</v>
      </c>
      <c r="Q17" s="230" t="str">
        <f t="shared" si="11"/>
        <v>#REF!</v>
      </c>
      <c r="R17" s="142" t="str">
        <f t="shared" si="12"/>
        <v>#VALUE!</v>
      </c>
      <c r="T17" s="142" t="str">
        <f t="shared" si="13"/>
        <v>#REF!</v>
      </c>
      <c r="U17" s="230" t="str">
        <f t="shared" si="14"/>
        <v>#REF!</v>
      </c>
    </row>
    <row r="18" ht="15.75" customHeight="1">
      <c r="A18" s="142" t="str">
        <f t="shared" ref="A18:F18" si="29">#REF!</f>
        <v>#REF!</v>
      </c>
      <c r="B18" s="142" t="str">
        <f t="shared" si="29"/>
        <v>#REF!</v>
      </c>
      <c r="C18" s="142" t="str">
        <f t="shared" si="29"/>
        <v>#REF!</v>
      </c>
      <c r="D18" s="142" t="str">
        <f t="shared" si="29"/>
        <v>#REF!</v>
      </c>
      <c r="E18" s="232" t="str">
        <f t="shared" si="29"/>
        <v>#REF!</v>
      </c>
      <c r="F18" s="233" t="str">
        <f t="shared" si="29"/>
        <v>#REF!</v>
      </c>
      <c r="G18" s="142" t="str">
        <f t="shared" si="3"/>
        <v>#REF!</v>
      </c>
      <c r="H18" s="229" t="str">
        <f t="shared" si="4"/>
        <v>#REF!</v>
      </c>
      <c r="I18" s="229" t="str">
        <f t="shared" si="5"/>
        <v>#REF!</v>
      </c>
      <c r="J18" s="234" t="str">
        <f t="shared" si="6"/>
        <v>#REF!</v>
      </c>
      <c r="K18" s="230" t="str">
        <f t="shared" si="7"/>
        <v>#REF!</v>
      </c>
      <c r="L18" s="230" t="str">
        <f t="shared" si="8"/>
        <v>#REF!</v>
      </c>
      <c r="M18" s="125">
        <v>24.0</v>
      </c>
      <c r="N18" s="125">
        <v>36.0</v>
      </c>
      <c r="O18" s="235" t="str">
        <f t="shared" si="9"/>
        <v>#REF!</v>
      </c>
      <c r="P18" s="235" t="str">
        <f t="shared" si="10"/>
        <v>#REF!</v>
      </c>
      <c r="Q18" s="230" t="str">
        <f t="shared" si="11"/>
        <v>#REF!</v>
      </c>
      <c r="R18" s="142" t="str">
        <f t="shared" si="12"/>
        <v>#VALUE!</v>
      </c>
      <c r="T18" s="142" t="str">
        <f t="shared" si="13"/>
        <v>#REF!</v>
      </c>
      <c r="U18" s="230" t="str">
        <f t="shared" si="14"/>
        <v>#REF!</v>
      </c>
    </row>
    <row r="19" ht="15.75" customHeight="1">
      <c r="A19" s="142" t="str">
        <f t="shared" ref="A19:F19" si="30">#REF!</f>
        <v>#REF!</v>
      </c>
      <c r="B19" s="142" t="str">
        <f t="shared" si="30"/>
        <v>#REF!</v>
      </c>
      <c r="C19" s="142" t="str">
        <f t="shared" si="30"/>
        <v>#REF!</v>
      </c>
      <c r="D19" s="142" t="str">
        <f t="shared" si="30"/>
        <v>#REF!</v>
      </c>
      <c r="E19" s="232" t="str">
        <f t="shared" si="30"/>
        <v>#REF!</v>
      </c>
      <c r="F19" s="233" t="str">
        <f t="shared" si="30"/>
        <v>#REF!</v>
      </c>
      <c r="G19" s="142" t="str">
        <f t="shared" si="3"/>
        <v>#REF!</v>
      </c>
      <c r="H19" s="229" t="str">
        <f t="shared" si="4"/>
        <v>#REF!</v>
      </c>
      <c r="I19" s="229" t="str">
        <f t="shared" si="5"/>
        <v>#REF!</v>
      </c>
      <c r="J19" s="234" t="str">
        <f t="shared" si="6"/>
        <v>#REF!</v>
      </c>
      <c r="K19" s="230" t="str">
        <f t="shared" si="7"/>
        <v>#REF!</v>
      </c>
      <c r="L19" s="230" t="str">
        <f t="shared" si="8"/>
        <v>#REF!</v>
      </c>
      <c r="M19" s="125">
        <v>24.0</v>
      </c>
      <c r="N19" s="125">
        <v>36.0</v>
      </c>
      <c r="O19" s="235" t="str">
        <f t="shared" si="9"/>
        <v>#REF!</v>
      </c>
      <c r="P19" s="235" t="str">
        <f t="shared" si="10"/>
        <v>#REF!</v>
      </c>
      <c r="Q19" s="230" t="str">
        <f t="shared" si="11"/>
        <v>#REF!</v>
      </c>
      <c r="R19" s="142" t="str">
        <f t="shared" si="12"/>
        <v>#VALUE!</v>
      </c>
      <c r="T19" s="142" t="str">
        <f t="shared" si="13"/>
        <v>#REF!</v>
      </c>
      <c r="U19" s="230" t="str">
        <f t="shared" si="14"/>
        <v>#REF!</v>
      </c>
    </row>
    <row r="20" ht="15.75" customHeight="1">
      <c r="A20" s="142" t="str">
        <f t="shared" ref="A20:F20" si="31">#REF!</f>
        <v>#REF!</v>
      </c>
      <c r="B20" s="142" t="str">
        <f t="shared" si="31"/>
        <v>#REF!</v>
      </c>
      <c r="C20" s="142" t="str">
        <f t="shared" si="31"/>
        <v>#REF!</v>
      </c>
      <c r="D20" s="142" t="str">
        <f t="shared" si="31"/>
        <v>#REF!</v>
      </c>
      <c r="E20" s="232" t="str">
        <f t="shared" si="31"/>
        <v>#REF!</v>
      </c>
      <c r="F20" s="233" t="str">
        <f t="shared" si="31"/>
        <v>#REF!</v>
      </c>
      <c r="G20" s="142" t="str">
        <f t="shared" si="3"/>
        <v>#REF!</v>
      </c>
      <c r="H20" s="229" t="str">
        <f t="shared" si="4"/>
        <v>#REF!</v>
      </c>
      <c r="I20" s="229" t="str">
        <f t="shared" si="5"/>
        <v>#REF!</v>
      </c>
      <c r="J20" s="234" t="str">
        <f t="shared" si="6"/>
        <v>#REF!</v>
      </c>
      <c r="K20" s="230" t="str">
        <f t="shared" si="7"/>
        <v>#REF!</v>
      </c>
      <c r="L20" s="230" t="str">
        <f t="shared" si="8"/>
        <v>#REF!</v>
      </c>
      <c r="M20" s="125">
        <v>24.0</v>
      </c>
      <c r="N20" s="125">
        <v>36.0</v>
      </c>
      <c r="O20" s="235" t="str">
        <f t="shared" si="9"/>
        <v>#REF!</v>
      </c>
      <c r="P20" s="235" t="str">
        <f t="shared" si="10"/>
        <v>#REF!</v>
      </c>
      <c r="Q20" s="230" t="str">
        <f t="shared" si="11"/>
        <v>#REF!</v>
      </c>
      <c r="R20" s="142" t="str">
        <f t="shared" si="12"/>
        <v>#VALUE!</v>
      </c>
      <c r="T20" s="142" t="str">
        <f t="shared" si="13"/>
        <v>#REF!</v>
      </c>
      <c r="U20" s="230" t="str">
        <f t="shared" si="14"/>
        <v>#REF!</v>
      </c>
    </row>
    <row r="21" ht="15.75" customHeight="1">
      <c r="A21" s="142" t="str">
        <f t="shared" ref="A21:F21" si="32">#REF!</f>
        <v>#REF!</v>
      </c>
      <c r="B21" s="142" t="str">
        <f t="shared" si="32"/>
        <v>#REF!</v>
      </c>
      <c r="C21" s="142" t="str">
        <f t="shared" si="32"/>
        <v>#REF!</v>
      </c>
      <c r="D21" s="142" t="str">
        <f t="shared" si="32"/>
        <v>#REF!</v>
      </c>
      <c r="E21" s="232" t="str">
        <f t="shared" si="32"/>
        <v>#REF!</v>
      </c>
      <c r="F21" s="233" t="str">
        <f t="shared" si="32"/>
        <v>#REF!</v>
      </c>
      <c r="G21" s="142" t="str">
        <f t="shared" si="3"/>
        <v>#REF!</v>
      </c>
      <c r="H21" s="229" t="str">
        <f t="shared" si="4"/>
        <v>#REF!</v>
      </c>
      <c r="I21" s="229" t="str">
        <f t="shared" si="5"/>
        <v>#REF!</v>
      </c>
      <c r="J21" s="234" t="str">
        <f t="shared" si="6"/>
        <v>#REF!</v>
      </c>
      <c r="K21" s="230" t="str">
        <f t="shared" si="7"/>
        <v>#REF!</v>
      </c>
      <c r="L21" s="230" t="str">
        <f t="shared" si="8"/>
        <v>#REF!</v>
      </c>
      <c r="M21" s="125">
        <v>24.0</v>
      </c>
      <c r="N21" s="125">
        <v>36.0</v>
      </c>
      <c r="O21" s="235" t="str">
        <f t="shared" si="9"/>
        <v>#REF!</v>
      </c>
      <c r="P21" s="235" t="str">
        <f t="shared" si="10"/>
        <v>#REF!</v>
      </c>
      <c r="Q21" s="230" t="str">
        <f t="shared" si="11"/>
        <v>#REF!</v>
      </c>
      <c r="R21" s="142" t="str">
        <f t="shared" si="12"/>
        <v>#VALUE!</v>
      </c>
      <c r="T21" s="142" t="str">
        <f t="shared" si="13"/>
        <v>#REF!</v>
      </c>
      <c r="U21" s="230" t="str">
        <f t="shared" si="14"/>
        <v>#REF!</v>
      </c>
    </row>
    <row r="22" ht="15.75" customHeight="1">
      <c r="A22" s="142" t="str">
        <f t="shared" ref="A22:F22" si="33">#REF!</f>
        <v>#REF!</v>
      </c>
      <c r="B22" s="142" t="str">
        <f t="shared" si="33"/>
        <v>#REF!</v>
      </c>
      <c r="C22" s="142" t="str">
        <f t="shared" si="33"/>
        <v>#REF!</v>
      </c>
      <c r="D22" s="142" t="str">
        <f t="shared" si="33"/>
        <v>#REF!</v>
      </c>
      <c r="E22" s="232" t="str">
        <f t="shared" si="33"/>
        <v>#REF!</v>
      </c>
      <c r="F22" s="233" t="str">
        <f t="shared" si="33"/>
        <v>#REF!</v>
      </c>
      <c r="G22" s="142" t="str">
        <f t="shared" si="3"/>
        <v>#REF!</v>
      </c>
      <c r="H22" s="229" t="str">
        <f t="shared" si="4"/>
        <v>#REF!</v>
      </c>
      <c r="I22" s="229" t="str">
        <f t="shared" si="5"/>
        <v>#REF!</v>
      </c>
      <c r="J22" s="234" t="str">
        <f t="shared" si="6"/>
        <v>#REF!</v>
      </c>
      <c r="K22" s="230" t="str">
        <f t="shared" si="7"/>
        <v>#REF!</v>
      </c>
      <c r="L22" s="230" t="str">
        <f t="shared" si="8"/>
        <v>#REF!</v>
      </c>
      <c r="M22" s="125">
        <v>24.0</v>
      </c>
      <c r="N22" s="125">
        <v>36.0</v>
      </c>
      <c r="O22" s="235" t="str">
        <f t="shared" si="9"/>
        <v>#REF!</v>
      </c>
      <c r="P22" s="235" t="str">
        <f t="shared" si="10"/>
        <v>#REF!</v>
      </c>
      <c r="Q22" s="230" t="str">
        <f t="shared" si="11"/>
        <v>#REF!</v>
      </c>
      <c r="R22" s="142" t="str">
        <f t="shared" si="12"/>
        <v>#VALUE!</v>
      </c>
      <c r="T22" s="142" t="str">
        <f t="shared" si="13"/>
        <v>#REF!</v>
      </c>
      <c r="U22" s="230" t="str">
        <f t="shared" si="14"/>
        <v>#REF!</v>
      </c>
    </row>
    <row r="23" ht="15.75" customHeight="1">
      <c r="A23" s="142" t="str">
        <f t="shared" ref="A23:F23" si="34">#REF!</f>
        <v>#REF!</v>
      </c>
      <c r="B23" s="142" t="str">
        <f t="shared" si="34"/>
        <v>#REF!</v>
      </c>
      <c r="C23" s="142" t="str">
        <f t="shared" si="34"/>
        <v>#REF!</v>
      </c>
      <c r="D23" s="142" t="str">
        <f t="shared" si="34"/>
        <v>#REF!</v>
      </c>
      <c r="E23" s="232" t="str">
        <f t="shared" si="34"/>
        <v>#REF!</v>
      </c>
      <c r="F23" s="233" t="str">
        <f t="shared" si="34"/>
        <v>#REF!</v>
      </c>
      <c r="G23" s="142" t="str">
        <f t="shared" si="3"/>
        <v>#REF!</v>
      </c>
      <c r="H23" s="229" t="str">
        <f t="shared" si="4"/>
        <v>#REF!</v>
      </c>
      <c r="I23" s="229" t="str">
        <f t="shared" si="5"/>
        <v>#REF!</v>
      </c>
      <c r="J23" s="234" t="str">
        <f t="shared" si="6"/>
        <v>#REF!</v>
      </c>
      <c r="K23" s="230" t="str">
        <f t="shared" si="7"/>
        <v>#REF!</v>
      </c>
      <c r="L23" s="230" t="str">
        <f t="shared" si="8"/>
        <v>#REF!</v>
      </c>
      <c r="M23" s="125">
        <v>24.0</v>
      </c>
      <c r="N23" s="125">
        <v>36.0</v>
      </c>
      <c r="O23" s="235" t="str">
        <f t="shared" si="9"/>
        <v>#REF!</v>
      </c>
      <c r="P23" s="235" t="str">
        <f t="shared" si="10"/>
        <v>#REF!</v>
      </c>
      <c r="Q23" s="230" t="str">
        <f t="shared" si="11"/>
        <v>#REF!</v>
      </c>
      <c r="R23" s="142" t="str">
        <f t="shared" si="12"/>
        <v>#VALUE!</v>
      </c>
      <c r="T23" s="142" t="str">
        <f t="shared" si="13"/>
        <v>#REF!</v>
      </c>
      <c r="U23" s="230" t="str">
        <f t="shared" si="14"/>
        <v>#REF!</v>
      </c>
    </row>
    <row r="24" ht="15.75" customHeight="1">
      <c r="A24" s="142" t="str">
        <f t="shared" ref="A24:F24" si="35">#REF!</f>
        <v>#REF!</v>
      </c>
      <c r="B24" s="142" t="str">
        <f t="shared" si="35"/>
        <v>#REF!</v>
      </c>
      <c r="C24" s="142" t="str">
        <f t="shared" si="35"/>
        <v>#REF!</v>
      </c>
      <c r="D24" s="142" t="str">
        <f t="shared" si="35"/>
        <v>#REF!</v>
      </c>
      <c r="E24" s="232" t="str">
        <f t="shared" si="35"/>
        <v>#REF!</v>
      </c>
      <c r="F24" s="233" t="str">
        <f t="shared" si="35"/>
        <v>#REF!</v>
      </c>
      <c r="G24" s="142" t="str">
        <f t="shared" si="3"/>
        <v>#REF!</v>
      </c>
      <c r="H24" s="229" t="str">
        <f t="shared" si="4"/>
        <v>#REF!</v>
      </c>
      <c r="I24" s="229" t="str">
        <f t="shared" si="5"/>
        <v>#REF!</v>
      </c>
      <c r="J24" s="234" t="str">
        <f t="shared" si="6"/>
        <v>#REF!</v>
      </c>
      <c r="K24" s="230" t="str">
        <f t="shared" si="7"/>
        <v>#REF!</v>
      </c>
      <c r="L24" s="230" t="str">
        <f t="shared" si="8"/>
        <v>#REF!</v>
      </c>
      <c r="M24" s="125">
        <v>24.0</v>
      </c>
      <c r="N24" s="125">
        <v>36.0</v>
      </c>
      <c r="O24" s="235" t="str">
        <f t="shared" si="9"/>
        <v>#REF!</v>
      </c>
      <c r="P24" s="235" t="str">
        <f t="shared" si="10"/>
        <v>#REF!</v>
      </c>
      <c r="Q24" s="230" t="str">
        <f t="shared" si="11"/>
        <v>#REF!</v>
      </c>
      <c r="R24" s="142" t="str">
        <f t="shared" si="12"/>
        <v>#VALUE!</v>
      </c>
      <c r="T24" s="142" t="str">
        <f t="shared" si="13"/>
        <v>#REF!</v>
      </c>
      <c r="U24" s="230" t="str">
        <f t="shared" si="14"/>
        <v>#REF!</v>
      </c>
    </row>
    <row r="25" ht="15.75" customHeight="1">
      <c r="A25" s="142" t="str">
        <f t="shared" ref="A25:F25" si="36">#REF!</f>
        <v>#REF!</v>
      </c>
      <c r="B25" s="142" t="str">
        <f t="shared" si="36"/>
        <v>#REF!</v>
      </c>
      <c r="C25" s="142" t="str">
        <f t="shared" si="36"/>
        <v>#REF!</v>
      </c>
      <c r="D25" s="142" t="str">
        <f t="shared" si="36"/>
        <v>#REF!</v>
      </c>
      <c r="E25" s="232" t="str">
        <f t="shared" si="36"/>
        <v>#REF!</v>
      </c>
      <c r="F25" s="233" t="str">
        <f t="shared" si="36"/>
        <v>#REF!</v>
      </c>
      <c r="G25" s="142" t="str">
        <f t="shared" si="3"/>
        <v>#REF!</v>
      </c>
      <c r="H25" s="229" t="str">
        <f t="shared" si="4"/>
        <v>#REF!</v>
      </c>
      <c r="I25" s="229" t="str">
        <f t="shared" si="5"/>
        <v>#REF!</v>
      </c>
      <c r="J25" s="234" t="str">
        <f t="shared" si="6"/>
        <v>#REF!</v>
      </c>
      <c r="K25" s="230" t="str">
        <f t="shared" si="7"/>
        <v>#REF!</v>
      </c>
      <c r="L25" s="230" t="str">
        <f t="shared" si="8"/>
        <v>#REF!</v>
      </c>
      <c r="M25" s="125">
        <v>24.0</v>
      </c>
      <c r="N25" s="125">
        <v>36.0</v>
      </c>
      <c r="O25" s="235" t="str">
        <f t="shared" si="9"/>
        <v>#REF!</v>
      </c>
      <c r="P25" s="235" t="str">
        <f t="shared" si="10"/>
        <v>#REF!</v>
      </c>
      <c r="Q25" s="230" t="str">
        <f t="shared" si="11"/>
        <v>#REF!</v>
      </c>
      <c r="R25" s="142" t="str">
        <f t="shared" si="12"/>
        <v>#VALUE!</v>
      </c>
      <c r="T25" s="142" t="str">
        <f t="shared" si="13"/>
        <v>#REF!</v>
      </c>
      <c r="U25" s="230" t="str">
        <f t="shared" si="14"/>
        <v>#REF!</v>
      </c>
    </row>
    <row r="26" ht="15.75" customHeight="1">
      <c r="A26" s="142" t="str">
        <f t="shared" ref="A26:F26" si="37">#REF!</f>
        <v>#REF!</v>
      </c>
      <c r="B26" s="142" t="str">
        <f t="shared" si="37"/>
        <v>#REF!</v>
      </c>
      <c r="C26" s="142" t="str">
        <f t="shared" si="37"/>
        <v>#REF!</v>
      </c>
      <c r="D26" s="142" t="str">
        <f t="shared" si="37"/>
        <v>#REF!</v>
      </c>
      <c r="E26" s="232" t="str">
        <f t="shared" si="37"/>
        <v>#REF!</v>
      </c>
      <c r="F26" s="233" t="str">
        <f t="shared" si="37"/>
        <v>#REF!</v>
      </c>
      <c r="G26" s="142" t="str">
        <f t="shared" si="3"/>
        <v>#REF!</v>
      </c>
      <c r="H26" s="229" t="str">
        <f t="shared" si="4"/>
        <v>#REF!</v>
      </c>
      <c r="I26" s="229" t="str">
        <f t="shared" si="5"/>
        <v>#REF!</v>
      </c>
      <c r="J26" s="234" t="str">
        <f t="shared" si="6"/>
        <v>#REF!</v>
      </c>
      <c r="K26" s="230" t="str">
        <f t="shared" si="7"/>
        <v>#REF!</v>
      </c>
      <c r="L26" s="230" t="str">
        <f t="shared" si="8"/>
        <v>#REF!</v>
      </c>
      <c r="M26" s="125">
        <v>24.0</v>
      </c>
      <c r="N26" s="125">
        <v>36.0</v>
      </c>
      <c r="O26" s="235" t="str">
        <f t="shared" si="9"/>
        <v>#REF!</v>
      </c>
      <c r="P26" s="235" t="str">
        <f t="shared" si="10"/>
        <v>#REF!</v>
      </c>
      <c r="Q26" s="230" t="str">
        <f t="shared" si="11"/>
        <v>#REF!</v>
      </c>
      <c r="R26" s="142" t="str">
        <f t="shared" si="12"/>
        <v>#VALUE!</v>
      </c>
      <c r="T26" s="142" t="str">
        <f t="shared" si="13"/>
        <v>#REF!</v>
      </c>
      <c r="U26" s="230" t="str">
        <f t="shared" si="14"/>
        <v>#REF!</v>
      </c>
    </row>
    <row r="27" ht="15.75" customHeight="1">
      <c r="A27" s="142" t="str">
        <f t="shared" ref="A27:F27" si="38">#REF!</f>
        <v>#REF!</v>
      </c>
      <c r="B27" s="142" t="str">
        <f t="shared" si="38"/>
        <v>#REF!</v>
      </c>
      <c r="C27" s="142" t="str">
        <f t="shared" si="38"/>
        <v>#REF!</v>
      </c>
      <c r="D27" s="142" t="str">
        <f t="shared" si="38"/>
        <v>#REF!</v>
      </c>
      <c r="E27" s="232" t="str">
        <f t="shared" si="38"/>
        <v>#REF!</v>
      </c>
      <c r="F27" s="233" t="str">
        <f t="shared" si="38"/>
        <v>#REF!</v>
      </c>
      <c r="G27" s="142" t="str">
        <f t="shared" si="3"/>
        <v>#REF!</v>
      </c>
      <c r="H27" s="229" t="str">
        <f t="shared" si="4"/>
        <v>#REF!</v>
      </c>
      <c r="I27" s="229" t="str">
        <f t="shared" si="5"/>
        <v>#REF!</v>
      </c>
      <c r="J27" s="234" t="str">
        <f t="shared" si="6"/>
        <v>#REF!</v>
      </c>
      <c r="K27" s="230" t="str">
        <f t="shared" si="7"/>
        <v>#REF!</v>
      </c>
      <c r="L27" s="230" t="str">
        <f t="shared" si="8"/>
        <v>#REF!</v>
      </c>
      <c r="M27" s="125">
        <v>24.0</v>
      </c>
      <c r="N27" s="125">
        <v>36.0</v>
      </c>
      <c r="O27" s="235" t="str">
        <f t="shared" si="9"/>
        <v>#REF!</v>
      </c>
      <c r="P27" s="235" t="str">
        <f t="shared" si="10"/>
        <v>#REF!</v>
      </c>
      <c r="Q27" s="230" t="str">
        <f t="shared" si="11"/>
        <v>#REF!</v>
      </c>
      <c r="R27" s="142" t="str">
        <f t="shared" si="12"/>
        <v>#VALUE!</v>
      </c>
      <c r="T27" s="142" t="str">
        <f t="shared" si="13"/>
        <v>#REF!</v>
      </c>
      <c r="U27" s="230" t="str">
        <f t="shared" si="14"/>
        <v>#REF!</v>
      </c>
    </row>
    <row r="28" ht="15.75" customHeight="1">
      <c r="A28" s="142" t="str">
        <f t="shared" ref="A28:F28" si="39">#REF!</f>
        <v>#REF!</v>
      </c>
      <c r="B28" s="142" t="str">
        <f t="shared" si="39"/>
        <v>#REF!</v>
      </c>
      <c r="C28" s="142" t="str">
        <f t="shared" si="39"/>
        <v>#REF!</v>
      </c>
      <c r="D28" s="142" t="str">
        <f t="shared" si="39"/>
        <v>#REF!</v>
      </c>
      <c r="E28" s="232" t="str">
        <f t="shared" si="39"/>
        <v>#REF!</v>
      </c>
      <c r="F28" s="233" t="str">
        <f t="shared" si="39"/>
        <v>#REF!</v>
      </c>
      <c r="G28" s="142" t="str">
        <f t="shared" si="3"/>
        <v>#REF!</v>
      </c>
      <c r="H28" s="229" t="str">
        <f t="shared" si="4"/>
        <v>#REF!</v>
      </c>
      <c r="I28" s="229" t="str">
        <f t="shared" si="5"/>
        <v>#REF!</v>
      </c>
      <c r="J28" s="234" t="str">
        <f t="shared" si="6"/>
        <v>#REF!</v>
      </c>
      <c r="K28" s="230" t="str">
        <f t="shared" si="7"/>
        <v>#REF!</v>
      </c>
      <c r="L28" s="230" t="str">
        <f t="shared" si="8"/>
        <v>#REF!</v>
      </c>
      <c r="M28" s="125">
        <v>24.0</v>
      </c>
      <c r="N28" s="125">
        <v>36.0</v>
      </c>
      <c r="O28" s="235" t="str">
        <f t="shared" si="9"/>
        <v>#REF!</v>
      </c>
      <c r="P28" s="235" t="str">
        <f t="shared" si="10"/>
        <v>#REF!</v>
      </c>
      <c r="Q28" s="230" t="str">
        <f t="shared" si="11"/>
        <v>#REF!</v>
      </c>
      <c r="R28" s="142" t="str">
        <f t="shared" si="12"/>
        <v>#VALUE!</v>
      </c>
      <c r="T28" s="142" t="str">
        <f t="shared" si="13"/>
        <v>#REF!</v>
      </c>
      <c r="U28" s="230" t="str">
        <f t="shared" si="14"/>
        <v>#REF!</v>
      </c>
    </row>
    <row r="29" ht="15.75" customHeight="1">
      <c r="A29" s="142" t="str">
        <f t="shared" ref="A29:F29" si="40">#REF!</f>
        <v>#REF!</v>
      </c>
      <c r="B29" s="142" t="str">
        <f t="shared" si="40"/>
        <v>#REF!</v>
      </c>
      <c r="C29" s="142" t="str">
        <f t="shared" si="40"/>
        <v>#REF!</v>
      </c>
      <c r="D29" s="142" t="str">
        <f t="shared" si="40"/>
        <v>#REF!</v>
      </c>
      <c r="E29" s="232" t="str">
        <f t="shared" si="40"/>
        <v>#REF!</v>
      </c>
      <c r="F29" s="233" t="str">
        <f t="shared" si="40"/>
        <v>#REF!</v>
      </c>
      <c r="G29" s="142" t="str">
        <f t="shared" si="3"/>
        <v>#REF!</v>
      </c>
      <c r="H29" s="229" t="str">
        <f t="shared" si="4"/>
        <v>#REF!</v>
      </c>
      <c r="I29" s="229" t="str">
        <f t="shared" si="5"/>
        <v>#REF!</v>
      </c>
      <c r="J29" s="234" t="str">
        <f t="shared" si="6"/>
        <v>#REF!</v>
      </c>
      <c r="K29" s="230" t="str">
        <f t="shared" si="7"/>
        <v>#REF!</v>
      </c>
      <c r="L29" s="230" t="str">
        <f t="shared" si="8"/>
        <v>#REF!</v>
      </c>
      <c r="M29" s="125">
        <v>24.0</v>
      </c>
      <c r="N29" s="125">
        <v>36.0</v>
      </c>
      <c r="O29" s="235" t="str">
        <f t="shared" si="9"/>
        <v>#REF!</v>
      </c>
      <c r="P29" s="235" t="str">
        <f t="shared" si="10"/>
        <v>#REF!</v>
      </c>
      <c r="Q29" s="230" t="str">
        <f t="shared" si="11"/>
        <v>#REF!</v>
      </c>
      <c r="R29" s="142" t="str">
        <f t="shared" si="12"/>
        <v>#VALUE!</v>
      </c>
      <c r="T29" s="142" t="str">
        <f t="shared" si="13"/>
        <v>#REF!</v>
      </c>
      <c r="U29" s="230" t="str">
        <f t="shared" si="14"/>
        <v>#REF!</v>
      </c>
    </row>
    <row r="30" ht="15.75" customHeight="1">
      <c r="A30" s="142" t="str">
        <f t="shared" ref="A30:F30" si="41">#REF!</f>
        <v>#REF!</v>
      </c>
      <c r="B30" s="142" t="str">
        <f t="shared" si="41"/>
        <v>#REF!</v>
      </c>
      <c r="C30" s="142" t="str">
        <f t="shared" si="41"/>
        <v>#REF!</v>
      </c>
      <c r="D30" s="142" t="str">
        <f t="shared" si="41"/>
        <v>#REF!</v>
      </c>
      <c r="E30" s="232" t="str">
        <f t="shared" si="41"/>
        <v>#REF!</v>
      </c>
      <c r="F30" s="233" t="str">
        <f t="shared" si="41"/>
        <v>#REF!</v>
      </c>
      <c r="G30" s="142" t="str">
        <f t="shared" si="3"/>
        <v>#REF!</v>
      </c>
      <c r="H30" s="229" t="str">
        <f t="shared" si="4"/>
        <v>#REF!</v>
      </c>
      <c r="I30" s="229" t="str">
        <f t="shared" si="5"/>
        <v>#REF!</v>
      </c>
      <c r="J30" s="234" t="str">
        <f t="shared" si="6"/>
        <v>#REF!</v>
      </c>
      <c r="K30" s="230" t="str">
        <f t="shared" si="7"/>
        <v>#REF!</v>
      </c>
      <c r="L30" s="230" t="str">
        <f t="shared" si="8"/>
        <v>#REF!</v>
      </c>
      <c r="M30" s="125">
        <v>24.0</v>
      </c>
      <c r="N30" s="125">
        <v>36.0</v>
      </c>
      <c r="O30" s="235" t="str">
        <f t="shared" si="9"/>
        <v>#REF!</v>
      </c>
      <c r="P30" s="235" t="str">
        <f t="shared" si="10"/>
        <v>#REF!</v>
      </c>
      <c r="Q30" s="230" t="str">
        <f t="shared" si="11"/>
        <v>#REF!</v>
      </c>
      <c r="R30" s="142" t="str">
        <f t="shared" si="12"/>
        <v>#VALUE!</v>
      </c>
      <c r="T30" s="142" t="str">
        <f t="shared" si="13"/>
        <v>#REF!</v>
      </c>
      <c r="U30" s="230" t="str">
        <f t="shared" si="14"/>
        <v>#REF!</v>
      </c>
    </row>
    <row r="31" ht="15.75" customHeight="1">
      <c r="A31" s="142" t="str">
        <f t="shared" ref="A31:F31" si="42">#REF!</f>
        <v>#REF!</v>
      </c>
      <c r="B31" s="142" t="str">
        <f t="shared" si="42"/>
        <v>#REF!</v>
      </c>
      <c r="C31" s="142" t="str">
        <f t="shared" si="42"/>
        <v>#REF!</v>
      </c>
      <c r="D31" s="142" t="str">
        <f t="shared" si="42"/>
        <v>#REF!</v>
      </c>
      <c r="E31" s="232" t="str">
        <f t="shared" si="42"/>
        <v>#REF!</v>
      </c>
      <c r="F31" s="233" t="str">
        <f t="shared" si="42"/>
        <v>#REF!</v>
      </c>
      <c r="G31" s="142" t="str">
        <f t="shared" si="3"/>
        <v>#REF!</v>
      </c>
      <c r="H31" s="229" t="str">
        <f t="shared" si="4"/>
        <v>#REF!</v>
      </c>
      <c r="I31" s="229" t="str">
        <f t="shared" si="5"/>
        <v>#REF!</v>
      </c>
      <c r="J31" s="234" t="str">
        <f t="shared" si="6"/>
        <v>#REF!</v>
      </c>
      <c r="K31" s="230" t="str">
        <f t="shared" si="7"/>
        <v>#REF!</v>
      </c>
      <c r="L31" s="230" t="str">
        <f t="shared" si="8"/>
        <v>#REF!</v>
      </c>
      <c r="M31" s="125">
        <v>24.0</v>
      </c>
      <c r="N31" s="125">
        <v>36.0</v>
      </c>
      <c r="O31" s="235" t="str">
        <f t="shared" si="9"/>
        <v>#REF!</v>
      </c>
      <c r="P31" s="235" t="str">
        <f t="shared" si="10"/>
        <v>#REF!</v>
      </c>
      <c r="Q31" s="230" t="str">
        <f t="shared" si="11"/>
        <v>#REF!</v>
      </c>
      <c r="R31" s="142" t="str">
        <f t="shared" si="12"/>
        <v>#VALUE!</v>
      </c>
      <c r="T31" s="142" t="str">
        <f t="shared" si="13"/>
        <v>#REF!</v>
      </c>
      <c r="U31" s="230" t="str">
        <f t="shared" si="14"/>
        <v>#REF!</v>
      </c>
    </row>
    <row r="32" ht="15.75" customHeight="1">
      <c r="A32" s="142" t="str">
        <f t="shared" ref="A32:F32" si="43">#REF!</f>
        <v>#REF!</v>
      </c>
      <c r="B32" s="142" t="str">
        <f t="shared" si="43"/>
        <v>#REF!</v>
      </c>
      <c r="C32" s="142" t="str">
        <f t="shared" si="43"/>
        <v>#REF!</v>
      </c>
      <c r="D32" s="142" t="str">
        <f t="shared" si="43"/>
        <v>#REF!</v>
      </c>
      <c r="E32" s="232" t="str">
        <f t="shared" si="43"/>
        <v>#REF!</v>
      </c>
      <c r="F32" s="233" t="str">
        <f t="shared" si="43"/>
        <v>#REF!</v>
      </c>
      <c r="G32" s="142" t="str">
        <f t="shared" si="3"/>
        <v>#REF!</v>
      </c>
      <c r="H32" s="229" t="str">
        <f t="shared" si="4"/>
        <v>#REF!</v>
      </c>
      <c r="I32" s="229" t="str">
        <f t="shared" si="5"/>
        <v>#REF!</v>
      </c>
      <c r="J32" s="234" t="str">
        <f t="shared" si="6"/>
        <v>#REF!</v>
      </c>
      <c r="K32" s="230" t="str">
        <f t="shared" si="7"/>
        <v>#REF!</v>
      </c>
      <c r="L32" s="230" t="str">
        <f t="shared" si="8"/>
        <v>#REF!</v>
      </c>
      <c r="M32" s="125">
        <v>24.0</v>
      </c>
      <c r="N32" s="125">
        <v>36.0</v>
      </c>
      <c r="O32" s="235" t="str">
        <f t="shared" si="9"/>
        <v>#REF!</v>
      </c>
      <c r="P32" s="235" t="str">
        <f t="shared" si="10"/>
        <v>#REF!</v>
      </c>
      <c r="Q32" s="230" t="str">
        <f t="shared" si="11"/>
        <v>#REF!</v>
      </c>
      <c r="R32" s="142" t="str">
        <f t="shared" si="12"/>
        <v>#VALUE!</v>
      </c>
      <c r="T32" s="142" t="str">
        <f t="shared" si="13"/>
        <v>#REF!</v>
      </c>
      <c r="U32" s="230" t="str">
        <f t="shared" si="14"/>
        <v>#REF!</v>
      </c>
    </row>
    <row r="33" ht="15.75" customHeight="1">
      <c r="A33" s="142" t="str">
        <f t="shared" ref="A33:F33" si="44">#REF!</f>
        <v>#REF!</v>
      </c>
      <c r="B33" s="142" t="str">
        <f t="shared" si="44"/>
        <v>#REF!</v>
      </c>
      <c r="C33" s="142" t="str">
        <f t="shared" si="44"/>
        <v>#REF!</v>
      </c>
      <c r="D33" s="142" t="str">
        <f t="shared" si="44"/>
        <v>#REF!</v>
      </c>
      <c r="E33" s="232" t="str">
        <f t="shared" si="44"/>
        <v>#REF!</v>
      </c>
      <c r="F33" s="233" t="str">
        <f t="shared" si="44"/>
        <v>#REF!</v>
      </c>
      <c r="G33" s="142" t="str">
        <f t="shared" si="3"/>
        <v>#REF!</v>
      </c>
      <c r="H33" s="229" t="str">
        <f t="shared" si="4"/>
        <v>#REF!</v>
      </c>
      <c r="I33" s="229" t="str">
        <f t="shared" si="5"/>
        <v>#REF!</v>
      </c>
      <c r="J33" s="234" t="str">
        <f t="shared" si="6"/>
        <v>#REF!</v>
      </c>
      <c r="K33" s="230" t="str">
        <f t="shared" si="7"/>
        <v>#REF!</v>
      </c>
      <c r="L33" s="230" t="str">
        <f t="shared" si="8"/>
        <v>#REF!</v>
      </c>
      <c r="M33" s="125">
        <v>24.0</v>
      </c>
      <c r="N33" s="125">
        <v>36.0</v>
      </c>
      <c r="O33" s="235" t="str">
        <f t="shared" si="9"/>
        <v>#REF!</v>
      </c>
      <c r="P33" s="235" t="str">
        <f t="shared" si="10"/>
        <v>#REF!</v>
      </c>
      <c r="Q33" s="230" t="str">
        <f t="shared" si="11"/>
        <v>#REF!</v>
      </c>
      <c r="R33" s="142" t="str">
        <f t="shared" si="12"/>
        <v>#VALUE!</v>
      </c>
      <c r="T33" s="142" t="str">
        <f t="shared" si="13"/>
        <v>#REF!</v>
      </c>
      <c r="U33" s="230" t="str">
        <f t="shared" si="14"/>
        <v>#REF!</v>
      </c>
    </row>
    <row r="34" ht="15.75" customHeight="1">
      <c r="A34" s="142" t="str">
        <f t="shared" ref="A34:F34" si="45">#REF!</f>
        <v>#REF!</v>
      </c>
      <c r="B34" s="142" t="str">
        <f t="shared" si="45"/>
        <v>#REF!</v>
      </c>
      <c r="C34" s="142" t="str">
        <f t="shared" si="45"/>
        <v>#REF!</v>
      </c>
      <c r="D34" s="142" t="str">
        <f t="shared" si="45"/>
        <v>#REF!</v>
      </c>
      <c r="E34" s="232" t="str">
        <f t="shared" si="45"/>
        <v>#REF!</v>
      </c>
      <c r="F34" s="233" t="str">
        <f t="shared" si="45"/>
        <v>#REF!</v>
      </c>
      <c r="G34" s="142" t="str">
        <f t="shared" si="3"/>
        <v>#REF!</v>
      </c>
      <c r="H34" s="229" t="str">
        <f t="shared" si="4"/>
        <v>#REF!</v>
      </c>
      <c r="I34" s="229" t="str">
        <f t="shared" si="5"/>
        <v>#REF!</v>
      </c>
      <c r="J34" s="234" t="str">
        <f t="shared" si="6"/>
        <v>#REF!</v>
      </c>
      <c r="K34" s="230" t="str">
        <f t="shared" si="7"/>
        <v>#REF!</v>
      </c>
      <c r="L34" s="230" t="str">
        <f t="shared" si="8"/>
        <v>#REF!</v>
      </c>
      <c r="M34" s="125">
        <v>24.0</v>
      </c>
      <c r="N34" s="125">
        <v>36.0</v>
      </c>
      <c r="O34" s="235" t="str">
        <f t="shared" si="9"/>
        <v>#REF!</v>
      </c>
      <c r="P34" s="235" t="str">
        <f t="shared" si="10"/>
        <v>#REF!</v>
      </c>
      <c r="Q34" s="230" t="str">
        <f t="shared" si="11"/>
        <v>#REF!</v>
      </c>
      <c r="R34" s="142" t="str">
        <f t="shared" si="12"/>
        <v>#VALUE!</v>
      </c>
      <c r="T34" s="142" t="str">
        <f t="shared" si="13"/>
        <v>#REF!</v>
      </c>
      <c r="U34" s="230" t="str">
        <f t="shared" si="14"/>
        <v>#REF!</v>
      </c>
    </row>
    <row r="35" ht="15.75" customHeight="1">
      <c r="A35" s="142" t="str">
        <f t="shared" ref="A35:F35" si="46">#REF!</f>
        <v>#REF!</v>
      </c>
      <c r="B35" s="142" t="str">
        <f t="shared" si="46"/>
        <v>#REF!</v>
      </c>
      <c r="C35" s="142" t="str">
        <f t="shared" si="46"/>
        <v>#REF!</v>
      </c>
      <c r="D35" s="142" t="str">
        <f t="shared" si="46"/>
        <v>#REF!</v>
      </c>
      <c r="E35" s="232" t="str">
        <f t="shared" si="46"/>
        <v>#REF!</v>
      </c>
      <c r="F35" s="233" t="str">
        <f t="shared" si="46"/>
        <v>#REF!</v>
      </c>
      <c r="G35" s="142" t="str">
        <f t="shared" si="3"/>
        <v>#REF!</v>
      </c>
      <c r="H35" s="229" t="str">
        <f t="shared" si="4"/>
        <v>#REF!</v>
      </c>
      <c r="I35" s="229" t="str">
        <f t="shared" si="5"/>
        <v>#REF!</v>
      </c>
      <c r="J35" s="234" t="str">
        <f t="shared" si="6"/>
        <v>#REF!</v>
      </c>
      <c r="K35" s="230" t="str">
        <f t="shared" si="7"/>
        <v>#REF!</v>
      </c>
      <c r="L35" s="230" t="str">
        <f t="shared" si="8"/>
        <v>#REF!</v>
      </c>
      <c r="M35" s="125">
        <v>24.0</v>
      </c>
      <c r="N35" s="125">
        <v>36.0</v>
      </c>
      <c r="O35" s="235" t="str">
        <f t="shared" si="9"/>
        <v>#REF!</v>
      </c>
      <c r="P35" s="235" t="str">
        <f t="shared" si="10"/>
        <v>#REF!</v>
      </c>
      <c r="Q35" s="230" t="str">
        <f t="shared" si="11"/>
        <v>#REF!</v>
      </c>
      <c r="R35" s="142" t="str">
        <f t="shared" si="12"/>
        <v>#VALUE!</v>
      </c>
      <c r="T35" s="142" t="str">
        <f t="shared" si="13"/>
        <v>#REF!</v>
      </c>
      <c r="U35" s="230" t="str">
        <f t="shared" si="14"/>
        <v>#REF!</v>
      </c>
    </row>
    <row r="36" ht="15.75" customHeight="1">
      <c r="A36" s="142" t="str">
        <f t="shared" ref="A36:F36" si="47">#REF!</f>
        <v>#REF!</v>
      </c>
      <c r="B36" s="142" t="str">
        <f t="shared" si="47"/>
        <v>#REF!</v>
      </c>
      <c r="C36" s="142" t="str">
        <f t="shared" si="47"/>
        <v>#REF!</v>
      </c>
      <c r="D36" s="142" t="str">
        <f t="shared" si="47"/>
        <v>#REF!</v>
      </c>
      <c r="E36" s="232" t="str">
        <f t="shared" si="47"/>
        <v>#REF!</v>
      </c>
      <c r="F36" s="233" t="str">
        <f t="shared" si="47"/>
        <v>#REF!</v>
      </c>
      <c r="G36" s="142" t="str">
        <f t="shared" si="3"/>
        <v>#REF!</v>
      </c>
      <c r="H36" s="229" t="str">
        <f t="shared" si="4"/>
        <v>#REF!</v>
      </c>
      <c r="I36" s="229" t="str">
        <f t="shared" si="5"/>
        <v>#REF!</v>
      </c>
      <c r="J36" s="234" t="str">
        <f t="shared" si="6"/>
        <v>#REF!</v>
      </c>
      <c r="K36" s="230" t="str">
        <f t="shared" si="7"/>
        <v>#REF!</v>
      </c>
      <c r="L36" s="230" t="str">
        <f t="shared" si="8"/>
        <v>#REF!</v>
      </c>
      <c r="M36" s="125">
        <v>24.0</v>
      </c>
      <c r="N36" s="125">
        <v>36.0</v>
      </c>
      <c r="O36" s="235" t="str">
        <f t="shared" si="9"/>
        <v>#REF!</v>
      </c>
      <c r="P36" s="235" t="str">
        <f t="shared" si="10"/>
        <v>#REF!</v>
      </c>
      <c r="Q36" s="230" t="str">
        <f t="shared" si="11"/>
        <v>#REF!</v>
      </c>
      <c r="R36" s="142" t="str">
        <f t="shared" si="12"/>
        <v>#VALUE!</v>
      </c>
      <c r="T36" s="142" t="str">
        <f t="shared" si="13"/>
        <v>#REF!</v>
      </c>
      <c r="U36" s="230" t="str">
        <f t="shared" si="14"/>
        <v>#REF!</v>
      </c>
    </row>
    <row r="37" ht="15.75" customHeight="1">
      <c r="A37" s="142" t="str">
        <f t="shared" ref="A37:F37" si="48">#REF!</f>
        <v>#REF!</v>
      </c>
      <c r="B37" s="142" t="str">
        <f t="shared" si="48"/>
        <v>#REF!</v>
      </c>
      <c r="C37" s="142" t="str">
        <f t="shared" si="48"/>
        <v>#REF!</v>
      </c>
      <c r="D37" s="142" t="str">
        <f t="shared" si="48"/>
        <v>#REF!</v>
      </c>
      <c r="E37" s="232" t="str">
        <f t="shared" si="48"/>
        <v>#REF!</v>
      </c>
      <c r="F37" s="233" t="str">
        <f t="shared" si="48"/>
        <v>#REF!</v>
      </c>
      <c r="G37" s="142" t="str">
        <f t="shared" si="3"/>
        <v>#REF!</v>
      </c>
      <c r="H37" s="229" t="str">
        <f t="shared" si="4"/>
        <v>#REF!</v>
      </c>
      <c r="I37" s="229" t="str">
        <f t="shared" si="5"/>
        <v>#REF!</v>
      </c>
      <c r="J37" s="234" t="str">
        <f t="shared" si="6"/>
        <v>#REF!</v>
      </c>
      <c r="K37" s="230" t="str">
        <f t="shared" si="7"/>
        <v>#REF!</v>
      </c>
      <c r="L37" s="230" t="str">
        <f t="shared" si="8"/>
        <v>#REF!</v>
      </c>
      <c r="M37" s="125">
        <v>24.0</v>
      </c>
      <c r="N37" s="125">
        <v>36.0</v>
      </c>
      <c r="O37" s="235" t="str">
        <f t="shared" si="9"/>
        <v>#REF!</v>
      </c>
      <c r="P37" s="235" t="str">
        <f t="shared" si="10"/>
        <v>#REF!</v>
      </c>
      <c r="Q37" s="230" t="str">
        <f t="shared" si="11"/>
        <v>#REF!</v>
      </c>
      <c r="R37" s="142" t="str">
        <f t="shared" si="12"/>
        <v>#VALUE!</v>
      </c>
      <c r="T37" s="142" t="str">
        <f t="shared" si="13"/>
        <v>#REF!</v>
      </c>
      <c r="U37" s="230" t="str">
        <f t="shared" si="14"/>
        <v>#REF!</v>
      </c>
    </row>
    <row r="38" ht="15.75" customHeight="1">
      <c r="A38" s="142" t="str">
        <f t="shared" ref="A38:F38" si="49">#REF!</f>
        <v>#REF!</v>
      </c>
      <c r="B38" s="142" t="str">
        <f t="shared" si="49"/>
        <v>#REF!</v>
      </c>
      <c r="C38" s="142" t="str">
        <f t="shared" si="49"/>
        <v>#REF!</v>
      </c>
      <c r="D38" s="142" t="str">
        <f t="shared" si="49"/>
        <v>#REF!</v>
      </c>
      <c r="E38" s="232" t="str">
        <f t="shared" si="49"/>
        <v>#REF!</v>
      </c>
      <c r="F38" s="233" t="str">
        <f t="shared" si="49"/>
        <v>#REF!</v>
      </c>
      <c r="G38" s="142" t="str">
        <f t="shared" si="3"/>
        <v>#REF!</v>
      </c>
      <c r="H38" s="229" t="str">
        <f t="shared" si="4"/>
        <v>#REF!</v>
      </c>
      <c r="I38" s="229" t="str">
        <f t="shared" si="5"/>
        <v>#REF!</v>
      </c>
      <c r="J38" s="234" t="str">
        <f t="shared" si="6"/>
        <v>#REF!</v>
      </c>
      <c r="K38" s="230" t="str">
        <f t="shared" si="7"/>
        <v>#REF!</v>
      </c>
      <c r="L38" s="230" t="str">
        <f t="shared" si="8"/>
        <v>#REF!</v>
      </c>
      <c r="M38" s="125">
        <v>24.0</v>
      </c>
      <c r="N38" s="125">
        <v>36.0</v>
      </c>
      <c r="O38" s="235" t="str">
        <f t="shared" si="9"/>
        <v>#REF!</v>
      </c>
      <c r="P38" s="235" t="str">
        <f t="shared" si="10"/>
        <v>#REF!</v>
      </c>
      <c r="Q38" s="230" t="str">
        <f t="shared" si="11"/>
        <v>#REF!</v>
      </c>
      <c r="R38" s="142" t="str">
        <f t="shared" si="12"/>
        <v>#VALUE!</v>
      </c>
      <c r="T38" s="142" t="str">
        <f t="shared" si="13"/>
        <v>#REF!</v>
      </c>
      <c r="U38" s="230" t="str">
        <f t="shared" si="14"/>
        <v>#REF!</v>
      </c>
    </row>
    <row r="39" ht="15.75" customHeight="1">
      <c r="A39" s="142" t="str">
        <f t="shared" ref="A39:F39" si="50">#REF!</f>
        <v>#REF!</v>
      </c>
      <c r="B39" s="142" t="str">
        <f t="shared" si="50"/>
        <v>#REF!</v>
      </c>
      <c r="C39" s="142" t="str">
        <f t="shared" si="50"/>
        <v>#REF!</v>
      </c>
      <c r="D39" s="142" t="str">
        <f t="shared" si="50"/>
        <v>#REF!</v>
      </c>
      <c r="E39" s="232" t="str">
        <f t="shared" si="50"/>
        <v>#REF!</v>
      </c>
      <c r="F39" s="233" t="str">
        <f t="shared" si="50"/>
        <v>#REF!</v>
      </c>
      <c r="G39" s="142" t="str">
        <f t="shared" si="3"/>
        <v>#REF!</v>
      </c>
      <c r="H39" s="229" t="str">
        <f t="shared" si="4"/>
        <v>#REF!</v>
      </c>
      <c r="I39" s="229" t="str">
        <f t="shared" si="5"/>
        <v>#REF!</v>
      </c>
      <c r="J39" s="234" t="str">
        <f t="shared" si="6"/>
        <v>#REF!</v>
      </c>
      <c r="K39" s="230" t="str">
        <f t="shared" si="7"/>
        <v>#REF!</v>
      </c>
      <c r="L39" s="230" t="str">
        <f t="shared" si="8"/>
        <v>#REF!</v>
      </c>
      <c r="M39" s="125">
        <v>24.0</v>
      </c>
      <c r="N39" s="125">
        <v>36.0</v>
      </c>
      <c r="O39" s="235" t="str">
        <f t="shared" si="9"/>
        <v>#REF!</v>
      </c>
      <c r="P39" s="235" t="str">
        <f t="shared" si="10"/>
        <v>#REF!</v>
      </c>
      <c r="Q39" s="230" t="str">
        <f t="shared" si="11"/>
        <v>#REF!</v>
      </c>
      <c r="R39" s="142" t="str">
        <f t="shared" si="12"/>
        <v>#VALUE!</v>
      </c>
      <c r="T39" s="142" t="str">
        <f t="shared" si="13"/>
        <v>#REF!</v>
      </c>
      <c r="U39" s="230" t="str">
        <f t="shared" si="14"/>
        <v>#REF!</v>
      </c>
    </row>
    <row r="40" ht="15.75" customHeight="1">
      <c r="A40" s="142" t="str">
        <f t="shared" ref="A40:F40" si="51">#REF!</f>
        <v>#REF!</v>
      </c>
      <c r="B40" s="142" t="str">
        <f t="shared" si="51"/>
        <v>#REF!</v>
      </c>
      <c r="C40" s="142" t="str">
        <f t="shared" si="51"/>
        <v>#REF!</v>
      </c>
      <c r="D40" s="142" t="str">
        <f t="shared" si="51"/>
        <v>#REF!</v>
      </c>
      <c r="E40" s="232" t="str">
        <f t="shared" si="51"/>
        <v>#REF!</v>
      </c>
      <c r="F40" s="233" t="str">
        <f t="shared" si="51"/>
        <v>#REF!</v>
      </c>
      <c r="G40" s="142" t="str">
        <f t="shared" si="3"/>
        <v>#REF!</v>
      </c>
      <c r="H40" s="229" t="str">
        <f t="shared" si="4"/>
        <v>#REF!</v>
      </c>
      <c r="I40" s="229" t="str">
        <f t="shared" si="5"/>
        <v>#REF!</v>
      </c>
      <c r="J40" s="234" t="str">
        <f t="shared" si="6"/>
        <v>#REF!</v>
      </c>
      <c r="K40" s="230" t="str">
        <f t="shared" si="7"/>
        <v>#REF!</v>
      </c>
      <c r="L40" s="230" t="str">
        <f t="shared" si="8"/>
        <v>#REF!</v>
      </c>
      <c r="M40" s="125">
        <v>24.0</v>
      </c>
      <c r="N40" s="125">
        <v>36.0</v>
      </c>
      <c r="O40" s="235" t="str">
        <f t="shared" si="9"/>
        <v>#REF!</v>
      </c>
      <c r="P40" s="235" t="str">
        <f t="shared" si="10"/>
        <v>#REF!</v>
      </c>
      <c r="Q40" s="230" t="str">
        <f t="shared" si="11"/>
        <v>#REF!</v>
      </c>
      <c r="R40" s="142" t="str">
        <f t="shared" si="12"/>
        <v>#VALUE!</v>
      </c>
      <c r="T40" s="142" t="str">
        <f t="shared" si="13"/>
        <v>#REF!</v>
      </c>
      <c r="U40" s="230" t="str">
        <f t="shared" si="14"/>
        <v>#REF!</v>
      </c>
    </row>
    <row r="41" ht="15.75" customHeight="1">
      <c r="A41" s="142" t="str">
        <f t="shared" ref="A41:F41" si="52">#REF!</f>
        <v>#REF!</v>
      </c>
      <c r="B41" s="142" t="str">
        <f t="shared" si="52"/>
        <v>#REF!</v>
      </c>
      <c r="C41" s="142" t="str">
        <f t="shared" si="52"/>
        <v>#REF!</v>
      </c>
      <c r="D41" s="142" t="str">
        <f t="shared" si="52"/>
        <v>#REF!</v>
      </c>
      <c r="E41" s="232" t="str">
        <f t="shared" si="52"/>
        <v>#REF!</v>
      </c>
      <c r="F41" s="233" t="str">
        <f t="shared" si="52"/>
        <v>#REF!</v>
      </c>
      <c r="G41" s="142" t="str">
        <f t="shared" si="3"/>
        <v>#REF!</v>
      </c>
      <c r="H41" s="229" t="str">
        <f t="shared" si="4"/>
        <v>#REF!</v>
      </c>
      <c r="I41" s="229" t="str">
        <f t="shared" si="5"/>
        <v>#REF!</v>
      </c>
      <c r="J41" s="234" t="str">
        <f t="shared" si="6"/>
        <v>#REF!</v>
      </c>
      <c r="K41" s="230" t="str">
        <f t="shared" si="7"/>
        <v>#REF!</v>
      </c>
      <c r="L41" s="230" t="str">
        <f t="shared" si="8"/>
        <v>#REF!</v>
      </c>
      <c r="M41" s="125">
        <v>24.0</v>
      </c>
      <c r="N41" s="125">
        <v>36.0</v>
      </c>
      <c r="O41" s="235" t="str">
        <f t="shared" si="9"/>
        <v>#REF!</v>
      </c>
      <c r="P41" s="235" t="str">
        <f t="shared" si="10"/>
        <v>#REF!</v>
      </c>
      <c r="Q41" s="230" t="str">
        <f t="shared" si="11"/>
        <v>#REF!</v>
      </c>
      <c r="R41" s="142" t="str">
        <f t="shared" si="12"/>
        <v>#VALUE!</v>
      </c>
      <c r="T41" s="142" t="str">
        <f t="shared" si="13"/>
        <v>#REF!</v>
      </c>
      <c r="U41" s="230" t="str">
        <f t="shared" si="14"/>
        <v>#REF!</v>
      </c>
    </row>
    <row r="42" ht="15.75" customHeight="1">
      <c r="A42" s="142" t="str">
        <f t="shared" ref="A42:F42" si="53">#REF!</f>
        <v>#REF!</v>
      </c>
      <c r="B42" s="142" t="str">
        <f t="shared" si="53"/>
        <v>#REF!</v>
      </c>
      <c r="C42" s="142" t="str">
        <f t="shared" si="53"/>
        <v>#REF!</v>
      </c>
      <c r="D42" s="142" t="str">
        <f t="shared" si="53"/>
        <v>#REF!</v>
      </c>
      <c r="E42" s="232" t="str">
        <f t="shared" si="53"/>
        <v>#REF!</v>
      </c>
      <c r="F42" s="233" t="str">
        <f t="shared" si="53"/>
        <v>#REF!</v>
      </c>
      <c r="G42" s="142" t="str">
        <f t="shared" si="3"/>
        <v>#REF!</v>
      </c>
      <c r="H42" s="229" t="str">
        <f t="shared" si="4"/>
        <v>#REF!</v>
      </c>
      <c r="I42" s="229" t="str">
        <f t="shared" si="5"/>
        <v>#REF!</v>
      </c>
      <c r="J42" s="234" t="str">
        <f t="shared" si="6"/>
        <v>#REF!</v>
      </c>
      <c r="K42" s="230" t="str">
        <f t="shared" si="7"/>
        <v>#REF!</v>
      </c>
      <c r="L42" s="230" t="str">
        <f t="shared" si="8"/>
        <v>#REF!</v>
      </c>
      <c r="M42" s="125">
        <v>24.0</v>
      </c>
      <c r="N42" s="125">
        <v>36.0</v>
      </c>
      <c r="O42" s="235" t="str">
        <f t="shared" si="9"/>
        <v>#REF!</v>
      </c>
      <c r="P42" s="235" t="str">
        <f t="shared" si="10"/>
        <v>#REF!</v>
      </c>
      <c r="Q42" s="230" t="str">
        <f t="shared" si="11"/>
        <v>#REF!</v>
      </c>
      <c r="R42" s="142" t="str">
        <f t="shared" si="12"/>
        <v>#VALUE!</v>
      </c>
      <c r="T42" s="142" t="str">
        <f t="shared" si="13"/>
        <v>#REF!</v>
      </c>
      <c r="U42" s="230" t="str">
        <f t="shared" si="14"/>
        <v>#REF!</v>
      </c>
    </row>
    <row r="43" ht="15.75" customHeight="1">
      <c r="A43" s="142" t="str">
        <f t="shared" ref="A43:F43" si="54">#REF!</f>
        <v>#REF!</v>
      </c>
      <c r="B43" s="142" t="str">
        <f t="shared" si="54"/>
        <v>#REF!</v>
      </c>
      <c r="C43" s="142" t="str">
        <f t="shared" si="54"/>
        <v>#REF!</v>
      </c>
      <c r="D43" s="142" t="str">
        <f t="shared" si="54"/>
        <v>#REF!</v>
      </c>
      <c r="E43" s="232" t="str">
        <f t="shared" si="54"/>
        <v>#REF!</v>
      </c>
      <c r="F43" s="233" t="str">
        <f t="shared" si="54"/>
        <v>#REF!</v>
      </c>
      <c r="G43" s="142" t="str">
        <f t="shared" si="3"/>
        <v>#REF!</v>
      </c>
      <c r="H43" s="229" t="str">
        <f t="shared" si="4"/>
        <v>#REF!</v>
      </c>
      <c r="I43" s="229" t="str">
        <f t="shared" si="5"/>
        <v>#REF!</v>
      </c>
      <c r="J43" s="234" t="str">
        <f t="shared" si="6"/>
        <v>#REF!</v>
      </c>
      <c r="K43" s="230" t="str">
        <f t="shared" si="7"/>
        <v>#REF!</v>
      </c>
      <c r="L43" s="230" t="str">
        <f t="shared" si="8"/>
        <v>#REF!</v>
      </c>
      <c r="M43" s="125">
        <v>24.0</v>
      </c>
      <c r="N43" s="125">
        <v>36.0</v>
      </c>
      <c r="O43" s="235" t="str">
        <f t="shared" si="9"/>
        <v>#REF!</v>
      </c>
      <c r="P43" s="235" t="str">
        <f t="shared" si="10"/>
        <v>#REF!</v>
      </c>
      <c r="Q43" s="230" t="str">
        <f t="shared" si="11"/>
        <v>#REF!</v>
      </c>
      <c r="R43" s="142" t="str">
        <f t="shared" si="12"/>
        <v>#VALUE!</v>
      </c>
      <c r="T43" s="142" t="str">
        <f t="shared" si="13"/>
        <v>#REF!</v>
      </c>
      <c r="U43" s="230" t="str">
        <f t="shared" si="14"/>
        <v>#REF!</v>
      </c>
    </row>
    <row r="44" ht="15.75" customHeight="1">
      <c r="A44" s="142">
        <f>'Plan - NL'!B28</f>
        <v>20</v>
      </c>
      <c r="B44" s="142" t="str">
        <f>'Plan - NL'!E28</f>
        <v>September</v>
      </c>
      <c r="C44" s="142">
        <f>'Plan - NL'!D28</f>
        <v>13</v>
      </c>
      <c r="D44" s="142" t="str">
        <f>'Plan - NL'!C28</f>
        <v>Lørdag</v>
      </c>
      <c r="E44" s="232">
        <f>'Plan - NL'!F28</f>
        <v>0.5416666667</v>
      </c>
      <c r="F44" s="233" t="str">
        <f>'Plan - NL'!A28</f>
        <v>NL</v>
      </c>
      <c r="G44" s="142" t="str">
        <f t="shared" si="3"/>
        <v>13 September</v>
      </c>
      <c r="H44" s="229" t="str">
        <f>'Plan - NL'!Y28</f>
        <v/>
      </c>
      <c r="I44" s="229" t="str">
        <f t="shared" si="5"/>
        <v>#REF!</v>
      </c>
      <c r="J44" s="234">
        <f>'Plan - NL'!AK15</f>
        <v>0</v>
      </c>
      <c r="K44" s="230">
        <f t="shared" si="7"/>
        <v>0</v>
      </c>
      <c r="L44" s="230" t="str">
        <f t="shared" si="8"/>
        <v>#REF!</v>
      </c>
      <c r="M44" s="125">
        <v>24.0</v>
      </c>
      <c r="N44" s="125">
        <v>36.0</v>
      </c>
      <c r="O44" s="235" t="str">
        <f>'Plan - NL'!AD15</f>
        <v/>
      </c>
      <c r="P44" s="235" t="str">
        <f t="shared" si="10"/>
        <v/>
      </c>
      <c r="Q44" s="230">
        <f t="shared" si="11"/>
        <v>0</v>
      </c>
      <c r="R44" s="142" t="str">
        <f t="shared" si="12"/>
        <v>#VALUE!</v>
      </c>
      <c r="T44" s="236">
        <f t="shared" si="13"/>
        <v>-0.5416666667</v>
      </c>
      <c r="U44" s="230" t="str">
        <f t="shared" si="14"/>
        <v>#NUM!</v>
      </c>
    </row>
    <row r="45" ht="15.75" customHeight="1">
      <c r="A45" s="142" t="str">
        <f t="shared" ref="A45:F45" si="55">#REF!</f>
        <v>#REF!</v>
      </c>
      <c r="B45" s="142" t="str">
        <f t="shared" si="55"/>
        <v>#REF!</v>
      </c>
      <c r="C45" s="142" t="str">
        <f t="shared" si="55"/>
        <v>#REF!</v>
      </c>
      <c r="D45" s="142" t="str">
        <f t="shared" si="55"/>
        <v>#REF!</v>
      </c>
      <c r="E45" s="232" t="str">
        <f t="shared" si="55"/>
        <v>#REF!</v>
      </c>
      <c r="F45" s="233" t="str">
        <f t="shared" si="55"/>
        <v>#REF!</v>
      </c>
      <c r="G45" s="142" t="str">
        <f t="shared" si="3"/>
        <v>#REF!</v>
      </c>
      <c r="H45" s="229" t="str">
        <f t="shared" ref="H45:H47" si="57">#REF!</f>
        <v>#REF!</v>
      </c>
      <c r="I45" s="229" t="str">
        <f t="shared" si="5"/>
        <v>#REF!</v>
      </c>
      <c r="J45" s="234" t="str">
        <f t="shared" ref="J45:J48" si="58">#REF!</f>
        <v>#REF!</v>
      </c>
      <c r="K45" s="230" t="str">
        <f t="shared" si="7"/>
        <v>#REF!</v>
      </c>
      <c r="L45" s="230" t="str">
        <f t="shared" si="8"/>
        <v>#REF!</v>
      </c>
      <c r="M45" s="125">
        <v>24.0</v>
      </c>
      <c r="N45" s="125">
        <v>36.0</v>
      </c>
      <c r="O45" s="235" t="str">
        <f t="shared" ref="O45:O48" si="59">#REF!</f>
        <v>#REF!</v>
      </c>
      <c r="P45" s="235" t="str">
        <f t="shared" si="10"/>
        <v>#REF!</v>
      </c>
      <c r="Q45" s="230" t="str">
        <f t="shared" si="11"/>
        <v>#REF!</v>
      </c>
      <c r="R45" s="142" t="str">
        <f t="shared" si="12"/>
        <v>#VALUE!</v>
      </c>
      <c r="T45" s="142" t="str">
        <f t="shared" si="13"/>
        <v>#REF!</v>
      </c>
      <c r="U45" s="230" t="str">
        <f t="shared" si="14"/>
        <v>#REF!</v>
      </c>
    </row>
    <row r="46" ht="15.75" customHeight="1">
      <c r="A46" s="142" t="str">
        <f t="shared" ref="A46:F46" si="56">#REF!</f>
        <v>#REF!</v>
      </c>
      <c r="B46" s="142" t="str">
        <f t="shared" si="56"/>
        <v>#REF!</v>
      </c>
      <c r="C46" s="142" t="str">
        <f t="shared" si="56"/>
        <v>#REF!</v>
      </c>
      <c r="D46" s="142" t="str">
        <f t="shared" si="56"/>
        <v>#REF!</v>
      </c>
      <c r="E46" s="232" t="str">
        <f t="shared" si="56"/>
        <v>#REF!</v>
      </c>
      <c r="F46" s="233" t="str">
        <f t="shared" si="56"/>
        <v>#REF!</v>
      </c>
      <c r="G46" s="142" t="str">
        <f t="shared" si="3"/>
        <v>#REF!</v>
      </c>
      <c r="H46" s="229" t="str">
        <f t="shared" si="57"/>
        <v>#REF!</v>
      </c>
      <c r="I46" s="229" t="str">
        <f t="shared" si="5"/>
        <v>#REF!</v>
      </c>
      <c r="J46" s="234" t="str">
        <f t="shared" si="58"/>
        <v>#REF!</v>
      </c>
      <c r="K46" s="230" t="str">
        <f t="shared" si="7"/>
        <v>#REF!</v>
      </c>
      <c r="L46" s="230" t="str">
        <f t="shared" si="8"/>
        <v>#REF!</v>
      </c>
      <c r="M46" s="125">
        <v>24.0</v>
      </c>
      <c r="N46" s="125">
        <v>36.0</v>
      </c>
      <c r="O46" s="235" t="str">
        <f t="shared" si="59"/>
        <v>#REF!</v>
      </c>
      <c r="P46" s="235" t="str">
        <f t="shared" si="10"/>
        <v>#REF!</v>
      </c>
      <c r="Q46" s="230" t="str">
        <f t="shared" si="11"/>
        <v>#REF!</v>
      </c>
      <c r="R46" s="142" t="str">
        <f t="shared" si="12"/>
        <v>#VALUE!</v>
      </c>
      <c r="T46" s="142" t="str">
        <f t="shared" si="13"/>
        <v>#REF!</v>
      </c>
      <c r="U46" s="230" t="str">
        <f t="shared" si="14"/>
        <v>#REF!</v>
      </c>
    </row>
    <row r="47" ht="15.75" customHeight="1">
      <c r="A47" s="142" t="str">
        <f t="shared" ref="A47:F47" si="60">#REF!</f>
        <v>#REF!</v>
      </c>
      <c r="B47" s="142" t="str">
        <f t="shared" si="60"/>
        <v>#REF!</v>
      </c>
      <c r="C47" s="142" t="str">
        <f t="shared" si="60"/>
        <v>#REF!</v>
      </c>
      <c r="D47" s="142" t="str">
        <f t="shared" si="60"/>
        <v>#REF!</v>
      </c>
      <c r="E47" s="232" t="str">
        <f t="shared" si="60"/>
        <v>#REF!</v>
      </c>
      <c r="F47" s="233" t="str">
        <f t="shared" si="60"/>
        <v>#REF!</v>
      </c>
      <c r="G47" s="142" t="str">
        <f t="shared" si="3"/>
        <v>#REF!</v>
      </c>
      <c r="H47" s="229" t="str">
        <f t="shared" si="57"/>
        <v>#REF!</v>
      </c>
      <c r="I47" s="229" t="str">
        <f t="shared" si="5"/>
        <v>#REF!</v>
      </c>
      <c r="J47" s="234" t="str">
        <f t="shared" si="58"/>
        <v>#REF!</v>
      </c>
      <c r="K47" s="230" t="str">
        <f t="shared" si="7"/>
        <v>#REF!</v>
      </c>
      <c r="L47" s="230" t="str">
        <f t="shared" si="8"/>
        <v>#REF!</v>
      </c>
      <c r="M47" s="125">
        <v>24.0</v>
      </c>
      <c r="N47" s="125">
        <v>36.0</v>
      </c>
      <c r="O47" s="235" t="str">
        <f t="shared" si="59"/>
        <v>#REF!</v>
      </c>
      <c r="P47" s="235" t="str">
        <f t="shared" si="10"/>
        <v>#REF!</v>
      </c>
      <c r="Q47" s="230" t="str">
        <f t="shared" si="11"/>
        <v>#REF!</v>
      </c>
      <c r="R47" s="142" t="str">
        <f t="shared" si="12"/>
        <v>#VALUE!</v>
      </c>
      <c r="T47" s="142" t="str">
        <f t="shared" si="13"/>
        <v>#REF!</v>
      </c>
      <c r="U47" s="230" t="str">
        <f t="shared" si="14"/>
        <v>#REF!</v>
      </c>
    </row>
    <row r="48" ht="15.75" customHeight="1">
      <c r="A48" s="142" t="str">
        <f t="shared" ref="A48:F48" si="61">#REF!</f>
        <v>#REF!</v>
      </c>
      <c r="B48" s="142" t="str">
        <f t="shared" si="61"/>
        <v>#REF!</v>
      </c>
      <c r="C48" s="142" t="str">
        <f t="shared" si="61"/>
        <v>#REF!</v>
      </c>
      <c r="D48" s="142" t="str">
        <f t="shared" si="61"/>
        <v>#REF!</v>
      </c>
      <c r="E48" s="232" t="str">
        <f t="shared" si="61"/>
        <v>#REF!</v>
      </c>
      <c r="F48" s="233" t="str">
        <f t="shared" si="61"/>
        <v>#REF!</v>
      </c>
      <c r="G48" s="142" t="str">
        <f t="shared" si="3"/>
        <v>#REF!</v>
      </c>
      <c r="H48" s="229" t="str">
        <f>'Plan - NL'!Y29</f>
        <v/>
      </c>
      <c r="I48" s="229" t="str">
        <f t="shared" si="5"/>
        <v>#REF!</v>
      </c>
      <c r="J48" s="234" t="str">
        <f t="shared" si="58"/>
        <v>#REF!</v>
      </c>
      <c r="K48" s="230" t="str">
        <f t="shared" si="7"/>
        <v>#REF!</v>
      </c>
      <c r="L48" s="230" t="str">
        <f t="shared" si="8"/>
        <v>#REF!</v>
      </c>
      <c r="M48" s="125">
        <v>24.0</v>
      </c>
      <c r="N48" s="125">
        <v>36.0</v>
      </c>
      <c r="O48" s="235" t="str">
        <f t="shared" si="59"/>
        <v>#REF!</v>
      </c>
      <c r="P48" s="235" t="str">
        <f t="shared" si="10"/>
        <v>#REF!</v>
      </c>
      <c r="Q48" s="230" t="str">
        <f t="shared" si="11"/>
        <v>#REF!</v>
      </c>
      <c r="R48" s="142" t="str">
        <f t="shared" si="12"/>
        <v>#VALUE!</v>
      </c>
      <c r="T48" s="142" t="str">
        <f t="shared" si="13"/>
        <v>#REF!</v>
      </c>
      <c r="U48" s="230" t="str">
        <f t="shared" si="14"/>
        <v>#REF!</v>
      </c>
    </row>
    <row r="49" ht="15.75" customHeight="1">
      <c r="E49" s="232"/>
      <c r="F49" s="233"/>
      <c r="H49" s="229"/>
      <c r="I49" s="229"/>
      <c r="J49" s="234"/>
      <c r="K49" s="230"/>
      <c r="L49" s="230"/>
      <c r="M49" s="125"/>
      <c r="N49" s="125"/>
      <c r="O49" s="235"/>
      <c r="P49" s="235"/>
      <c r="Q49" s="230"/>
      <c r="U49" s="230"/>
    </row>
    <row r="50" ht="15.75" customHeight="1">
      <c r="E50" s="232"/>
      <c r="F50" s="233"/>
      <c r="H50" s="229"/>
      <c r="I50" s="229"/>
      <c r="J50" s="234"/>
      <c r="K50" s="230"/>
      <c r="L50" s="230"/>
      <c r="M50" s="125"/>
      <c r="N50" s="125"/>
      <c r="O50" s="237"/>
      <c r="P50" s="237"/>
      <c r="Q50" s="230"/>
    </row>
    <row r="51" ht="15.75" customHeight="1">
      <c r="E51" s="232"/>
      <c r="F51" s="233"/>
      <c r="H51" s="229"/>
      <c r="I51" s="229"/>
      <c r="J51" s="234"/>
      <c r="K51" s="230"/>
      <c r="L51" s="230"/>
      <c r="M51" s="125"/>
      <c r="N51" s="125"/>
      <c r="O51" s="235"/>
      <c r="P51" s="235"/>
      <c r="Q51" s="230"/>
    </row>
    <row r="52" ht="15.75" customHeight="1">
      <c r="E52" s="232"/>
      <c r="F52" s="233"/>
      <c r="H52" s="229"/>
      <c r="I52" s="229"/>
      <c r="J52" s="234"/>
      <c r="K52" s="230"/>
      <c r="L52" s="230"/>
      <c r="M52" s="125"/>
      <c r="N52" s="125"/>
      <c r="O52" s="237"/>
      <c r="P52" s="237"/>
      <c r="Q52" s="230"/>
    </row>
    <row r="53" ht="15.75" customHeight="1">
      <c r="E53" s="232"/>
      <c r="F53" s="233"/>
      <c r="H53" s="229"/>
      <c r="I53" s="229"/>
      <c r="J53" s="234"/>
      <c r="K53" s="230"/>
      <c r="L53" s="230"/>
      <c r="M53" s="125"/>
      <c r="N53" s="125"/>
      <c r="O53" s="235"/>
      <c r="P53" s="235"/>
      <c r="Q53" s="230"/>
    </row>
    <row r="54" ht="15.75" customHeight="1">
      <c r="E54" s="232"/>
      <c r="F54" s="233"/>
      <c r="H54" s="229"/>
      <c r="I54" s="229"/>
      <c r="J54" s="234"/>
      <c r="K54" s="230"/>
      <c r="L54" s="230"/>
      <c r="M54" s="125"/>
      <c r="N54" s="125"/>
      <c r="O54" s="237"/>
      <c r="P54" s="237"/>
      <c r="Q54" s="230"/>
    </row>
    <row r="55" ht="15.75" customHeight="1">
      <c r="E55" s="232"/>
      <c r="F55" s="233"/>
      <c r="H55" s="229"/>
      <c r="I55" s="229"/>
      <c r="J55" s="234"/>
      <c r="K55" s="230"/>
      <c r="L55" s="230"/>
      <c r="M55" s="125"/>
      <c r="N55" s="125"/>
      <c r="O55" s="235"/>
      <c r="P55" s="235"/>
      <c r="Q55" s="230"/>
    </row>
    <row r="56" ht="15.75" customHeight="1">
      <c r="E56" s="232"/>
      <c r="F56" s="233"/>
      <c r="H56" s="229"/>
      <c r="I56" s="229"/>
      <c r="J56" s="234"/>
      <c r="K56" s="230"/>
      <c r="L56" s="230"/>
      <c r="M56" s="125"/>
      <c r="N56" s="125"/>
      <c r="O56" s="237"/>
      <c r="P56" s="237"/>
      <c r="Q56" s="230"/>
    </row>
    <row r="57" ht="15.75" customHeight="1">
      <c r="E57" s="232"/>
      <c r="F57" s="233"/>
      <c r="H57" s="229"/>
      <c r="I57" s="229"/>
      <c r="J57" s="234"/>
      <c r="K57" s="230"/>
      <c r="L57" s="230"/>
      <c r="M57" s="125"/>
      <c r="N57" s="125"/>
      <c r="O57" s="237"/>
      <c r="P57" s="237"/>
      <c r="Q57" s="230"/>
    </row>
    <row r="58" ht="15.75" customHeight="1">
      <c r="E58" s="232"/>
      <c r="F58" s="233"/>
      <c r="H58" s="229"/>
      <c r="I58" s="229"/>
      <c r="J58" s="234"/>
      <c r="K58" s="230"/>
      <c r="L58" s="230"/>
      <c r="M58" s="125"/>
      <c r="N58" s="125"/>
      <c r="O58" s="235"/>
      <c r="P58" s="235"/>
      <c r="Q58" s="230"/>
    </row>
    <row r="59" ht="15.75" customHeight="1">
      <c r="E59" s="232"/>
      <c r="F59" s="233"/>
      <c r="H59" s="229"/>
      <c r="I59" s="229"/>
      <c r="J59" s="234"/>
      <c r="K59" s="230"/>
      <c r="L59" s="230"/>
      <c r="M59" s="125"/>
      <c r="N59" s="125"/>
      <c r="O59" s="237"/>
      <c r="P59" s="237"/>
      <c r="Q59" s="230"/>
    </row>
    <row r="60" ht="15.75" customHeight="1">
      <c r="F60" s="233"/>
      <c r="H60" s="229"/>
      <c r="I60" s="229"/>
      <c r="J60" s="234"/>
      <c r="K60" s="230"/>
      <c r="L60" s="230"/>
      <c r="M60" s="125"/>
      <c r="N60" s="125"/>
      <c r="O60" s="237"/>
      <c r="P60" s="237"/>
      <c r="Q60" s="230"/>
    </row>
    <row r="61" ht="15.75" customHeight="1">
      <c r="F61" s="233"/>
      <c r="H61" s="229"/>
      <c r="I61" s="229"/>
      <c r="J61" s="238"/>
      <c r="K61" s="230"/>
      <c r="L61" s="230"/>
      <c r="M61" s="125"/>
      <c r="N61" s="125"/>
      <c r="O61" s="237"/>
      <c r="P61" s="237"/>
      <c r="Q61" s="230"/>
    </row>
    <row r="62" ht="15.75" customHeight="1">
      <c r="F62" s="233"/>
      <c r="H62" s="229"/>
      <c r="I62" s="229"/>
      <c r="J62" s="238"/>
      <c r="K62" s="230"/>
      <c r="L62" s="230"/>
      <c r="O62" s="237"/>
      <c r="P62" s="237"/>
      <c r="Q62" s="230"/>
    </row>
    <row r="63" ht="15.75" customHeight="1">
      <c r="I63" s="229"/>
      <c r="J63" s="238"/>
      <c r="L63" s="230"/>
      <c r="P63" s="238"/>
    </row>
    <row r="64" ht="15.75" customHeight="1">
      <c r="I64" s="229"/>
      <c r="L64" s="230"/>
    </row>
    <row r="65" ht="15.75" customHeight="1">
      <c r="I65" s="229"/>
      <c r="L65" s="230"/>
    </row>
    <row r="66" ht="15.75" customHeight="1">
      <c r="I66" s="229"/>
      <c r="L66" s="230"/>
    </row>
    <row r="67" ht="15.75" customHeight="1">
      <c r="I67" s="229"/>
      <c r="L67" s="230"/>
    </row>
    <row r="68" ht="15.75" customHeight="1">
      <c r="I68" s="229"/>
      <c r="L68" s="230"/>
    </row>
    <row r="69" ht="15.75" customHeight="1">
      <c r="I69" s="229"/>
      <c r="L69" s="230"/>
    </row>
    <row r="70" ht="15.75" customHeight="1">
      <c r="I70" s="229"/>
      <c r="L70" s="230"/>
    </row>
    <row r="71" ht="15.75" customHeight="1">
      <c r="I71" s="229"/>
      <c r="L71" s="230"/>
    </row>
    <row r="72" ht="15.75" customHeight="1">
      <c r="I72" s="229"/>
      <c r="L72" s="230"/>
    </row>
    <row r="73" ht="15.75" customHeight="1">
      <c r="I73" s="229"/>
      <c r="L73" s="230"/>
    </row>
    <row r="74" ht="15.75" customHeight="1">
      <c r="I74" s="229"/>
      <c r="L74" s="230"/>
    </row>
    <row r="75" ht="15.75" customHeight="1">
      <c r="I75" s="229"/>
      <c r="L75" s="230"/>
    </row>
    <row r="76" ht="15.75" customHeight="1">
      <c r="I76" s="229"/>
      <c r="L76" s="230"/>
    </row>
    <row r="77" ht="15.75" customHeight="1">
      <c r="I77" s="229"/>
      <c r="L77" s="230"/>
    </row>
    <row r="78" ht="15.75" customHeight="1">
      <c r="I78" s="229"/>
      <c r="L78" s="230"/>
    </row>
    <row r="79" ht="15.75" customHeight="1">
      <c r="I79" s="229"/>
      <c r="L79" s="230"/>
    </row>
    <row r="80" ht="15.75" customHeight="1">
      <c r="I80" s="229"/>
      <c r="L80" s="230"/>
    </row>
    <row r="81" ht="15.75" customHeight="1">
      <c r="I81" s="229"/>
      <c r="L81" s="230"/>
    </row>
    <row r="82" ht="15.75" customHeight="1">
      <c r="I82" s="229"/>
      <c r="L82" s="230"/>
    </row>
    <row r="83" ht="15.75" customHeight="1">
      <c r="I83" s="229"/>
      <c r="L83" s="230"/>
    </row>
    <row r="84" ht="15.75" customHeight="1">
      <c r="I84" s="229"/>
      <c r="L84" s="230"/>
    </row>
    <row r="85" ht="15.75" customHeight="1">
      <c r="I85" s="229"/>
      <c r="L85" s="230"/>
    </row>
    <row r="86" ht="15.75" customHeight="1">
      <c r="I86" s="229"/>
      <c r="L86" s="230"/>
    </row>
    <row r="87" ht="15.75" customHeight="1">
      <c r="I87" s="229"/>
      <c r="L87" s="230"/>
    </row>
    <row r="88" ht="15.75" customHeight="1">
      <c r="I88" s="229"/>
      <c r="L88" s="230"/>
    </row>
    <row r="89" ht="15.75" customHeight="1">
      <c r="I89" s="229"/>
      <c r="L89" s="230"/>
    </row>
    <row r="90" ht="15.75" customHeight="1">
      <c r="I90" s="229"/>
      <c r="L90" s="230"/>
    </row>
    <row r="91" ht="15.75" customHeight="1">
      <c r="I91" s="229"/>
      <c r="L91" s="230"/>
    </row>
    <row r="92" ht="15.75" customHeight="1">
      <c r="I92" s="229"/>
      <c r="L92" s="230"/>
    </row>
    <row r="93" ht="15.75" customHeight="1">
      <c r="I93" s="229"/>
      <c r="L93" s="230"/>
    </row>
    <row r="94" ht="15.75" customHeight="1">
      <c r="I94" s="229"/>
      <c r="L94" s="230"/>
    </row>
    <row r="95" ht="15.75" customHeight="1">
      <c r="I95" s="229"/>
      <c r="L95" s="230"/>
    </row>
    <row r="96" ht="15.75" customHeight="1">
      <c r="I96" s="229"/>
      <c r="L96" s="230"/>
    </row>
    <row r="97" ht="15.75" customHeight="1">
      <c r="I97" s="229"/>
      <c r="L97" s="230"/>
    </row>
    <row r="98" ht="15.75" customHeight="1">
      <c r="I98" s="229"/>
      <c r="L98" s="230"/>
    </row>
    <row r="99" ht="15.75" customHeight="1">
      <c r="I99" s="229"/>
      <c r="L99" s="230"/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6" width="15.13"/>
  </cols>
  <sheetData>
    <row r="1" ht="15.75" customHeight="1">
      <c r="A1" s="142">
        <f t="shared" ref="A1:H1" si="1">IF(ISBLANK(#REF!),0,1)</f>
        <v>1</v>
      </c>
      <c r="B1" s="142">
        <f t="shared" si="1"/>
        <v>1</v>
      </c>
      <c r="C1" s="142">
        <f t="shared" si="1"/>
        <v>1</v>
      </c>
      <c r="D1" s="142">
        <f t="shared" si="1"/>
        <v>1</v>
      </c>
      <c r="E1" s="142">
        <f t="shared" si="1"/>
        <v>1</v>
      </c>
      <c r="F1" s="142">
        <f t="shared" si="1"/>
        <v>1</v>
      </c>
      <c r="G1" s="142">
        <f t="shared" si="1"/>
        <v>1</v>
      </c>
      <c r="H1" s="142">
        <f t="shared" si="1"/>
        <v>1</v>
      </c>
      <c r="I1" s="142">
        <f t="shared" ref="I1:I58" si="3">sum(A1:G1)</f>
        <v>7</v>
      </c>
    </row>
    <row r="2" ht="15.75" customHeight="1">
      <c r="A2" s="142">
        <f t="shared" ref="A2:H2" si="2">IF(ISBLANK(#REF!),0,1)</f>
        <v>1</v>
      </c>
      <c r="B2" s="142">
        <f t="shared" si="2"/>
        <v>1</v>
      </c>
      <c r="C2" s="142">
        <f t="shared" si="2"/>
        <v>1</v>
      </c>
      <c r="D2" s="142">
        <f t="shared" si="2"/>
        <v>1</v>
      </c>
      <c r="E2" s="142">
        <f t="shared" si="2"/>
        <v>1</v>
      </c>
      <c r="F2" s="142">
        <f t="shared" si="2"/>
        <v>1</v>
      </c>
      <c r="G2" s="142">
        <f t="shared" si="2"/>
        <v>1</v>
      </c>
      <c r="H2" s="142">
        <f t="shared" si="2"/>
        <v>1</v>
      </c>
      <c r="I2" s="142">
        <f t="shared" si="3"/>
        <v>7</v>
      </c>
    </row>
    <row r="3" ht="15.75" customHeight="1">
      <c r="A3" s="142">
        <f t="shared" ref="A3:H3" si="4">IF(ISBLANK(#REF!),0,1)</f>
        <v>1</v>
      </c>
      <c r="B3" s="142">
        <f t="shared" si="4"/>
        <v>1</v>
      </c>
      <c r="C3" s="142">
        <f t="shared" si="4"/>
        <v>1</v>
      </c>
      <c r="D3" s="142">
        <f t="shared" si="4"/>
        <v>1</v>
      </c>
      <c r="E3" s="142">
        <f t="shared" si="4"/>
        <v>1</v>
      </c>
      <c r="F3" s="142">
        <f t="shared" si="4"/>
        <v>1</v>
      </c>
      <c r="G3" s="142">
        <f t="shared" si="4"/>
        <v>1</v>
      </c>
      <c r="H3" s="142">
        <f t="shared" si="4"/>
        <v>1</v>
      </c>
      <c r="I3" s="142">
        <f t="shared" si="3"/>
        <v>7</v>
      </c>
    </row>
    <row r="4" ht="15.75" customHeight="1">
      <c r="A4" s="142">
        <f t="shared" ref="A4:H4" si="5">IF(ISBLANK(#REF!),0,1)</f>
        <v>1</v>
      </c>
      <c r="B4" s="142">
        <f t="shared" si="5"/>
        <v>1</v>
      </c>
      <c r="C4" s="142">
        <f t="shared" si="5"/>
        <v>1</v>
      </c>
      <c r="D4" s="142">
        <f t="shared" si="5"/>
        <v>1</v>
      </c>
      <c r="E4" s="142">
        <f t="shared" si="5"/>
        <v>1</v>
      </c>
      <c r="F4" s="142">
        <f t="shared" si="5"/>
        <v>1</v>
      </c>
      <c r="G4" s="142">
        <f t="shared" si="5"/>
        <v>1</v>
      </c>
      <c r="H4" s="142">
        <f t="shared" si="5"/>
        <v>1</v>
      </c>
      <c r="I4" s="142">
        <f t="shared" si="3"/>
        <v>7</v>
      </c>
    </row>
    <row r="5" ht="15.75" customHeight="1">
      <c r="A5" s="142">
        <f t="shared" ref="A5:H5" si="6">IF(ISBLANK(#REF!),0,1)</f>
        <v>1</v>
      </c>
      <c r="B5" s="142">
        <f t="shared" si="6"/>
        <v>1</v>
      </c>
      <c r="C5" s="142">
        <f t="shared" si="6"/>
        <v>1</v>
      </c>
      <c r="D5" s="142">
        <f t="shared" si="6"/>
        <v>1</v>
      </c>
      <c r="E5" s="142">
        <f t="shared" si="6"/>
        <v>1</v>
      </c>
      <c r="F5" s="142">
        <f t="shared" si="6"/>
        <v>1</v>
      </c>
      <c r="G5" s="142">
        <f t="shared" si="6"/>
        <v>1</v>
      </c>
      <c r="H5" s="142">
        <f t="shared" si="6"/>
        <v>1</v>
      </c>
      <c r="I5" s="142">
        <f t="shared" si="3"/>
        <v>7</v>
      </c>
    </row>
    <row r="6" ht="15.75" customHeight="1">
      <c r="A6" s="142">
        <f t="shared" ref="A6:H6" si="7">IF(ISBLANK(#REF!),0,1)</f>
        <v>1</v>
      </c>
      <c r="B6" s="142">
        <f t="shared" si="7"/>
        <v>1</v>
      </c>
      <c r="C6" s="142">
        <f t="shared" si="7"/>
        <v>1</v>
      </c>
      <c r="D6" s="142">
        <f t="shared" si="7"/>
        <v>1</v>
      </c>
      <c r="E6" s="142">
        <f t="shared" si="7"/>
        <v>1</v>
      </c>
      <c r="F6" s="142">
        <f t="shared" si="7"/>
        <v>1</v>
      </c>
      <c r="G6" s="142">
        <f t="shared" si="7"/>
        <v>1</v>
      </c>
      <c r="H6" s="142">
        <f t="shared" si="7"/>
        <v>1</v>
      </c>
      <c r="I6" s="142">
        <f t="shared" si="3"/>
        <v>7</v>
      </c>
    </row>
    <row r="7" ht="15.75" customHeight="1">
      <c r="A7" s="142">
        <f t="shared" ref="A7:H7" si="8">IF(ISBLANK(#REF!),0,1)</f>
        <v>1</v>
      </c>
      <c r="B7" s="142">
        <f t="shared" si="8"/>
        <v>1</v>
      </c>
      <c r="C7" s="142">
        <f t="shared" si="8"/>
        <v>1</v>
      </c>
      <c r="D7" s="142">
        <f t="shared" si="8"/>
        <v>1</v>
      </c>
      <c r="E7" s="142">
        <f t="shared" si="8"/>
        <v>1</v>
      </c>
      <c r="F7" s="142">
        <f t="shared" si="8"/>
        <v>1</v>
      </c>
      <c r="G7" s="142">
        <f t="shared" si="8"/>
        <v>1</v>
      </c>
      <c r="H7" s="142">
        <f t="shared" si="8"/>
        <v>1</v>
      </c>
      <c r="I7" s="142">
        <f t="shared" si="3"/>
        <v>7</v>
      </c>
    </row>
    <row r="8" ht="15.75" customHeight="1">
      <c r="A8" s="142">
        <f t="shared" ref="A8:H8" si="9">IF(ISBLANK(#REF!),0,1)</f>
        <v>1</v>
      </c>
      <c r="B8" s="142">
        <f t="shared" si="9"/>
        <v>1</v>
      </c>
      <c r="C8" s="142">
        <f t="shared" si="9"/>
        <v>1</v>
      </c>
      <c r="D8" s="142">
        <f t="shared" si="9"/>
        <v>1</v>
      </c>
      <c r="E8" s="142">
        <f t="shared" si="9"/>
        <v>1</v>
      </c>
      <c r="F8" s="142">
        <f t="shared" si="9"/>
        <v>1</v>
      </c>
      <c r="G8" s="142">
        <f t="shared" si="9"/>
        <v>1</v>
      </c>
      <c r="H8" s="142">
        <f t="shared" si="9"/>
        <v>1</v>
      </c>
      <c r="I8" s="142">
        <f t="shared" si="3"/>
        <v>7</v>
      </c>
    </row>
    <row r="9" ht="15.75" customHeight="1">
      <c r="A9" s="142">
        <f t="shared" ref="A9:H9" si="10">IF(ISBLANK(#REF!),0,1)</f>
        <v>1</v>
      </c>
      <c r="B9" s="142">
        <f t="shared" si="10"/>
        <v>1</v>
      </c>
      <c r="C9" s="142">
        <f t="shared" si="10"/>
        <v>1</v>
      </c>
      <c r="D9" s="142">
        <f t="shared" si="10"/>
        <v>1</v>
      </c>
      <c r="E9" s="142">
        <f t="shared" si="10"/>
        <v>1</v>
      </c>
      <c r="F9" s="142">
        <f t="shared" si="10"/>
        <v>1</v>
      </c>
      <c r="G9" s="142">
        <f t="shared" si="10"/>
        <v>1</v>
      </c>
      <c r="H9" s="142">
        <f t="shared" si="10"/>
        <v>1</v>
      </c>
      <c r="I9" s="142">
        <f t="shared" si="3"/>
        <v>7</v>
      </c>
    </row>
    <row r="10" ht="15.75" customHeight="1">
      <c r="A10" s="142">
        <f t="shared" ref="A10:H10" si="11">IF(ISBLANK(#REF!),0,1)</f>
        <v>1</v>
      </c>
      <c r="B10" s="142">
        <f t="shared" si="11"/>
        <v>1</v>
      </c>
      <c r="C10" s="142">
        <f t="shared" si="11"/>
        <v>1</v>
      </c>
      <c r="D10" s="142">
        <f t="shared" si="11"/>
        <v>1</v>
      </c>
      <c r="E10" s="142">
        <f t="shared" si="11"/>
        <v>1</v>
      </c>
      <c r="F10" s="142">
        <f t="shared" si="11"/>
        <v>1</v>
      </c>
      <c r="G10" s="142">
        <f t="shared" si="11"/>
        <v>1</v>
      </c>
      <c r="H10" s="142">
        <f t="shared" si="11"/>
        <v>1</v>
      </c>
      <c r="I10" s="142">
        <f t="shared" si="3"/>
        <v>7</v>
      </c>
    </row>
    <row r="11" ht="15.75" customHeight="1">
      <c r="A11" s="142">
        <f t="shared" ref="A11:H11" si="12">IF(ISBLANK(#REF!),0,1)</f>
        <v>1</v>
      </c>
      <c r="B11" s="142">
        <f t="shared" si="12"/>
        <v>1</v>
      </c>
      <c r="C11" s="142">
        <f t="shared" si="12"/>
        <v>1</v>
      </c>
      <c r="D11" s="142">
        <f t="shared" si="12"/>
        <v>1</v>
      </c>
      <c r="E11" s="142">
        <f t="shared" si="12"/>
        <v>1</v>
      </c>
      <c r="F11" s="142">
        <f t="shared" si="12"/>
        <v>1</v>
      </c>
      <c r="G11" s="142">
        <f t="shared" si="12"/>
        <v>1</v>
      </c>
      <c r="H11" s="142">
        <f t="shared" si="12"/>
        <v>1</v>
      </c>
      <c r="I11" s="142">
        <f t="shared" si="3"/>
        <v>7</v>
      </c>
    </row>
    <row r="12" ht="15.75" customHeight="1">
      <c r="A12" s="142">
        <f t="shared" ref="A12:H12" si="13">IF(ISBLANK(#REF!),0,1)</f>
        <v>1</v>
      </c>
      <c r="B12" s="142">
        <f t="shared" si="13"/>
        <v>1</v>
      </c>
      <c r="C12" s="142">
        <f t="shared" si="13"/>
        <v>1</v>
      </c>
      <c r="D12" s="142">
        <f t="shared" si="13"/>
        <v>1</v>
      </c>
      <c r="E12" s="142">
        <f t="shared" si="13"/>
        <v>1</v>
      </c>
      <c r="F12" s="142">
        <f t="shared" si="13"/>
        <v>1</v>
      </c>
      <c r="G12" s="142">
        <f t="shared" si="13"/>
        <v>1</v>
      </c>
      <c r="H12" s="142">
        <f t="shared" si="13"/>
        <v>1</v>
      </c>
      <c r="I12" s="142">
        <f t="shared" si="3"/>
        <v>7</v>
      </c>
    </row>
    <row r="13" ht="15.75" customHeight="1">
      <c r="A13" s="142">
        <f t="shared" ref="A13:H13" si="14">IF(ISBLANK(#REF!),0,1)</f>
        <v>1</v>
      </c>
      <c r="B13" s="142">
        <f t="shared" si="14"/>
        <v>1</v>
      </c>
      <c r="C13" s="142">
        <f t="shared" si="14"/>
        <v>1</v>
      </c>
      <c r="D13" s="142">
        <f t="shared" si="14"/>
        <v>1</v>
      </c>
      <c r="E13" s="142">
        <f t="shared" si="14"/>
        <v>1</v>
      </c>
      <c r="F13" s="142">
        <f t="shared" si="14"/>
        <v>1</v>
      </c>
      <c r="G13" s="142">
        <f t="shared" si="14"/>
        <v>1</v>
      </c>
      <c r="H13" s="142">
        <f t="shared" si="14"/>
        <v>1</v>
      </c>
      <c r="I13" s="142">
        <f t="shared" si="3"/>
        <v>7</v>
      </c>
    </row>
    <row r="14" ht="15.75" customHeight="1">
      <c r="A14" s="142">
        <f t="shared" ref="A14:H14" si="15">IF(ISBLANK(#REF!),0,1)</f>
        <v>1</v>
      </c>
      <c r="B14" s="142">
        <f t="shared" si="15"/>
        <v>1</v>
      </c>
      <c r="C14" s="142">
        <f t="shared" si="15"/>
        <v>1</v>
      </c>
      <c r="D14" s="142">
        <f t="shared" si="15"/>
        <v>1</v>
      </c>
      <c r="E14" s="142">
        <f t="shared" si="15"/>
        <v>1</v>
      </c>
      <c r="F14" s="142">
        <f t="shared" si="15"/>
        <v>1</v>
      </c>
      <c r="G14" s="142">
        <f t="shared" si="15"/>
        <v>1</v>
      </c>
      <c r="H14" s="142">
        <f t="shared" si="15"/>
        <v>1</v>
      </c>
      <c r="I14" s="142">
        <f t="shared" si="3"/>
        <v>7</v>
      </c>
    </row>
    <row r="15" ht="15.75" customHeight="1">
      <c r="A15" s="142">
        <f t="shared" ref="A15:H15" si="16">IF(ISBLANK(#REF!),0,1)</f>
        <v>1</v>
      </c>
      <c r="B15" s="142">
        <f t="shared" si="16"/>
        <v>1</v>
      </c>
      <c r="C15" s="142">
        <f t="shared" si="16"/>
        <v>1</v>
      </c>
      <c r="D15" s="142">
        <f t="shared" si="16"/>
        <v>1</v>
      </c>
      <c r="E15" s="142">
        <f t="shared" si="16"/>
        <v>1</v>
      </c>
      <c r="F15" s="142">
        <f t="shared" si="16"/>
        <v>1</v>
      </c>
      <c r="G15" s="142">
        <f t="shared" si="16"/>
        <v>1</v>
      </c>
      <c r="H15" s="142">
        <f t="shared" si="16"/>
        <v>1</v>
      </c>
      <c r="I15" s="142">
        <f t="shared" si="3"/>
        <v>7</v>
      </c>
    </row>
    <row r="16" ht="15.75" customHeight="1">
      <c r="A16" s="142">
        <f t="shared" ref="A16:H16" si="17">IF(ISBLANK(#REF!),0,1)</f>
        <v>1</v>
      </c>
      <c r="B16" s="142">
        <f t="shared" si="17"/>
        <v>1</v>
      </c>
      <c r="C16" s="142">
        <f t="shared" si="17"/>
        <v>1</v>
      </c>
      <c r="D16" s="142">
        <f t="shared" si="17"/>
        <v>1</v>
      </c>
      <c r="E16" s="142">
        <f t="shared" si="17"/>
        <v>1</v>
      </c>
      <c r="F16" s="142">
        <f t="shared" si="17"/>
        <v>1</v>
      </c>
      <c r="G16" s="142">
        <f t="shared" si="17"/>
        <v>1</v>
      </c>
      <c r="H16" s="142">
        <f t="shared" si="17"/>
        <v>1</v>
      </c>
      <c r="I16" s="142">
        <f t="shared" si="3"/>
        <v>7</v>
      </c>
    </row>
    <row r="17" ht="15.75" customHeight="1">
      <c r="A17" s="142">
        <f t="shared" ref="A17:H17" si="18">IF(ISBLANK(#REF!),0,1)</f>
        <v>1</v>
      </c>
      <c r="B17" s="142">
        <f t="shared" si="18"/>
        <v>1</v>
      </c>
      <c r="C17" s="142">
        <f t="shared" si="18"/>
        <v>1</v>
      </c>
      <c r="D17" s="142">
        <f t="shared" si="18"/>
        <v>1</v>
      </c>
      <c r="E17" s="142">
        <f t="shared" si="18"/>
        <v>1</v>
      </c>
      <c r="F17" s="142">
        <f t="shared" si="18"/>
        <v>1</v>
      </c>
      <c r="G17" s="142">
        <f t="shared" si="18"/>
        <v>1</v>
      </c>
      <c r="H17" s="142">
        <f t="shared" si="18"/>
        <v>1</v>
      </c>
      <c r="I17" s="142">
        <f t="shared" si="3"/>
        <v>7</v>
      </c>
    </row>
    <row r="18" ht="15.75" customHeight="1">
      <c r="A18" s="142">
        <f t="shared" ref="A18:H18" si="19">IF(ISBLANK(#REF!),0,1)</f>
        <v>1</v>
      </c>
      <c r="B18" s="142">
        <f t="shared" si="19"/>
        <v>1</v>
      </c>
      <c r="C18" s="142">
        <f t="shared" si="19"/>
        <v>1</v>
      </c>
      <c r="D18" s="142">
        <f t="shared" si="19"/>
        <v>1</v>
      </c>
      <c r="E18" s="142">
        <f t="shared" si="19"/>
        <v>1</v>
      </c>
      <c r="F18" s="142">
        <f t="shared" si="19"/>
        <v>1</v>
      </c>
      <c r="G18" s="142">
        <f t="shared" si="19"/>
        <v>1</v>
      </c>
      <c r="H18" s="142">
        <f t="shared" si="19"/>
        <v>1</v>
      </c>
      <c r="I18" s="142">
        <f t="shared" si="3"/>
        <v>7</v>
      </c>
    </row>
    <row r="19" ht="15.75" customHeight="1">
      <c r="A19" s="142">
        <f t="shared" ref="A19:H19" si="20">IF(ISBLANK(#REF!),0,1)</f>
        <v>1</v>
      </c>
      <c r="B19" s="142">
        <f t="shared" si="20"/>
        <v>1</v>
      </c>
      <c r="C19" s="142">
        <f t="shared" si="20"/>
        <v>1</v>
      </c>
      <c r="D19" s="142">
        <f t="shared" si="20"/>
        <v>1</v>
      </c>
      <c r="E19" s="142">
        <f t="shared" si="20"/>
        <v>1</v>
      </c>
      <c r="F19" s="142">
        <f t="shared" si="20"/>
        <v>1</v>
      </c>
      <c r="G19" s="142">
        <f t="shared" si="20"/>
        <v>1</v>
      </c>
      <c r="H19" s="142">
        <f t="shared" si="20"/>
        <v>1</v>
      </c>
      <c r="I19" s="142">
        <f t="shared" si="3"/>
        <v>7</v>
      </c>
    </row>
    <row r="20" ht="15.75" customHeight="1">
      <c r="A20" s="142">
        <f t="shared" ref="A20:H20" si="21">IF(ISBLANK(#REF!),0,1)</f>
        <v>1</v>
      </c>
      <c r="B20" s="142">
        <f t="shared" si="21"/>
        <v>1</v>
      </c>
      <c r="C20" s="142">
        <f t="shared" si="21"/>
        <v>1</v>
      </c>
      <c r="D20" s="142">
        <f t="shared" si="21"/>
        <v>1</v>
      </c>
      <c r="E20" s="142">
        <f t="shared" si="21"/>
        <v>1</v>
      </c>
      <c r="F20" s="142">
        <f t="shared" si="21"/>
        <v>1</v>
      </c>
      <c r="G20" s="142">
        <f t="shared" si="21"/>
        <v>1</v>
      </c>
      <c r="H20" s="142">
        <f t="shared" si="21"/>
        <v>1</v>
      </c>
      <c r="I20" s="142">
        <f t="shared" si="3"/>
        <v>7</v>
      </c>
    </row>
    <row r="21" ht="15.75" customHeight="1">
      <c r="A21" s="142">
        <f t="shared" ref="A21:H21" si="22">IF(ISBLANK(#REF!),0,1)</f>
        <v>1</v>
      </c>
      <c r="B21" s="142">
        <f t="shared" si="22"/>
        <v>1</v>
      </c>
      <c r="C21" s="142">
        <f t="shared" si="22"/>
        <v>1</v>
      </c>
      <c r="D21" s="142">
        <f t="shared" si="22"/>
        <v>1</v>
      </c>
      <c r="E21" s="142">
        <f t="shared" si="22"/>
        <v>1</v>
      </c>
      <c r="F21" s="142">
        <f t="shared" si="22"/>
        <v>1</v>
      </c>
      <c r="G21" s="142">
        <f t="shared" si="22"/>
        <v>1</v>
      </c>
      <c r="H21" s="142">
        <f t="shared" si="22"/>
        <v>1</v>
      </c>
      <c r="I21" s="142">
        <f t="shared" si="3"/>
        <v>7</v>
      </c>
    </row>
    <row r="22" ht="15.75" customHeight="1">
      <c r="A22" s="142">
        <f t="shared" ref="A22:H22" si="23">IF(ISBLANK(#REF!),0,1)</f>
        <v>1</v>
      </c>
      <c r="B22" s="142">
        <f t="shared" si="23"/>
        <v>1</v>
      </c>
      <c r="C22" s="142">
        <f t="shared" si="23"/>
        <v>1</v>
      </c>
      <c r="D22" s="142">
        <f t="shared" si="23"/>
        <v>1</v>
      </c>
      <c r="E22" s="142">
        <f t="shared" si="23"/>
        <v>1</v>
      </c>
      <c r="F22" s="142">
        <f t="shared" si="23"/>
        <v>1</v>
      </c>
      <c r="G22" s="142">
        <f t="shared" si="23"/>
        <v>1</v>
      </c>
      <c r="H22" s="142">
        <f t="shared" si="23"/>
        <v>1</v>
      </c>
      <c r="I22" s="142">
        <f t="shared" si="3"/>
        <v>7</v>
      </c>
    </row>
    <row r="23" ht="15.75" customHeight="1">
      <c r="A23" s="142">
        <f t="shared" ref="A23:H23" si="24">IF(ISBLANK(#REF!),0,1)</f>
        <v>1</v>
      </c>
      <c r="B23" s="142">
        <f t="shared" si="24"/>
        <v>1</v>
      </c>
      <c r="C23" s="142">
        <f t="shared" si="24"/>
        <v>1</v>
      </c>
      <c r="D23" s="142">
        <f t="shared" si="24"/>
        <v>1</v>
      </c>
      <c r="E23" s="142">
        <f t="shared" si="24"/>
        <v>1</v>
      </c>
      <c r="F23" s="142">
        <f t="shared" si="24"/>
        <v>1</v>
      </c>
      <c r="G23" s="142">
        <f t="shared" si="24"/>
        <v>1</v>
      </c>
      <c r="H23" s="142">
        <f t="shared" si="24"/>
        <v>1</v>
      </c>
      <c r="I23" s="142">
        <f t="shared" si="3"/>
        <v>7</v>
      </c>
    </row>
    <row r="24" ht="15.75" customHeight="1">
      <c r="A24" s="142">
        <f t="shared" ref="A24:H24" si="25">IF(ISBLANK(#REF!),0,1)</f>
        <v>1</v>
      </c>
      <c r="B24" s="142">
        <f t="shared" si="25"/>
        <v>1</v>
      </c>
      <c r="C24" s="142">
        <f t="shared" si="25"/>
        <v>1</v>
      </c>
      <c r="D24" s="142">
        <f t="shared" si="25"/>
        <v>1</v>
      </c>
      <c r="E24" s="142">
        <f t="shared" si="25"/>
        <v>1</v>
      </c>
      <c r="F24" s="142">
        <f t="shared" si="25"/>
        <v>1</v>
      </c>
      <c r="G24" s="142">
        <f t="shared" si="25"/>
        <v>1</v>
      </c>
      <c r="H24" s="142">
        <f t="shared" si="25"/>
        <v>1</v>
      </c>
      <c r="I24" s="142">
        <f t="shared" si="3"/>
        <v>7</v>
      </c>
    </row>
    <row r="25" ht="15.75" customHeight="1">
      <c r="A25" s="142">
        <f t="shared" ref="A25:H25" si="26">IF(ISBLANK(#REF!),0,1)</f>
        <v>1</v>
      </c>
      <c r="B25" s="142">
        <f t="shared" si="26"/>
        <v>1</v>
      </c>
      <c r="C25" s="142">
        <f t="shared" si="26"/>
        <v>1</v>
      </c>
      <c r="D25" s="142">
        <f t="shared" si="26"/>
        <v>1</v>
      </c>
      <c r="E25" s="142">
        <f t="shared" si="26"/>
        <v>1</v>
      </c>
      <c r="F25" s="142">
        <f t="shared" si="26"/>
        <v>1</v>
      </c>
      <c r="G25" s="142">
        <f t="shared" si="26"/>
        <v>1</v>
      </c>
      <c r="H25" s="142">
        <f t="shared" si="26"/>
        <v>1</v>
      </c>
      <c r="I25" s="142">
        <f t="shared" si="3"/>
        <v>7</v>
      </c>
    </row>
    <row r="26" ht="15.75" customHeight="1">
      <c r="A26" s="142">
        <f t="shared" ref="A26:H26" si="27">IF(ISBLANK(#REF!),0,1)</f>
        <v>1</v>
      </c>
      <c r="B26" s="142">
        <f t="shared" si="27"/>
        <v>1</v>
      </c>
      <c r="C26" s="142">
        <f t="shared" si="27"/>
        <v>1</v>
      </c>
      <c r="D26" s="142">
        <f t="shared" si="27"/>
        <v>1</v>
      </c>
      <c r="E26" s="142">
        <f t="shared" si="27"/>
        <v>1</v>
      </c>
      <c r="F26" s="142">
        <f t="shared" si="27"/>
        <v>1</v>
      </c>
      <c r="G26" s="142">
        <f t="shared" si="27"/>
        <v>1</v>
      </c>
      <c r="H26" s="142">
        <f t="shared" si="27"/>
        <v>1</v>
      </c>
      <c r="I26" s="142">
        <f t="shared" si="3"/>
        <v>7</v>
      </c>
    </row>
    <row r="27" ht="15.75" customHeight="1">
      <c r="A27" s="142">
        <f t="shared" ref="A27:H27" si="28">IF(ISBLANK(#REF!),0,1)</f>
        <v>1</v>
      </c>
      <c r="B27" s="142">
        <f t="shared" si="28"/>
        <v>1</v>
      </c>
      <c r="C27" s="142">
        <f t="shared" si="28"/>
        <v>1</v>
      </c>
      <c r="D27" s="142">
        <f t="shared" si="28"/>
        <v>1</v>
      </c>
      <c r="E27" s="142">
        <f t="shared" si="28"/>
        <v>1</v>
      </c>
      <c r="F27" s="142">
        <f t="shared" si="28"/>
        <v>1</v>
      </c>
      <c r="G27" s="142">
        <f t="shared" si="28"/>
        <v>1</v>
      </c>
      <c r="H27" s="142">
        <f t="shared" si="28"/>
        <v>1</v>
      </c>
      <c r="I27" s="142">
        <f t="shared" si="3"/>
        <v>7</v>
      </c>
    </row>
    <row r="28" ht="15.75" customHeight="1">
      <c r="A28" s="142">
        <f t="shared" ref="A28:H28" si="29">IF(ISBLANK(#REF!),0,1)</f>
        <v>1</v>
      </c>
      <c r="B28" s="142">
        <f t="shared" si="29"/>
        <v>1</v>
      </c>
      <c r="C28" s="142">
        <f t="shared" si="29"/>
        <v>1</v>
      </c>
      <c r="D28" s="142">
        <f t="shared" si="29"/>
        <v>1</v>
      </c>
      <c r="E28" s="142">
        <f t="shared" si="29"/>
        <v>1</v>
      </c>
      <c r="F28" s="142">
        <f t="shared" si="29"/>
        <v>1</v>
      </c>
      <c r="G28" s="142">
        <f t="shared" si="29"/>
        <v>1</v>
      </c>
      <c r="H28" s="142">
        <f t="shared" si="29"/>
        <v>1</v>
      </c>
      <c r="I28" s="142">
        <f t="shared" si="3"/>
        <v>7</v>
      </c>
    </row>
    <row r="29" ht="15.75" customHeight="1">
      <c r="A29" s="142">
        <f t="shared" ref="A29:H29" si="30">IF(ISBLANK(#REF!),0,1)</f>
        <v>1</v>
      </c>
      <c r="B29" s="142">
        <f t="shared" si="30"/>
        <v>1</v>
      </c>
      <c r="C29" s="142">
        <f t="shared" si="30"/>
        <v>1</v>
      </c>
      <c r="D29" s="142">
        <f t="shared" si="30"/>
        <v>1</v>
      </c>
      <c r="E29" s="142">
        <f t="shared" si="30"/>
        <v>1</v>
      </c>
      <c r="F29" s="142">
        <f t="shared" si="30"/>
        <v>1</v>
      </c>
      <c r="G29" s="142">
        <f t="shared" si="30"/>
        <v>1</v>
      </c>
      <c r="H29" s="142">
        <f t="shared" si="30"/>
        <v>1</v>
      </c>
      <c r="I29" s="142">
        <f t="shared" si="3"/>
        <v>7</v>
      </c>
    </row>
    <row r="30" ht="15.75" customHeight="1">
      <c r="A30" s="142">
        <f t="shared" ref="A30:H30" si="31">IF(ISBLANK(#REF!),0,1)</f>
        <v>1</v>
      </c>
      <c r="B30" s="142">
        <f t="shared" si="31"/>
        <v>1</v>
      </c>
      <c r="C30" s="142">
        <f t="shared" si="31"/>
        <v>1</v>
      </c>
      <c r="D30" s="142">
        <f t="shared" si="31"/>
        <v>1</v>
      </c>
      <c r="E30" s="142">
        <f t="shared" si="31"/>
        <v>1</v>
      </c>
      <c r="F30" s="142">
        <f t="shared" si="31"/>
        <v>1</v>
      </c>
      <c r="G30" s="142">
        <f t="shared" si="31"/>
        <v>1</v>
      </c>
      <c r="H30" s="142">
        <f t="shared" si="31"/>
        <v>1</v>
      </c>
      <c r="I30" s="142">
        <f t="shared" si="3"/>
        <v>7</v>
      </c>
    </row>
    <row r="31" ht="15.75" customHeight="1">
      <c r="A31" s="142">
        <f t="shared" ref="A31:H31" si="32">IF(ISBLANK(#REF!),0,1)</f>
        <v>1</v>
      </c>
      <c r="B31" s="142">
        <f t="shared" si="32"/>
        <v>1</v>
      </c>
      <c r="C31" s="142">
        <f t="shared" si="32"/>
        <v>1</v>
      </c>
      <c r="D31" s="142">
        <f t="shared" si="32"/>
        <v>1</v>
      </c>
      <c r="E31" s="142">
        <f t="shared" si="32"/>
        <v>1</v>
      </c>
      <c r="F31" s="142">
        <f t="shared" si="32"/>
        <v>1</v>
      </c>
      <c r="G31" s="142">
        <f t="shared" si="32"/>
        <v>1</v>
      </c>
      <c r="H31" s="142">
        <f t="shared" si="32"/>
        <v>1</v>
      </c>
      <c r="I31" s="142">
        <f t="shared" si="3"/>
        <v>7</v>
      </c>
    </row>
    <row r="32" ht="15.75" customHeight="1">
      <c r="A32" s="142">
        <f t="shared" ref="A32:H32" si="33">IF(ISBLANK(#REF!),0,1)</f>
        <v>1</v>
      </c>
      <c r="B32" s="142">
        <f t="shared" si="33"/>
        <v>1</v>
      </c>
      <c r="C32" s="142">
        <f t="shared" si="33"/>
        <v>1</v>
      </c>
      <c r="D32" s="142">
        <f t="shared" si="33"/>
        <v>1</v>
      </c>
      <c r="E32" s="142">
        <f t="shared" si="33"/>
        <v>1</v>
      </c>
      <c r="F32" s="142">
        <f t="shared" si="33"/>
        <v>1</v>
      </c>
      <c r="G32" s="142">
        <f t="shared" si="33"/>
        <v>1</v>
      </c>
      <c r="H32" s="142">
        <f t="shared" si="33"/>
        <v>1</v>
      </c>
      <c r="I32" s="142">
        <f t="shared" si="3"/>
        <v>7</v>
      </c>
    </row>
    <row r="33" ht="15.75" customHeight="1">
      <c r="A33" s="142">
        <f t="shared" ref="A33:H33" si="34">IF(ISBLANK(#REF!),0,1)</f>
        <v>1</v>
      </c>
      <c r="B33" s="142">
        <f t="shared" si="34"/>
        <v>1</v>
      </c>
      <c r="C33" s="142">
        <f t="shared" si="34"/>
        <v>1</v>
      </c>
      <c r="D33" s="142">
        <f t="shared" si="34"/>
        <v>1</v>
      </c>
      <c r="E33" s="142">
        <f t="shared" si="34"/>
        <v>1</v>
      </c>
      <c r="F33" s="142">
        <f t="shared" si="34"/>
        <v>1</v>
      </c>
      <c r="G33" s="142">
        <f t="shared" si="34"/>
        <v>1</v>
      </c>
      <c r="H33" s="142">
        <f t="shared" si="34"/>
        <v>1</v>
      </c>
      <c r="I33" s="142">
        <f t="shared" si="3"/>
        <v>7</v>
      </c>
    </row>
    <row r="34" ht="15.75" customHeight="1">
      <c r="A34" s="142">
        <f t="shared" ref="A34:H34" si="35">IF(ISBLANK(#REF!),0,1)</f>
        <v>1</v>
      </c>
      <c r="B34" s="142">
        <f t="shared" si="35"/>
        <v>1</v>
      </c>
      <c r="C34" s="142">
        <f t="shared" si="35"/>
        <v>1</v>
      </c>
      <c r="D34" s="142">
        <f t="shared" si="35"/>
        <v>1</v>
      </c>
      <c r="E34" s="142">
        <f t="shared" si="35"/>
        <v>1</v>
      </c>
      <c r="F34" s="142">
        <f t="shared" si="35"/>
        <v>1</v>
      </c>
      <c r="G34" s="142">
        <f t="shared" si="35"/>
        <v>1</v>
      </c>
      <c r="H34" s="142">
        <f t="shared" si="35"/>
        <v>1</v>
      </c>
      <c r="I34" s="142">
        <f t="shared" si="3"/>
        <v>7</v>
      </c>
    </row>
    <row r="35" ht="15.75" customHeight="1">
      <c r="A35" s="142">
        <f t="shared" ref="A35:H35" si="36">IF(ISBLANK(#REF!),0,1)</f>
        <v>1</v>
      </c>
      <c r="B35" s="142">
        <f t="shared" si="36"/>
        <v>1</v>
      </c>
      <c r="C35" s="142">
        <f t="shared" si="36"/>
        <v>1</v>
      </c>
      <c r="D35" s="142">
        <f t="shared" si="36"/>
        <v>1</v>
      </c>
      <c r="E35" s="142">
        <f t="shared" si="36"/>
        <v>1</v>
      </c>
      <c r="F35" s="142">
        <f t="shared" si="36"/>
        <v>1</v>
      </c>
      <c r="G35" s="142">
        <f t="shared" si="36"/>
        <v>1</v>
      </c>
      <c r="H35" s="142">
        <f t="shared" si="36"/>
        <v>1</v>
      </c>
      <c r="I35" s="142">
        <f t="shared" si="3"/>
        <v>7</v>
      </c>
    </row>
    <row r="36" ht="15.75" customHeight="1">
      <c r="A36" s="142">
        <f t="shared" ref="A36:H36" si="37">IF(ISBLANK(#REF!),0,1)</f>
        <v>1</v>
      </c>
      <c r="B36" s="142">
        <f t="shared" si="37"/>
        <v>1</v>
      </c>
      <c r="C36" s="142">
        <f t="shared" si="37"/>
        <v>1</v>
      </c>
      <c r="D36" s="142">
        <f t="shared" si="37"/>
        <v>1</v>
      </c>
      <c r="E36" s="142">
        <f t="shared" si="37"/>
        <v>1</v>
      </c>
      <c r="F36" s="142">
        <f t="shared" si="37"/>
        <v>1</v>
      </c>
      <c r="G36" s="142">
        <f t="shared" si="37"/>
        <v>1</v>
      </c>
      <c r="H36" s="142">
        <f t="shared" si="37"/>
        <v>1</v>
      </c>
      <c r="I36" s="142">
        <f t="shared" si="3"/>
        <v>7</v>
      </c>
    </row>
    <row r="37" ht="15.75" customHeight="1">
      <c r="A37" s="142">
        <f t="shared" ref="A37:H37" si="38">IF(ISBLANK(#REF!),0,1)</f>
        <v>1</v>
      </c>
      <c r="B37" s="142">
        <f t="shared" si="38"/>
        <v>1</v>
      </c>
      <c r="C37" s="142">
        <f t="shared" si="38"/>
        <v>1</v>
      </c>
      <c r="D37" s="142">
        <f t="shared" si="38"/>
        <v>1</v>
      </c>
      <c r="E37" s="142">
        <f t="shared" si="38"/>
        <v>1</v>
      </c>
      <c r="F37" s="142">
        <f t="shared" si="38"/>
        <v>1</v>
      </c>
      <c r="G37" s="142">
        <f t="shared" si="38"/>
        <v>1</v>
      </c>
      <c r="H37" s="142">
        <f t="shared" si="38"/>
        <v>1</v>
      </c>
      <c r="I37" s="142">
        <f t="shared" si="3"/>
        <v>7</v>
      </c>
    </row>
    <row r="38" ht="15.75" customHeight="1">
      <c r="A38" s="142">
        <f t="shared" ref="A38:H38" si="39">IF(ISBLANK(#REF!),0,1)</f>
        <v>1</v>
      </c>
      <c r="B38" s="142">
        <f t="shared" si="39"/>
        <v>1</v>
      </c>
      <c r="C38" s="142">
        <f t="shared" si="39"/>
        <v>1</v>
      </c>
      <c r="D38" s="142">
        <f t="shared" si="39"/>
        <v>1</v>
      </c>
      <c r="E38" s="142">
        <f t="shared" si="39"/>
        <v>1</v>
      </c>
      <c r="F38" s="142">
        <f t="shared" si="39"/>
        <v>1</v>
      </c>
      <c r="G38" s="142">
        <f t="shared" si="39"/>
        <v>1</v>
      </c>
      <c r="H38" s="142">
        <f t="shared" si="39"/>
        <v>1</v>
      </c>
      <c r="I38" s="142">
        <f t="shared" si="3"/>
        <v>7</v>
      </c>
    </row>
    <row r="39" ht="15.75" customHeight="1">
      <c r="A39" s="142">
        <f t="shared" ref="A39:H39" si="40">IF(ISBLANK(#REF!),0,1)</f>
        <v>1</v>
      </c>
      <c r="B39" s="142">
        <f t="shared" si="40"/>
        <v>1</v>
      </c>
      <c r="C39" s="142">
        <f t="shared" si="40"/>
        <v>1</v>
      </c>
      <c r="D39" s="142">
        <f t="shared" si="40"/>
        <v>1</v>
      </c>
      <c r="E39" s="142">
        <f t="shared" si="40"/>
        <v>1</v>
      </c>
      <c r="F39" s="142">
        <f t="shared" si="40"/>
        <v>1</v>
      </c>
      <c r="G39" s="142">
        <f t="shared" si="40"/>
        <v>1</v>
      </c>
      <c r="H39" s="142">
        <f t="shared" si="40"/>
        <v>1</v>
      </c>
      <c r="I39" s="142">
        <f t="shared" si="3"/>
        <v>7</v>
      </c>
    </row>
    <row r="40" ht="15.75" customHeight="1">
      <c r="A40" s="142">
        <f t="shared" ref="A40:H40" si="41">IF(ISBLANK(#REF!),0,1)</f>
        <v>1</v>
      </c>
      <c r="B40" s="142">
        <f t="shared" si="41"/>
        <v>1</v>
      </c>
      <c r="C40" s="142">
        <f t="shared" si="41"/>
        <v>1</v>
      </c>
      <c r="D40" s="142">
        <f t="shared" si="41"/>
        <v>1</v>
      </c>
      <c r="E40" s="142">
        <f t="shared" si="41"/>
        <v>1</v>
      </c>
      <c r="F40" s="142">
        <f t="shared" si="41"/>
        <v>1</v>
      </c>
      <c r="G40" s="142">
        <f t="shared" si="41"/>
        <v>1</v>
      </c>
      <c r="H40" s="142">
        <f t="shared" si="41"/>
        <v>1</v>
      </c>
      <c r="I40" s="142">
        <f t="shared" si="3"/>
        <v>7</v>
      </c>
    </row>
    <row r="41" ht="15.75" customHeight="1">
      <c r="A41" s="142">
        <f t="shared" ref="A41:H41" si="42">IF(ISBLANK(#REF!),0,1)</f>
        <v>1</v>
      </c>
      <c r="B41" s="142">
        <f t="shared" si="42"/>
        <v>1</v>
      </c>
      <c r="C41" s="142">
        <f t="shared" si="42"/>
        <v>1</v>
      </c>
      <c r="D41" s="142">
        <f t="shared" si="42"/>
        <v>1</v>
      </c>
      <c r="E41" s="142">
        <f t="shared" si="42"/>
        <v>1</v>
      </c>
      <c r="F41" s="142">
        <f t="shared" si="42"/>
        <v>1</v>
      </c>
      <c r="G41" s="142">
        <f t="shared" si="42"/>
        <v>1</v>
      </c>
      <c r="H41" s="142">
        <f t="shared" si="42"/>
        <v>1</v>
      </c>
      <c r="I41" s="142">
        <f t="shared" si="3"/>
        <v>7</v>
      </c>
    </row>
    <row r="42" ht="15.75" customHeight="1">
      <c r="A42" s="142">
        <f t="shared" ref="A42:H42" si="43">IF(ISBLANK(#REF!),0,1)</f>
        <v>1</v>
      </c>
      <c r="B42" s="142">
        <f t="shared" si="43"/>
        <v>1</v>
      </c>
      <c r="C42" s="142">
        <f t="shared" si="43"/>
        <v>1</v>
      </c>
      <c r="D42" s="142">
        <f t="shared" si="43"/>
        <v>1</v>
      </c>
      <c r="E42" s="142">
        <f t="shared" si="43"/>
        <v>1</v>
      </c>
      <c r="F42" s="142">
        <f t="shared" si="43"/>
        <v>1</v>
      </c>
      <c r="G42" s="142">
        <f t="shared" si="43"/>
        <v>1</v>
      </c>
      <c r="H42" s="142">
        <f t="shared" si="43"/>
        <v>1</v>
      </c>
      <c r="I42" s="142">
        <f t="shared" si="3"/>
        <v>7</v>
      </c>
    </row>
    <row r="43" ht="15.75" customHeight="1">
      <c r="A43" s="142">
        <f>IF(ISBLANK('Plan - NL'!I28),0,1)</f>
        <v>1</v>
      </c>
      <c r="B43" s="142">
        <f>IF(ISBLANK('Plan - NL'!J28),0,1)</f>
        <v>1</v>
      </c>
      <c r="C43" s="142">
        <f>IF(ISBLANK('Plan - NL'!K28),0,1)</f>
        <v>1</v>
      </c>
      <c r="D43" s="142">
        <f>IF(ISBLANK('Plan - NL'!L28),0,1)</f>
        <v>1</v>
      </c>
      <c r="E43" s="142">
        <f>IF(ISBLANK('Plan - NL'!M28),0,1)</f>
        <v>1</v>
      </c>
      <c r="F43" s="142">
        <f>IF(ISBLANK('Plan - NL'!N28),0,1)</f>
        <v>1</v>
      </c>
      <c r="G43" s="142">
        <f>IF(ISBLANK('Plan - NL'!O28),0,1)</f>
        <v>1</v>
      </c>
      <c r="H43" s="142">
        <f>IF(ISBLANK('Plan - NL'!P28),0,1)</f>
        <v>0</v>
      </c>
      <c r="I43" s="142">
        <f t="shared" si="3"/>
        <v>7</v>
      </c>
    </row>
    <row r="44" ht="15.75" customHeight="1">
      <c r="A44" s="142">
        <f t="shared" ref="A44:H44" si="44">IF(ISBLANK(#REF!),0,1)</f>
        <v>1</v>
      </c>
      <c r="B44" s="142">
        <f t="shared" si="44"/>
        <v>1</v>
      </c>
      <c r="C44" s="142">
        <f t="shared" si="44"/>
        <v>1</v>
      </c>
      <c r="D44" s="142">
        <f t="shared" si="44"/>
        <v>1</v>
      </c>
      <c r="E44" s="142">
        <f t="shared" si="44"/>
        <v>1</v>
      </c>
      <c r="F44" s="142">
        <f t="shared" si="44"/>
        <v>1</v>
      </c>
      <c r="G44" s="142">
        <f t="shared" si="44"/>
        <v>1</v>
      </c>
      <c r="H44" s="142">
        <f t="shared" si="44"/>
        <v>1</v>
      </c>
      <c r="I44" s="142">
        <f t="shared" si="3"/>
        <v>7</v>
      </c>
    </row>
    <row r="45" ht="15.75" customHeight="1">
      <c r="A45" s="142">
        <f t="shared" ref="A45:H45" si="45">IF(ISBLANK(#REF!),0,1)</f>
        <v>1</v>
      </c>
      <c r="B45" s="142">
        <f t="shared" si="45"/>
        <v>1</v>
      </c>
      <c r="C45" s="142">
        <f t="shared" si="45"/>
        <v>1</v>
      </c>
      <c r="D45" s="142">
        <f t="shared" si="45"/>
        <v>1</v>
      </c>
      <c r="E45" s="142">
        <f t="shared" si="45"/>
        <v>1</v>
      </c>
      <c r="F45" s="142">
        <f t="shared" si="45"/>
        <v>1</v>
      </c>
      <c r="G45" s="142">
        <f t="shared" si="45"/>
        <v>1</v>
      </c>
      <c r="H45" s="142">
        <f t="shared" si="45"/>
        <v>1</v>
      </c>
      <c r="I45" s="142">
        <f t="shared" si="3"/>
        <v>7</v>
      </c>
    </row>
    <row r="46" ht="15.75" customHeight="1">
      <c r="A46" s="142">
        <f t="shared" ref="A46:H46" si="46">IF(ISBLANK(#REF!),0,1)</f>
        <v>1</v>
      </c>
      <c r="B46" s="142">
        <f t="shared" si="46"/>
        <v>1</v>
      </c>
      <c r="C46" s="142">
        <f t="shared" si="46"/>
        <v>1</v>
      </c>
      <c r="D46" s="142">
        <f t="shared" si="46"/>
        <v>1</v>
      </c>
      <c r="E46" s="142">
        <f t="shared" si="46"/>
        <v>1</v>
      </c>
      <c r="F46" s="142">
        <f t="shared" si="46"/>
        <v>1</v>
      </c>
      <c r="G46" s="142">
        <f t="shared" si="46"/>
        <v>1</v>
      </c>
      <c r="H46" s="142">
        <f t="shared" si="46"/>
        <v>1</v>
      </c>
      <c r="I46" s="142">
        <f t="shared" si="3"/>
        <v>7</v>
      </c>
    </row>
    <row r="47" ht="15.75" customHeight="1">
      <c r="A47" s="142">
        <f t="shared" ref="A47:H47" si="47">IF(ISBLANK(#REF!),0,1)</f>
        <v>1</v>
      </c>
      <c r="B47" s="142">
        <f t="shared" si="47"/>
        <v>1</v>
      </c>
      <c r="C47" s="142">
        <f t="shared" si="47"/>
        <v>1</v>
      </c>
      <c r="D47" s="142">
        <f t="shared" si="47"/>
        <v>1</v>
      </c>
      <c r="E47" s="142">
        <f t="shared" si="47"/>
        <v>1</v>
      </c>
      <c r="F47" s="142">
        <f t="shared" si="47"/>
        <v>1</v>
      </c>
      <c r="G47" s="142">
        <f t="shared" si="47"/>
        <v>1</v>
      </c>
      <c r="H47" s="142">
        <f t="shared" si="47"/>
        <v>1</v>
      </c>
      <c r="I47" s="142">
        <f t="shared" si="3"/>
        <v>7</v>
      </c>
    </row>
    <row r="48" ht="15.75" customHeight="1">
      <c r="A48" s="142">
        <f t="shared" ref="A48:D48" si="48">IF(ISBLANK(#REF!),0,1)</f>
        <v>1</v>
      </c>
      <c r="B48" s="142">
        <f t="shared" si="48"/>
        <v>1</v>
      </c>
      <c r="C48" s="142">
        <f t="shared" si="48"/>
        <v>1</v>
      </c>
      <c r="D48" s="142">
        <f t="shared" si="48"/>
        <v>1</v>
      </c>
      <c r="E48" s="142">
        <f>IF(ISBLANK('Plan - NL'!E38),0,1)</f>
        <v>1</v>
      </c>
      <c r="F48" s="142">
        <f t="shared" ref="F48:F51" si="50">IF(ISBLANK(#REF!),0,1)</f>
        <v>1</v>
      </c>
      <c r="G48" s="142">
        <f>IF(ISBLANK('Plan - NL'!G38),0,1)</f>
        <v>1</v>
      </c>
      <c r="H48" s="142">
        <f>IF(ISBLANK('Plan - NL'!H48),0,1)</f>
        <v>1</v>
      </c>
      <c r="I48" s="142">
        <f t="shared" si="3"/>
        <v>7</v>
      </c>
    </row>
    <row r="49" ht="15.75" customHeight="1">
      <c r="A49" s="142">
        <f t="shared" ref="A49:D49" si="49">IF(ISBLANK(#REF!),0,1)</f>
        <v>1</v>
      </c>
      <c r="B49" s="142">
        <f t="shared" si="49"/>
        <v>1</v>
      </c>
      <c r="C49" s="142">
        <f t="shared" si="49"/>
        <v>1</v>
      </c>
      <c r="D49" s="142">
        <f t="shared" si="49"/>
        <v>1</v>
      </c>
      <c r="E49" s="142">
        <f>IF(ISBLANK('Plan - NL'!E50),0,1)</f>
        <v>1</v>
      </c>
      <c r="F49" s="142">
        <f t="shared" si="50"/>
        <v>1</v>
      </c>
      <c r="G49" s="142">
        <f>IF(ISBLANK('Plan - NL'!G50),0,1)</f>
        <v>1</v>
      </c>
      <c r="H49" s="142">
        <f>IF(ISBLANK('Plan - NL'!H58),0,1)</f>
        <v>1</v>
      </c>
      <c r="I49" s="142">
        <f t="shared" si="3"/>
        <v>7</v>
      </c>
    </row>
    <row r="50" ht="15.75" customHeight="1">
      <c r="A50" s="142">
        <f t="shared" ref="A50:D50" si="51">IF(ISBLANK(#REF!),0,1)</f>
        <v>1</v>
      </c>
      <c r="B50" s="142">
        <f t="shared" si="51"/>
        <v>1</v>
      </c>
      <c r="C50" s="142">
        <f t="shared" si="51"/>
        <v>1</v>
      </c>
      <c r="D50" s="142">
        <f t="shared" si="51"/>
        <v>1</v>
      </c>
      <c r="E50" s="142">
        <f>IF(ISBLANK('Plan - NL'!E51),0,1)</f>
        <v>1</v>
      </c>
      <c r="F50" s="142">
        <f t="shared" si="50"/>
        <v>1</v>
      </c>
      <c r="G50" s="142">
        <f t="shared" ref="G50:G51" si="53">IF(ISBLANK(#REF!),0,1)</f>
        <v>1</v>
      </c>
      <c r="H50" s="142">
        <f>IF(ISBLANK('Plan - NL'!H41),0,1)</f>
        <v>1</v>
      </c>
      <c r="I50" s="142">
        <f t="shared" si="3"/>
        <v>7</v>
      </c>
    </row>
    <row r="51" ht="15.75" customHeight="1">
      <c r="A51" s="142">
        <f t="shared" ref="A51:D51" si="52">IF(ISBLANK(#REF!),0,1)</f>
        <v>1</v>
      </c>
      <c r="B51" s="142">
        <f t="shared" si="52"/>
        <v>1</v>
      </c>
      <c r="C51" s="142">
        <f t="shared" si="52"/>
        <v>1</v>
      </c>
      <c r="D51" s="142">
        <f t="shared" si="52"/>
        <v>1</v>
      </c>
      <c r="E51" s="142">
        <f>IF(ISBLANK('Plan - NL'!E37),0,1)</f>
        <v>1</v>
      </c>
      <c r="F51" s="142">
        <f t="shared" si="50"/>
        <v>1</v>
      </c>
      <c r="G51" s="142">
        <f t="shared" si="53"/>
        <v>1</v>
      </c>
      <c r="H51" s="142">
        <f t="shared" ref="H51:H55" si="55">IF(ISBLANK(#REF!),0,1)</f>
        <v>1</v>
      </c>
      <c r="I51" s="142">
        <f t="shared" si="3"/>
        <v>7</v>
      </c>
    </row>
    <row r="52" ht="15.75" customHeight="1">
      <c r="A52" s="142">
        <f t="shared" ref="A52:F52" si="54">IF(ISBLANK(#REF!),0,1)</f>
        <v>1</v>
      </c>
      <c r="B52" s="142">
        <f t="shared" si="54"/>
        <v>1</v>
      </c>
      <c r="C52" s="142">
        <f t="shared" si="54"/>
        <v>1</v>
      </c>
      <c r="D52" s="142">
        <f t="shared" si="54"/>
        <v>1</v>
      </c>
      <c r="E52" s="142">
        <f t="shared" si="54"/>
        <v>1</v>
      </c>
      <c r="F52" s="142">
        <f t="shared" si="54"/>
        <v>1</v>
      </c>
      <c r="G52" s="142">
        <f>IF(ISBLANK('Plan - NL'!J37),0,1)</f>
        <v>1</v>
      </c>
      <c r="H52" s="142">
        <f t="shared" si="55"/>
        <v>1</v>
      </c>
      <c r="I52" s="142">
        <f t="shared" si="3"/>
        <v>7</v>
      </c>
    </row>
    <row r="53" ht="15.75" customHeight="1">
      <c r="A53" s="142">
        <f t="shared" ref="A53:C53" si="56">IF(ISBLANK(#REF!),0,1)</f>
        <v>1</v>
      </c>
      <c r="B53" s="142">
        <f t="shared" si="56"/>
        <v>1</v>
      </c>
      <c r="C53" s="142">
        <f t="shared" si="56"/>
        <v>1</v>
      </c>
      <c r="D53" s="142">
        <f>IF(ISBLANK('Plan - NL'!M48),0,1)</f>
        <v>0</v>
      </c>
      <c r="E53" s="142">
        <f t="shared" ref="E53:F53" si="57">IF(ISBLANK(#REF!),0,1)</f>
        <v>1</v>
      </c>
      <c r="F53" s="142">
        <f t="shared" si="57"/>
        <v>1</v>
      </c>
      <c r="G53" s="142">
        <f>IF(ISBLANK('Plan - NL'!J48),0,1)</f>
        <v>1</v>
      </c>
      <c r="H53" s="142">
        <f t="shared" si="55"/>
        <v>1</v>
      </c>
      <c r="I53" s="142">
        <f t="shared" si="3"/>
        <v>6</v>
      </c>
    </row>
    <row r="54" ht="15.75" customHeight="1">
      <c r="A54" s="142">
        <f t="shared" ref="A54:C54" si="58">IF(ISBLANK(#REF!),0,1)</f>
        <v>1</v>
      </c>
      <c r="B54" s="142">
        <f t="shared" si="58"/>
        <v>1</v>
      </c>
      <c r="C54" s="142">
        <f t="shared" si="58"/>
        <v>1</v>
      </c>
      <c r="D54" s="142">
        <f>IF(ISBLANK('Plan - NL'!M58),0,1)</f>
        <v>0</v>
      </c>
      <c r="E54" s="142">
        <f t="shared" ref="E54:F54" si="59">IF(ISBLANK(#REF!),0,1)</f>
        <v>1</v>
      </c>
      <c r="F54" s="142">
        <f t="shared" si="59"/>
        <v>1</v>
      </c>
      <c r="G54" s="142">
        <f>IF(ISBLANK('Plan - NL'!J58),0,1)</f>
        <v>1</v>
      </c>
      <c r="H54" s="142">
        <f t="shared" si="55"/>
        <v>1</v>
      </c>
      <c r="I54" s="142">
        <f t="shared" si="3"/>
        <v>6</v>
      </c>
    </row>
    <row r="55" ht="15.75" customHeight="1">
      <c r="A55" s="142">
        <f t="shared" ref="A55:C55" si="60">IF(ISBLANK(#REF!),0,1)</f>
        <v>1</v>
      </c>
      <c r="B55" s="142">
        <f t="shared" si="60"/>
        <v>1</v>
      </c>
      <c r="C55" s="142">
        <f t="shared" si="60"/>
        <v>1</v>
      </c>
      <c r="D55" s="142">
        <f>IF(ISBLANK('Plan - NL'!M41),0,1)</f>
        <v>0</v>
      </c>
      <c r="E55" s="142">
        <f t="shared" ref="E55:F55" si="61">IF(ISBLANK(#REF!),0,1)</f>
        <v>1</v>
      </c>
      <c r="F55" s="142">
        <f t="shared" si="61"/>
        <v>1</v>
      </c>
      <c r="G55" s="142">
        <f>IF(ISBLANK('Plan - NL'!J41),0,1)</f>
        <v>1</v>
      </c>
      <c r="H55" s="142">
        <f t="shared" si="55"/>
        <v>1</v>
      </c>
      <c r="I55" s="142">
        <f t="shared" si="3"/>
        <v>6</v>
      </c>
    </row>
    <row r="56" ht="15.75" customHeight="1">
      <c r="A56" s="142">
        <f>IF(ISBLANK('Plan - NL'!J47),0,1)</f>
        <v>1</v>
      </c>
      <c r="B56" s="142">
        <f>IF(ISBLANK('Plan - NL'!K47),0,1)</f>
        <v>1</v>
      </c>
      <c r="C56" s="142">
        <f>IF(ISBLANK(#REF!),0,1)</f>
        <v>1</v>
      </c>
      <c r="D56" s="142">
        <f>IF(ISBLANK('Plan - NL'!M47),0,1)</f>
        <v>0</v>
      </c>
      <c r="E56" s="142">
        <f>IF(ISBLANK('Plan - NL'!N47),0,1)</f>
        <v>0</v>
      </c>
      <c r="F56" s="142">
        <f>IF(ISBLANK('Plan - NL'!O47),0,1)</f>
        <v>0</v>
      </c>
      <c r="G56" s="142">
        <f>IF(ISBLANK('Plan - NL'!P47),0,1)</f>
        <v>0</v>
      </c>
      <c r="H56" s="142">
        <f>IF(ISBLANK('Plan - NL'!Q47),0,1)</f>
        <v>0</v>
      </c>
      <c r="I56" s="142">
        <f t="shared" si="3"/>
        <v>3</v>
      </c>
    </row>
    <row r="57" ht="15.75" customHeight="1">
      <c r="A57" s="142">
        <f t="shared" ref="A57:H57" si="62">IF(ISBLANK(#REF!),0,1)</f>
        <v>1</v>
      </c>
      <c r="B57" s="142">
        <f t="shared" si="62"/>
        <v>1</v>
      </c>
      <c r="C57" s="142">
        <f t="shared" si="62"/>
        <v>1</v>
      </c>
      <c r="D57" s="142">
        <f t="shared" si="62"/>
        <v>1</v>
      </c>
      <c r="E57" s="142">
        <f t="shared" si="62"/>
        <v>1</v>
      </c>
      <c r="F57" s="142">
        <f t="shared" si="62"/>
        <v>1</v>
      </c>
      <c r="G57" s="142">
        <f t="shared" si="62"/>
        <v>1</v>
      </c>
      <c r="H57" s="142">
        <f t="shared" si="62"/>
        <v>1</v>
      </c>
      <c r="I57" s="142">
        <f t="shared" si="3"/>
        <v>7</v>
      </c>
    </row>
    <row r="58" ht="15.75" customHeight="1">
      <c r="A58" s="142">
        <f t="shared" ref="A58:H58" si="63">IF(ISBLANK(#REF!),0,1)</f>
        <v>1</v>
      </c>
      <c r="B58" s="142">
        <f t="shared" si="63"/>
        <v>1</v>
      </c>
      <c r="C58" s="142">
        <f t="shared" si="63"/>
        <v>1</v>
      </c>
      <c r="D58" s="142">
        <f t="shared" si="63"/>
        <v>1</v>
      </c>
      <c r="E58" s="142">
        <f t="shared" si="63"/>
        <v>1</v>
      </c>
      <c r="F58" s="142">
        <f t="shared" si="63"/>
        <v>1</v>
      </c>
      <c r="G58" s="142">
        <f t="shared" si="63"/>
        <v>1</v>
      </c>
      <c r="H58" s="142">
        <f t="shared" si="63"/>
        <v>1</v>
      </c>
      <c r="I58" s="142">
        <f t="shared" si="3"/>
        <v>7</v>
      </c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26" width="15.1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88"/>
    <col customWidth="1" min="2" max="2" width="8.5"/>
    <col customWidth="1" min="3" max="3" width="7.25"/>
    <col customWidth="1" min="4" max="4" width="7.13"/>
    <col customWidth="1" min="5" max="5" width="9.0"/>
    <col customWidth="1" min="6" max="6" width="11.25"/>
    <col customWidth="1" min="7" max="8" width="10.5"/>
    <col customWidth="1" min="9" max="13" width="5.0"/>
    <col customWidth="1" min="14" max="14" width="4.5"/>
    <col customWidth="1" min="15" max="16" width="5.0"/>
    <col customWidth="1" min="17" max="17" width="23.5"/>
    <col customWidth="1" min="18" max="18" width="14.0"/>
    <col customWidth="1" min="19" max="19" width="7.88"/>
    <col customWidth="1" min="20" max="20" width="8.75"/>
    <col customWidth="1" min="21" max="22" width="15.13"/>
    <col customWidth="1" min="23" max="23" width="3.75"/>
    <col customWidth="1" min="24" max="24" width="15.13"/>
    <col customWidth="1" min="25" max="25" width="11.0"/>
    <col customWidth="1" min="26" max="26" width="8.13"/>
    <col customWidth="1" min="27" max="27" width="9.75"/>
    <col customWidth="1" min="28" max="28" width="7.25"/>
    <col customWidth="1" min="29" max="29" width="7.0"/>
    <col customWidth="1" min="30" max="30" width="9.63"/>
    <col customWidth="1" min="31" max="31" width="5.5"/>
    <col customWidth="1" min="32" max="32" width="5.13"/>
  </cols>
  <sheetData>
    <row r="1" ht="15.75" customHeight="1">
      <c r="A1" s="146" t="s">
        <v>297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Q1" s="148" t="s">
        <v>16</v>
      </c>
      <c r="R1" s="147"/>
      <c r="S1" s="148"/>
      <c r="T1" s="147"/>
      <c r="U1" s="147"/>
      <c r="V1" s="147"/>
      <c r="W1" s="147"/>
      <c r="X1" s="147"/>
      <c r="Y1" s="147"/>
      <c r="AA1" s="147"/>
      <c r="AB1" s="147"/>
      <c r="AC1" s="147"/>
      <c r="AD1" s="147"/>
      <c r="AE1" s="147"/>
      <c r="AF1" s="147"/>
    </row>
    <row r="2" ht="15.75" customHeight="1">
      <c r="A2" s="174">
        <v>105329.0</v>
      </c>
      <c r="B2" s="175">
        <v>0.0</v>
      </c>
      <c r="C2" s="176" t="s">
        <v>39</v>
      </c>
      <c r="D2" s="176">
        <v>30.0</v>
      </c>
      <c r="E2" s="176" t="s">
        <v>40</v>
      </c>
      <c r="F2" s="178">
        <v>0.5833333333333334</v>
      </c>
      <c r="G2" s="176" t="s">
        <v>55</v>
      </c>
      <c r="H2" s="240" t="s">
        <v>47</v>
      </c>
      <c r="I2" s="241" t="str">
        <f t="shared" ref="I2:P2" si="1">#REF!</f>
        <v>#REF!</v>
      </c>
      <c r="J2" s="241" t="str">
        <f t="shared" si="1"/>
        <v>#REF!</v>
      </c>
      <c r="K2" s="241" t="str">
        <f t="shared" si="1"/>
        <v>#REF!</v>
      </c>
      <c r="L2" s="241" t="str">
        <f t="shared" si="1"/>
        <v>#REF!</v>
      </c>
      <c r="M2" s="241" t="str">
        <f t="shared" si="1"/>
        <v>#REF!</v>
      </c>
      <c r="N2" s="241" t="str">
        <f t="shared" si="1"/>
        <v>#REF!</v>
      </c>
      <c r="O2" s="241" t="str">
        <f t="shared" si="1"/>
        <v>#REF!</v>
      </c>
      <c r="P2" s="241" t="str">
        <f t="shared" si="1"/>
        <v>#REF!</v>
      </c>
      <c r="Q2" s="204" t="s">
        <v>396</v>
      </c>
      <c r="R2" s="157"/>
      <c r="S2" s="242"/>
      <c r="T2" s="224"/>
      <c r="U2" s="224"/>
      <c r="V2" s="224"/>
      <c r="W2" s="224"/>
      <c r="X2" s="224"/>
      <c r="Y2" s="224"/>
      <c r="AA2" s="224"/>
      <c r="AB2" s="128"/>
      <c r="AC2" s="128"/>
      <c r="AD2" s="128"/>
      <c r="AE2" s="128"/>
      <c r="AF2" s="128"/>
    </row>
    <row r="3" ht="15.75" customHeight="1">
      <c r="A3" s="174">
        <v>105330.0</v>
      </c>
      <c r="B3" s="175">
        <v>1.0</v>
      </c>
      <c r="C3" s="177" t="s">
        <v>39</v>
      </c>
      <c r="D3" s="177">
        <v>6.0</v>
      </c>
      <c r="E3" s="177" t="s">
        <v>61</v>
      </c>
      <c r="F3" s="178">
        <v>0.5833333333333334</v>
      </c>
      <c r="G3" s="177" t="s">
        <v>41</v>
      </c>
      <c r="H3" s="243" t="s">
        <v>232</v>
      </c>
      <c r="I3" s="241" t="str">
        <f t="shared" ref="I3:P3" si="2">#REF!</f>
        <v>#REF!</v>
      </c>
      <c r="J3" s="241" t="str">
        <f t="shared" si="2"/>
        <v>#REF!</v>
      </c>
      <c r="K3" s="241" t="str">
        <f t="shared" si="2"/>
        <v>#REF!</v>
      </c>
      <c r="L3" s="241" t="str">
        <f t="shared" si="2"/>
        <v>#REF!</v>
      </c>
      <c r="M3" s="241" t="str">
        <f t="shared" si="2"/>
        <v>#REF!</v>
      </c>
      <c r="N3" s="241" t="str">
        <f t="shared" si="2"/>
        <v>#REF!</v>
      </c>
      <c r="O3" s="241" t="str">
        <f t="shared" si="2"/>
        <v>#REF!</v>
      </c>
      <c r="P3" s="241" t="str">
        <f t="shared" si="2"/>
        <v>#REF!</v>
      </c>
      <c r="Q3" s="204"/>
      <c r="R3" s="157"/>
      <c r="S3" s="242"/>
      <c r="T3" s="224" t="s">
        <v>397</v>
      </c>
      <c r="U3" s="224"/>
      <c r="V3" s="224"/>
      <c r="W3" s="224"/>
      <c r="X3" s="224"/>
      <c r="Y3" s="224"/>
      <c r="Z3" s="125" t="s">
        <v>398</v>
      </c>
      <c r="AA3" s="224"/>
      <c r="AB3" s="128"/>
      <c r="AC3" s="128"/>
      <c r="AD3" s="128"/>
      <c r="AE3" s="128"/>
      <c r="AF3" s="128"/>
    </row>
    <row r="4" ht="15.75" customHeight="1">
      <c r="A4" s="174">
        <v>105331.0</v>
      </c>
      <c r="B4" s="175">
        <v>1.0</v>
      </c>
      <c r="C4" s="177" t="s">
        <v>54</v>
      </c>
      <c r="D4" s="177">
        <v>7.0</v>
      </c>
      <c r="E4" s="177" t="s">
        <v>61</v>
      </c>
      <c r="F4" s="178">
        <v>0.5833333333333334</v>
      </c>
      <c r="G4" s="177" t="s">
        <v>56</v>
      </c>
      <c r="H4" s="243" t="s">
        <v>70</v>
      </c>
      <c r="I4" s="241" t="str">
        <f t="shared" ref="I4:P4" si="3">#REF!</f>
        <v>#REF!</v>
      </c>
      <c r="J4" s="241" t="str">
        <f t="shared" si="3"/>
        <v>#REF!</v>
      </c>
      <c r="K4" s="241" t="str">
        <f t="shared" si="3"/>
        <v>#REF!</v>
      </c>
      <c r="L4" s="241" t="str">
        <f t="shared" si="3"/>
        <v>#REF!</v>
      </c>
      <c r="M4" s="241" t="str">
        <f t="shared" si="3"/>
        <v>#REF!</v>
      </c>
      <c r="N4" s="241" t="str">
        <f t="shared" si="3"/>
        <v>#REF!</v>
      </c>
      <c r="O4" s="241" t="str">
        <f t="shared" si="3"/>
        <v>#REF!</v>
      </c>
      <c r="P4" s="241" t="str">
        <f t="shared" si="3"/>
        <v>#REF!</v>
      </c>
      <c r="Q4" s="204"/>
      <c r="R4" s="157"/>
      <c r="S4" s="242"/>
      <c r="T4" s="224" t="s">
        <v>399</v>
      </c>
      <c r="W4" s="224"/>
      <c r="X4" s="224"/>
      <c r="Y4" s="224"/>
      <c r="Z4" s="125" t="s">
        <v>55</v>
      </c>
      <c r="AA4" s="224" t="s">
        <v>400</v>
      </c>
      <c r="AB4" s="128" t="s">
        <v>47</v>
      </c>
      <c r="AC4" s="128" t="s">
        <v>232</v>
      </c>
      <c r="AD4" s="128" t="s">
        <v>56</v>
      </c>
      <c r="AE4" s="128" t="s">
        <v>41</v>
      </c>
      <c r="AF4" s="128" t="s">
        <v>70</v>
      </c>
    </row>
    <row r="5" ht="15.75" customHeight="1">
      <c r="A5" s="174">
        <v>105332.0</v>
      </c>
      <c r="B5" s="175">
        <v>2.0</v>
      </c>
      <c r="C5" s="177" t="s">
        <v>39</v>
      </c>
      <c r="D5" s="177">
        <v>13.0</v>
      </c>
      <c r="E5" s="177" t="s">
        <v>61</v>
      </c>
      <c r="F5" s="178">
        <v>0.5833333333333334</v>
      </c>
      <c r="G5" s="177" t="s">
        <v>41</v>
      </c>
      <c r="H5" s="243" t="s">
        <v>55</v>
      </c>
      <c r="I5" s="241" t="str">
        <f t="shared" ref="I5:P5" si="4">#REF!</f>
        <v>#REF!</v>
      </c>
      <c r="J5" s="241" t="str">
        <f t="shared" si="4"/>
        <v>#REF!</v>
      </c>
      <c r="K5" s="241" t="str">
        <f t="shared" si="4"/>
        <v>#REF!</v>
      </c>
      <c r="L5" s="241" t="str">
        <f t="shared" si="4"/>
        <v>#REF!</v>
      </c>
      <c r="M5" s="241" t="str">
        <f t="shared" si="4"/>
        <v>#REF!</v>
      </c>
      <c r="N5" s="241" t="str">
        <f t="shared" si="4"/>
        <v>#REF!</v>
      </c>
      <c r="O5" s="241" t="str">
        <f t="shared" si="4"/>
        <v>#REF!</v>
      </c>
      <c r="P5" s="241" t="str">
        <f t="shared" si="4"/>
        <v>#REF!</v>
      </c>
      <c r="Q5" s="244" t="s">
        <v>401</v>
      </c>
      <c r="R5" s="157"/>
      <c r="S5" s="242"/>
      <c r="T5" s="224"/>
      <c r="U5" s="224"/>
      <c r="V5" s="224"/>
      <c r="W5" s="224" t="s">
        <v>51</v>
      </c>
      <c r="X5" s="224" t="s">
        <v>218</v>
      </c>
      <c r="Y5" s="128" t="s">
        <v>402</v>
      </c>
      <c r="Z5" s="125">
        <v>104.0</v>
      </c>
      <c r="AA5" s="128">
        <v>109.0</v>
      </c>
      <c r="AB5" s="128">
        <v>78.0</v>
      </c>
      <c r="AC5" s="125">
        <v>71.0</v>
      </c>
      <c r="AD5" s="128">
        <v>145.0</v>
      </c>
      <c r="AE5" s="128">
        <v>213.0</v>
      </c>
      <c r="AF5" s="128">
        <v>323.0</v>
      </c>
    </row>
    <row r="6" ht="15.75" customHeight="1">
      <c r="A6" s="174">
        <v>105333.0</v>
      </c>
      <c r="B6" s="175">
        <v>3.0</v>
      </c>
      <c r="C6" s="177" t="s">
        <v>54</v>
      </c>
      <c r="D6" s="177">
        <v>21.0</v>
      </c>
      <c r="E6" s="177" t="s">
        <v>61</v>
      </c>
      <c r="F6" s="178">
        <v>0.5833333333333334</v>
      </c>
      <c r="G6" s="245" t="s">
        <v>78</v>
      </c>
      <c r="H6" s="243" t="s">
        <v>232</v>
      </c>
      <c r="I6" s="241" t="str">
        <f t="shared" ref="I6:P6" si="5">#REF!</f>
        <v>#REF!</v>
      </c>
      <c r="J6" s="241" t="str">
        <f t="shared" si="5"/>
        <v>#REF!</v>
      </c>
      <c r="K6" s="241" t="str">
        <f t="shared" si="5"/>
        <v>#REF!</v>
      </c>
      <c r="L6" s="241" t="str">
        <f t="shared" si="5"/>
        <v>#REF!</v>
      </c>
      <c r="M6" s="241" t="str">
        <f t="shared" si="5"/>
        <v>#REF!</v>
      </c>
      <c r="N6" s="241" t="str">
        <f t="shared" si="5"/>
        <v>#REF!</v>
      </c>
      <c r="O6" s="241" t="str">
        <f t="shared" si="5"/>
        <v>#REF!</v>
      </c>
      <c r="P6" s="241" t="str">
        <f t="shared" si="5"/>
        <v>#REF!</v>
      </c>
      <c r="Q6" s="156" t="s">
        <v>403</v>
      </c>
      <c r="R6" s="157"/>
      <c r="S6" s="242"/>
      <c r="T6" s="224"/>
      <c r="U6" s="224"/>
      <c r="V6" s="224"/>
      <c r="W6" s="224" t="s">
        <v>192</v>
      </c>
      <c r="X6" s="224" t="s">
        <v>191</v>
      </c>
      <c r="Y6" s="128" t="s">
        <v>404</v>
      </c>
      <c r="Z6" s="125">
        <v>417.0</v>
      </c>
      <c r="AA6" s="128">
        <v>19.0</v>
      </c>
      <c r="AB6" s="128">
        <v>45.0</v>
      </c>
      <c r="AC6" s="125">
        <v>165.0</v>
      </c>
      <c r="AD6" s="128">
        <v>237.0</v>
      </c>
      <c r="AE6" s="128">
        <v>307.0</v>
      </c>
      <c r="AF6" s="128">
        <v>417.0</v>
      </c>
    </row>
    <row r="7" ht="15.75" customHeight="1">
      <c r="A7" s="174">
        <v>105334.0</v>
      </c>
      <c r="B7" s="175">
        <v>3.0</v>
      </c>
      <c r="C7" s="246" t="s">
        <v>405</v>
      </c>
      <c r="D7" s="177">
        <v>22.0</v>
      </c>
      <c r="E7" s="177" t="s">
        <v>61</v>
      </c>
      <c r="F7" s="178">
        <v>0.5833333333333334</v>
      </c>
      <c r="G7" s="177" t="s">
        <v>70</v>
      </c>
      <c r="H7" s="243" t="s">
        <v>41</v>
      </c>
      <c r="I7" s="241" t="str">
        <f t="shared" ref="I7:P7" si="6">#REF!</f>
        <v>#REF!</v>
      </c>
      <c r="J7" s="241" t="str">
        <f t="shared" si="6"/>
        <v>#REF!</v>
      </c>
      <c r="K7" s="241" t="str">
        <f t="shared" si="6"/>
        <v>#REF!</v>
      </c>
      <c r="L7" s="241" t="str">
        <f t="shared" si="6"/>
        <v>#REF!</v>
      </c>
      <c r="M7" s="241" t="str">
        <f t="shared" si="6"/>
        <v>#REF!</v>
      </c>
      <c r="N7" s="241" t="str">
        <f t="shared" si="6"/>
        <v>#REF!</v>
      </c>
      <c r="O7" s="241" t="str">
        <f t="shared" si="6"/>
        <v>#REF!</v>
      </c>
      <c r="P7" s="241" t="str">
        <f t="shared" si="6"/>
        <v>#REF!</v>
      </c>
      <c r="Q7" s="156" t="s">
        <v>406</v>
      </c>
      <c r="R7" s="157"/>
      <c r="S7" s="242"/>
      <c r="T7" s="224"/>
      <c r="U7" s="224"/>
      <c r="V7" s="224"/>
      <c r="W7" s="224" t="s">
        <v>145</v>
      </c>
      <c r="X7" s="224" t="s">
        <v>233</v>
      </c>
      <c r="Y7" s="128" t="s">
        <v>407</v>
      </c>
      <c r="AA7" s="128"/>
      <c r="AB7" s="128"/>
      <c r="AD7" s="128"/>
      <c r="AE7" s="128"/>
      <c r="AF7" s="128"/>
    </row>
    <row r="8" ht="15.75" customHeight="1">
      <c r="A8" s="174">
        <v>105335.0</v>
      </c>
      <c r="B8" s="175">
        <v>4.0</v>
      </c>
      <c r="C8" s="177" t="s">
        <v>54</v>
      </c>
      <c r="D8" s="177">
        <v>28.0</v>
      </c>
      <c r="E8" s="177" t="s">
        <v>61</v>
      </c>
      <c r="F8" s="178">
        <v>0.5833333333333334</v>
      </c>
      <c r="G8" s="177" t="s">
        <v>47</v>
      </c>
      <c r="H8" s="243" t="s">
        <v>56</v>
      </c>
      <c r="I8" s="241" t="str">
        <f t="shared" ref="I8:P8" si="7">#REF!</f>
        <v>#REF!</v>
      </c>
      <c r="J8" s="241" t="str">
        <f t="shared" si="7"/>
        <v>#REF!</v>
      </c>
      <c r="K8" s="241" t="str">
        <f t="shared" si="7"/>
        <v>#REF!</v>
      </c>
      <c r="L8" s="241" t="str">
        <f t="shared" si="7"/>
        <v>#REF!</v>
      </c>
      <c r="M8" s="241" t="str">
        <f t="shared" si="7"/>
        <v>#REF!</v>
      </c>
      <c r="N8" s="241" t="str">
        <f t="shared" si="7"/>
        <v>#REF!</v>
      </c>
      <c r="O8" s="241" t="str">
        <f t="shared" si="7"/>
        <v>#REF!</v>
      </c>
      <c r="P8" s="241" t="str">
        <f t="shared" si="7"/>
        <v>#REF!</v>
      </c>
      <c r="Q8" s="156" t="s">
        <v>408</v>
      </c>
      <c r="R8" s="157"/>
      <c r="S8" s="242"/>
      <c r="T8" s="224"/>
      <c r="U8" s="224"/>
      <c r="V8" s="224"/>
      <c r="W8" s="224" t="s">
        <v>154</v>
      </c>
      <c r="X8" s="224" t="s">
        <v>153</v>
      </c>
      <c r="Y8" s="128" t="s">
        <v>409</v>
      </c>
      <c r="Z8" s="125">
        <v>417.0</v>
      </c>
      <c r="AA8" s="128">
        <v>19.0</v>
      </c>
      <c r="AB8" s="128">
        <v>45.0</v>
      </c>
      <c r="AC8" s="125">
        <v>165.0</v>
      </c>
      <c r="AD8" s="128">
        <v>237.0</v>
      </c>
      <c r="AE8" s="128">
        <v>307.0</v>
      </c>
      <c r="AF8" s="128">
        <v>417.0</v>
      </c>
    </row>
    <row r="9" ht="15.75" customHeight="1">
      <c r="A9" s="174">
        <v>105336.0</v>
      </c>
      <c r="B9" s="175">
        <v>5.0</v>
      </c>
      <c r="C9" s="177" t="s">
        <v>39</v>
      </c>
      <c r="D9" s="177">
        <v>4.0</v>
      </c>
      <c r="E9" s="177" t="s">
        <v>83</v>
      </c>
      <c r="F9" s="178">
        <v>0.5833333333333334</v>
      </c>
      <c r="G9" s="183" t="s">
        <v>78</v>
      </c>
      <c r="H9" s="243" t="s">
        <v>70</v>
      </c>
      <c r="I9" s="241" t="str">
        <f t="shared" ref="I9:P9" si="8">#REF!</f>
        <v>#REF!</v>
      </c>
      <c r="J9" s="241" t="str">
        <f t="shared" si="8"/>
        <v>#REF!</v>
      </c>
      <c r="K9" s="241" t="str">
        <f t="shared" si="8"/>
        <v>#REF!</v>
      </c>
      <c r="L9" s="241" t="str">
        <f t="shared" si="8"/>
        <v>#REF!</v>
      </c>
      <c r="M9" s="241" t="str">
        <f t="shared" si="8"/>
        <v>#REF!</v>
      </c>
      <c r="N9" s="241" t="str">
        <f t="shared" si="8"/>
        <v>#REF!</v>
      </c>
      <c r="O9" s="241" t="str">
        <f t="shared" si="8"/>
        <v>#REF!</v>
      </c>
      <c r="P9" s="241" t="str">
        <f t="shared" si="8"/>
        <v>#REF!</v>
      </c>
      <c r="Q9" s="156" t="s">
        <v>410</v>
      </c>
      <c r="R9" s="157" t="s">
        <v>192</v>
      </c>
      <c r="S9" s="242" t="s">
        <v>411</v>
      </c>
      <c r="T9" s="224"/>
      <c r="U9" s="224"/>
      <c r="V9" s="224"/>
      <c r="W9" s="224" t="s">
        <v>73</v>
      </c>
      <c r="X9" s="224" t="s">
        <v>149</v>
      </c>
      <c r="Y9" s="128" t="s">
        <v>402</v>
      </c>
      <c r="Z9" s="125">
        <v>104.0</v>
      </c>
      <c r="AA9" s="128">
        <v>109.0</v>
      </c>
      <c r="AB9" s="128">
        <v>78.0</v>
      </c>
      <c r="AC9" s="125">
        <v>71.0</v>
      </c>
      <c r="AD9" s="128">
        <v>145.0</v>
      </c>
      <c r="AE9" s="128">
        <v>213.0</v>
      </c>
      <c r="AF9" s="128">
        <v>323.0</v>
      </c>
    </row>
    <row r="10" ht="15.75" customHeight="1">
      <c r="A10" s="174">
        <v>105337.0</v>
      </c>
      <c r="B10" s="175">
        <v>5.0</v>
      </c>
      <c r="C10" s="177" t="s">
        <v>54</v>
      </c>
      <c r="D10" s="177">
        <v>5.0</v>
      </c>
      <c r="E10" s="177" t="s">
        <v>83</v>
      </c>
      <c r="F10" s="178">
        <v>0.5833333333333334</v>
      </c>
      <c r="G10" s="240" t="s">
        <v>47</v>
      </c>
      <c r="H10" s="243" t="s">
        <v>232</v>
      </c>
      <c r="I10" s="241" t="str">
        <f t="shared" ref="I10:P10" si="9">#REF!</f>
        <v>#REF!</v>
      </c>
      <c r="J10" s="241" t="str">
        <f t="shared" si="9"/>
        <v>#REF!</v>
      </c>
      <c r="K10" s="241" t="str">
        <f t="shared" si="9"/>
        <v>#REF!</v>
      </c>
      <c r="L10" s="241" t="str">
        <f t="shared" si="9"/>
        <v>#REF!</v>
      </c>
      <c r="M10" s="241" t="str">
        <f t="shared" si="9"/>
        <v>#REF!</v>
      </c>
      <c r="N10" s="241" t="str">
        <f t="shared" si="9"/>
        <v>#REF!</v>
      </c>
      <c r="O10" s="241" t="str">
        <f t="shared" si="9"/>
        <v>#REF!</v>
      </c>
      <c r="P10" s="241" t="str">
        <f t="shared" si="9"/>
        <v>#REF!</v>
      </c>
      <c r="Q10" s="156" t="s">
        <v>412</v>
      </c>
      <c r="R10" s="157" t="s">
        <v>192</v>
      </c>
      <c r="S10" s="242" t="s">
        <v>50</v>
      </c>
      <c r="T10" s="224"/>
      <c r="U10" s="224"/>
      <c r="V10" s="224"/>
      <c r="W10" s="247" t="s">
        <v>58</v>
      </c>
      <c r="X10" s="247" t="s">
        <v>120</v>
      </c>
      <c r="Y10" s="128" t="s">
        <v>413</v>
      </c>
      <c r="Z10" s="125">
        <v>417.0</v>
      </c>
      <c r="AA10" s="128">
        <v>19.0</v>
      </c>
      <c r="AB10" s="128">
        <v>45.0</v>
      </c>
      <c r="AC10" s="125">
        <v>165.0</v>
      </c>
      <c r="AD10" s="128">
        <v>237.0</v>
      </c>
      <c r="AE10" s="128">
        <v>307.0</v>
      </c>
      <c r="AF10" s="128">
        <v>417.0</v>
      </c>
    </row>
    <row r="11" ht="15.75" customHeight="1">
      <c r="A11" s="174">
        <v>105338.0</v>
      </c>
      <c r="B11" s="175">
        <v>6.0</v>
      </c>
      <c r="C11" s="177" t="s">
        <v>39</v>
      </c>
      <c r="D11" s="177">
        <v>11.0</v>
      </c>
      <c r="E11" s="177" t="s">
        <v>83</v>
      </c>
      <c r="F11" s="178">
        <v>0.5833333333333334</v>
      </c>
      <c r="G11" s="177" t="s">
        <v>70</v>
      </c>
      <c r="H11" s="248" t="s">
        <v>78</v>
      </c>
      <c r="I11" s="241" t="str">
        <f t="shared" ref="I11:P11" si="10">#REF!</f>
        <v>#REF!</v>
      </c>
      <c r="J11" s="241" t="str">
        <f t="shared" si="10"/>
        <v>#REF!</v>
      </c>
      <c r="K11" s="241" t="str">
        <f t="shared" si="10"/>
        <v>#REF!</v>
      </c>
      <c r="L11" s="241" t="str">
        <f t="shared" si="10"/>
        <v>#REF!</v>
      </c>
      <c r="M11" s="241" t="str">
        <f t="shared" si="10"/>
        <v>#REF!</v>
      </c>
      <c r="N11" s="241" t="str">
        <f t="shared" si="10"/>
        <v>#REF!</v>
      </c>
      <c r="O11" s="241" t="str">
        <f t="shared" si="10"/>
        <v>#REF!</v>
      </c>
      <c r="P11" s="241" t="str">
        <f t="shared" si="10"/>
        <v>#REF!</v>
      </c>
      <c r="Q11" s="156" t="s">
        <v>414</v>
      </c>
      <c r="R11" s="157"/>
      <c r="S11" s="242"/>
      <c r="T11" s="224"/>
      <c r="U11" s="224"/>
      <c r="V11" s="224"/>
      <c r="W11" s="224" t="s">
        <v>49</v>
      </c>
      <c r="X11" s="224" t="s">
        <v>118</v>
      </c>
      <c r="Y11" s="128" t="s">
        <v>415</v>
      </c>
      <c r="AA11" s="128"/>
      <c r="AB11" s="128"/>
      <c r="AD11" s="128"/>
      <c r="AE11" s="128"/>
      <c r="AF11" s="128"/>
    </row>
    <row r="12" ht="15.75" customHeight="1">
      <c r="A12" s="174">
        <v>105339.0</v>
      </c>
      <c r="B12" s="175">
        <v>6.0</v>
      </c>
      <c r="C12" s="177" t="s">
        <v>54</v>
      </c>
      <c r="D12" s="177">
        <v>12.0</v>
      </c>
      <c r="E12" s="177" t="s">
        <v>83</v>
      </c>
      <c r="F12" s="178">
        <v>0.5833333333333334</v>
      </c>
      <c r="G12" s="176" t="s">
        <v>232</v>
      </c>
      <c r="H12" s="177" t="s">
        <v>56</v>
      </c>
      <c r="I12" s="241" t="str">
        <f t="shared" ref="I12:P12" si="11">#REF!</f>
        <v>#REF!</v>
      </c>
      <c r="J12" s="241" t="str">
        <f t="shared" si="11"/>
        <v>#REF!</v>
      </c>
      <c r="K12" s="241" t="str">
        <f t="shared" si="11"/>
        <v>#REF!</v>
      </c>
      <c r="L12" s="241" t="str">
        <f t="shared" si="11"/>
        <v>#REF!</v>
      </c>
      <c r="M12" s="241" t="str">
        <f t="shared" si="11"/>
        <v>#REF!</v>
      </c>
      <c r="N12" s="241" t="str">
        <f t="shared" si="11"/>
        <v>#REF!</v>
      </c>
      <c r="O12" s="241" t="str">
        <f t="shared" si="11"/>
        <v>#REF!</v>
      </c>
      <c r="P12" s="241" t="str">
        <f t="shared" si="11"/>
        <v>#REF!</v>
      </c>
      <c r="Q12" s="156" t="s">
        <v>416</v>
      </c>
      <c r="R12" s="157"/>
      <c r="S12" s="242"/>
      <c r="T12" s="224"/>
      <c r="U12" s="224"/>
      <c r="V12" s="224"/>
      <c r="W12" s="224" t="s">
        <v>85</v>
      </c>
      <c r="X12" s="224" t="s">
        <v>417</v>
      </c>
      <c r="Y12" s="128" t="s">
        <v>418</v>
      </c>
      <c r="Z12" s="125">
        <v>417.0</v>
      </c>
      <c r="AA12" s="128">
        <v>19.0</v>
      </c>
      <c r="AB12" s="128">
        <v>45.0</v>
      </c>
      <c r="AC12" s="125">
        <v>165.0</v>
      </c>
      <c r="AD12" s="128">
        <v>237.0</v>
      </c>
      <c r="AE12" s="128">
        <v>307.0</v>
      </c>
      <c r="AF12" s="128">
        <v>417.0</v>
      </c>
    </row>
    <row r="13" ht="15.75" customHeight="1">
      <c r="A13" s="174">
        <v>105340.0</v>
      </c>
      <c r="B13" s="175">
        <v>7.0</v>
      </c>
      <c r="C13" s="177" t="s">
        <v>54</v>
      </c>
      <c r="D13" s="177">
        <v>19.0</v>
      </c>
      <c r="E13" s="177" t="s">
        <v>83</v>
      </c>
      <c r="F13" s="178">
        <v>0.5833333333333334</v>
      </c>
      <c r="G13" s="203" t="s">
        <v>78</v>
      </c>
      <c r="H13" s="243" t="s">
        <v>55</v>
      </c>
      <c r="I13" s="241" t="str">
        <f t="shared" ref="I13:P13" si="12">#REF!</f>
        <v>#REF!</v>
      </c>
      <c r="J13" s="241" t="str">
        <f t="shared" si="12"/>
        <v>#REF!</v>
      </c>
      <c r="K13" s="241" t="str">
        <f t="shared" si="12"/>
        <v>#REF!</v>
      </c>
      <c r="L13" s="241" t="str">
        <f t="shared" si="12"/>
        <v>#REF!</v>
      </c>
      <c r="M13" s="241" t="str">
        <f t="shared" si="12"/>
        <v>#REF!</v>
      </c>
      <c r="N13" s="241" t="str">
        <f t="shared" si="12"/>
        <v>#REF!</v>
      </c>
      <c r="O13" s="241" t="str">
        <f t="shared" si="12"/>
        <v>#REF!</v>
      </c>
      <c r="P13" s="241" t="str">
        <f t="shared" si="12"/>
        <v>#REF!</v>
      </c>
      <c r="Q13" s="156" t="s">
        <v>419</v>
      </c>
      <c r="R13" s="157"/>
      <c r="S13" s="242"/>
      <c r="T13" s="224"/>
      <c r="U13" s="224"/>
      <c r="V13" s="224"/>
      <c r="W13" s="247" t="s">
        <v>63</v>
      </c>
      <c r="X13" s="247" t="s">
        <v>132</v>
      </c>
      <c r="Y13" s="128" t="s">
        <v>420</v>
      </c>
      <c r="AB13" s="128"/>
      <c r="AD13" s="128"/>
      <c r="AE13" s="128"/>
      <c r="AF13" s="128"/>
    </row>
    <row r="14" ht="15.75" customHeight="1">
      <c r="A14" s="174">
        <v>105341.0</v>
      </c>
      <c r="B14" s="175">
        <v>8.0</v>
      </c>
      <c r="C14" s="177" t="s">
        <v>39</v>
      </c>
      <c r="D14" s="177">
        <v>25.0</v>
      </c>
      <c r="E14" s="177" t="s">
        <v>83</v>
      </c>
      <c r="F14" s="178">
        <v>0.625</v>
      </c>
      <c r="G14" s="177" t="s">
        <v>55</v>
      </c>
      <c r="H14" s="243" t="s">
        <v>41</v>
      </c>
      <c r="I14" s="241" t="str">
        <f t="shared" ref="I14:P14" si="13">#REF!</f>
        <v>#REF!</v>
      </c>
      <c r="J14" s="241" t="str">
        <f t="shared" si="13"/>
        <v>#REF!</v>
      </c>
      <c r="K14" s="241" t="str">
        <f t="shared" si="13"/>
        <v>#REF!</v>
      </c>
      <c r="L14" s="241" t="str">
        <f t="shared" si="13"/>
        <v>#REF!</v>
      </c>
      <c r="M14" s="241" t="str">
        <f t="shared" si="13"/>
        <v>#REF!</v>
      </c>
      <c r="N14" s="241" t="str">
        <f t="shared" si="13"/>
        <v>#REF!</v>
      </c>
      <c r="O14" s="241" t="str">
        <f t="shared" si="13"/>
        <v>#REF!</v>
      </c>
      <c r="P14" s="241" t="str">
        <f t="shared" si="13"/>
        <v>#REF!</v>
      </c>
      <c r="Q14" s="156" t="s">
        <v>421</v>
      </c>
      <c r="R14" s="157"/>
      <c r="S14" s="242"/>
      <c r="T14" s="224"/>
      <c r="U14" s="247"/>
      <c r="V14" s="247"/>
      <c r="W14" s="247" t="s">
        <v>67</v>
      </c>
      <c r="X14" s="247" t="s">
        <v>136</v>
      </c>
      <c r="Y14" s="128" t="s">
        <v>422</v>
      </c>
      <c r="Z14" s="125">
        <v>417.0</v>
      </c>
      <c r="AA14" s="128">
        <v>19.0</v>
      </c>
      <c r="AB14" s="128">
        <v>45.0</v>
      </c>
      <c r="AC14" s="125">
        <v>165.0</v>
      </c>
      <c r="AD14" s="128">
        <v>237.0</v>
      </c>
      <c r="AE14" s="128">
        <v>307.0</v>
      </c>
      <c r="AF14" s="128">
        <v>417.0</v>
      </c>
    </row>
    <row r="15" ht="16.5" customHeight="1">
      <c r="A15" s="174">
        <v>105342.0</v>
      </c>
      <c r="B15" s="175">
        <v>9.0</v>
      </c>
      <c r="C15" s="246" t="s">
        <v>423</v>
      </c>
      <c r="D15" s="177">
        <v>30.0</v>
      </c>
      <c r="E15" s="177" t="s">
        <v>83</v>
      </c>
      <c r="F15" s="178">
        <v>0.6458333333333334</v>
      </c>
      <c r="G15" s="177" t="s">
        <v>56</v>
      </c>
      <c r="H15" s="248" t="s">
        <v>78</v>
      </c>
      <c r="I15" s="241" t="str">
        <f t="shared" ref="I15:P15" si="14">#REF!</f>
        <v>#REF!</v>
      </c>
      <c r="J15" s="241" t="str">
        <f t="shared" si="14"/>
        <v>#REF!</v>
      </c>
      <c r="K15" s="241" t="str">
        <f t="shared" si="14"/>
        <v>#REF!</v>
      </c>
      <c r="L15" s="241" t="str">
        <f t="shared" si="14"/>
        <v>#REF!</v>
      </c>
      <c r="M15" s="241" t="str">
        <f t="shared" si="14"/>
        <v>#REF!</v>
      </c>
      <c r="N15" s="241" t="str">
        <f t="shared" si="14"/>
        <v>#REF!</v>
      </c>
      <c r="O15" s="241" t="str">
        <f t="shared" si="14"/>
        <v>#REF!</v>
      </c>
      <c r="P15" s="241" t="str">
        <f t="shared" si="14"/>
        <v>#REF!</v>
      </c>
      <c r="Q15" s="204" t="s">
        <v>424</v>
      </c>
      <c r="R15" s="204" t="s">
        <v>425</v>
      </c>
      <c r="S15" s="242"/>
      <c r="T15" s="224"/>
      <c r="U15" s="224"/>
      <c r="V15" s="224"/>
      <c r="W15" s="224" t="s">
        <v>66</v>
      </c>
      <c r="X15" s="247" t="s">
        <v>148</v>
      </c>
      <c r="Y15" s="249" t="s">
        <v>426</v>
      </c>
      <c r="AA15" s="128"/>
      <c r="AB15" s="128"/>
      <c r="AD15" s="128"/>
      <c r="AE15" s="128"/>
      <c r="AF15" s="128"/>
    </row>
    <row r="16" ht="15.75" customHeight="1">
      <c r="A16" s="174">
        <v>105343.0</v>
      </c>
      <c r="B16" s="175">
        <v>9.0</v>
      </c>
      <c r="C16" s="177" t="s">
        <v>39</v>
      </c>
      <c r="D16" s="177">
        <v>1.0</v>
      </c>
      <c r="E16" s="177" t="s">
        <v>91</v>
      </c>
      <c r="F16" s="178">
        <v>0.5833333333333334</v>
      </c>
      <c r="G16" s="177" t="s">
        <v>41</v>
      </c>
      <c r="H16" s="243" t="s">
        <v>47</v>
      </c>
      <c r="I16" s="241" t="str">
        <f t="shared" ref="I16:P16" si="15">#REF!</f>
        <v>#REF!</v>
      </c>
      <c r="J16" s="241" t="str">
        <f t="shared" si="15"/>
        <v>#REF!</v>
      </c>
      <c r="K16" s="241" t="str">
        <f t="shared" si="15"/>
        <v>#REF!</v>
      </c>
      <c r="L16" s="241" t="str">
        <f t="shared" si="15"/>
        <v>#REF!</v>
      </c>
      <c r="M16" s="241" t="str">
        <f t="shared" si="15"/>
        <v>#REF!</v>
      </c>
      <c r="N16" s="241" t="str">
        <f t="shared" si="15"/>
        <v>#REF!</v>
      </c>
      <c r="O16" s="241" t="str">
        <f t="shared" si="15"/>
        <v>#REF!</v>
      </c>
      <c r="P16" s="241" t="str">
        <f t="shared" si="15"/>
        <v>#REF!</v>
      </c>
      <c r="Q16" s="204" t="s">
        <v>427</v>
      </c>
      <c r="R16" s="204"/>
      <c r="S16" s="242"/>
      <c r="T16" s="224"/>
      <c r="U16" s="224"/>
      <c r="V16" s="224"/>
      <c r="W16" s="224" t="s">
        <v>80</v>
      </c>
      <c r="X16" s="247" t="s">
        <v>143</v>
      </c>
      <c r="Y16" s="249" t="s">
        <v>428</v>
      </c>
      <c r="AA16" s="128"/>
      <c r="AB16" s="128"/>
      <c r="AD16" s="128"/>
      <c r="AE16" s="128"/>
      <c r="AF16" s="128"/>
    </row>
    <row r="17" ht="15.75" customHeight="1">
      <c r="A17" s="174">
        <v>105344.0</v>
      </c>
      <c r="B17" s="175">
        <v>9.0</v>
      </c>
      <c r="C17" s="177" t="s">
        <v>54</v>
      </c>
      <c r="D17" s="177">
        <v>2.0</v>
      </c>
      <c r="E17" s="177" t="s">
        <v>91</v>
      </c>
      <c r="F17" s="178">
        <v>0.5833333333333334</v>
      </c>
      <c r="G17" s="240" t="s">
        <v>232</v>
      </c>
      <c r="H17" s="177" t="s">
        <v>70</v>
      </c>
      <c r="I17" s="241" t="str">
        <f t="shared" ref="I17:P17" si="16">#REF!</f>
        <v>#REF!</v>
      </c>
      <c r="J17" s="241" t="str">
        <f t="shared" si="16"/>
        <v>#REF!</v>
      </c>
      <c r="K17" s="241" t="str">
        <f t="shared" si="16"/>
        <v>#REF!</v>
      </c>
      <c r="L17" s="241" t="str">
        <f t="shared" si="16"/>
        <v>#REF!</v>
      </c>
      <c r="M17" s="241" t="str">
        <f t="shared" si="16"/>
        <v>#REF!</v>
      </c>
      <c r="N17" s="241" t="str">
        <f t="shared" si="16"/>
        <v>#REF!</v>
      </c>
      <c r="O17" s="241" t="str">
        <f t="shared" si="16"/>
        <v>#REF!</v>
      </c>
      <c r="P17" s="241" t="str">
        <f t="shared" si="16"/>
        <v>#REF!</v>
      </c>
      <c r="Q17" s="204" t="s">
        <v>429</v>
      </c>
      <c r="R17" s="204" t="s">
        <v>430</v>
      </c>
      <c r="S17" s="242"/>
      <c r="T17" s="224"/>
      <c r="U17" s="247"/>
      <c r="V17" s="247"/>
      <c r="W17" s="224" t="s">
        <v>180</v>
      </c>
      <c r="X17" s="247" t="s">
        <v>179</v>
      </c>
      <c r="Y17" s="249" t="s">
        <v>431</v>
      </c>
      <c r="AA17" s="128"/>
      <c r="AB17" s="128"/>
      <c r="AD17" s="128"/>
      <c r="AE17" s="128"/>
      <c r="AF17" s="128"/>
    </row>
    <row r="18" ht="15.75" customHeight="1">
      <c r="A18" s="174">
        <v>105345.0</v>
      </c>
      <c r="B18" s="175">
        <v>10.0</v>
      </c>
      <c r="C18" s="177" t="s">
        <v>39</v>
      </c>
      <c r="D18" s="177">
        <v>8.0</v>
      </c>
      <c r="E18" s="177" t="s">
        <v>91</v>
      </c>
      <c r="F18" s="178">
        <v>0.5833333333333334</v>
      </c>
      <c r="G18" s="176" t="s">
        <v>232</v>
      </c>
      <c r="H18" s="248" t="s">
        <v>78</v>
      </c>
      <c r="I18" s="241" t="str">
        <f t="shared" ref="I18:P18" si="17">#REF!</f>
        <v>#REF!</v>
      </c>
      <c r="J18" s="241" t="str">
        <f t="shared" si="17"/>
        <v>#REF!</v>
      </c>
      <c r="K18" s="241" t="str">
        <f t="shared" si="17"/>
        <v>#REF!</v>
      </c>
      <c r="L18" s="241" t="str">
        <f t="shared" si="17"/>
        <v>#REF!</v>
      </c>
      <c r="M18" s="241" t="str">
        <f t="shared" si="17"/>
        <v>#REF!</v>
      </c>
      <c r="N18" s="241" t="str">
        <f t="shared" si="17"/>
        <v>#REF!</v>
      </c>
      <c r="O18" s="241" t="str">
        <f t="shared" si="17"/>
        <v>#REF!</v>
      </c>
      <c r="P18" s="241" t="str">
        <f t="shared" si="17"/>
        <v>#REF!</v>
      </c>
      <c r="Q18" s="156" t="s">
        <v>432</v>
      </c>
      <c r="R18" s="157"/>
      <c r="S18" s="242"/>
      <c r="T18" s="224"/>
      <c r="U18" s="247"/>
      <c r="V18" s="247"/>
      <c r="W18" s="224" t="s">
        <v>147</v>
      </c>
      <c r="X18" s="247" t="s">
        <v>146</v>
      </c>
      <c r="Y18" s="249" t="s">
        <v>433</v>
      </c>
      <c r="AA18" s="128"/>
      <c r="AB18" s="128"/>
      <c r="AD18" s="128"/>
      <c r="AE18" s="128"/>
      <c r="AF18" s="128"/>
    </row>
    <row r="19" ht="15.75" customHeight="1">
      <c r="A19" s="174">
        <v>105346.0</v>
      </c>
      <c r="B19" s="175">
        <v>10.0</v>
      </c>
      <c r="C19" s="177" t="s">
        <v>54</v>
      </c>
      <c r="D19" s="177">
        <v>9.0</v>
      </c>
      <c r="E19" s="177" t="s">
        <v>91</v>
      </c>
      <c r="F19" s="178">
        <v>0.5833333333333334</v>
      </c>
      <c r="G19" s="177" t="s">
        <v>47</v>
      </c>
      <c r="H19" s="240" t="s">
        <v>70</v>
      </c>
      <c r="I19" s="241" t="str">
        <f t="shared" ref="I19:P19" si="18">#REF!</f>
        <v>#REF!</v>
      </c>
      <c r="J19" s="241" t="str">
        <f t="shared" si="18"/>
        <v>#REF!</v>
      </c>
      <c r="K19" s="241" t="str">
        <f t="shared" si="18"/>
        <v>#REF!</v>
      </c>
      <c r="L19" s="241" t="str">
        <f t="shared" si="18"/>
        <v>#REF!</v>
      </c>
      <c r="M19" s="241" t="str">
        <f t="shared" si="18"/>
        <v>#REF!</v>
      </c>
      <c r="N19" s="241" t="str">
        <f t="shared" si="18"/>
        <v>#REF!</v>
      </c>
      <c r="O19" s="241" t="str">
        <f t="shared" si="18"/>
        <v>#REF!</v>
      </c>
      <c r="P19" s="241" t="str">
        <f t="shared" si="18"/>
        <v>#REF!</v>
      </c>
      <c r="Q19" s="156" t="s">
        <v>434</v>
      </c>
      <c r="R19" s="157"/>
      <c r="S19" s="242"/>
      <c r="T19" s="224"/>
      <c r="U19" s="247"/>
      <c r="V19" s="247"/>
      <c r="W19" s="224" t="s">
        <v>84</v>
      </c>
      <c r="X19" s="247" t="s">
        <v>137</v>
      </c>
      <c r="Y19" s="249" t="s">
        <v>435</v>
      </c>
      <c r="AA19" s="128"/>
      <c r="AB19" s="128"/>
      <c r="AD19" s="128"/>
      <c r="AE19" s="128"/>
      <c r="AF19" s="128"/>
    </row>
    <row r="20" ht="15.75" customHeight="1">
      <c r="A20" s="174">
        <v>105347.0</v>
      </c>
      <c r="B20" s="175">
        <v>11.0</v>
      </c>
      <c r="C20" s="177" t="s">
        <v>39</v>
      </c>
      <c r="D20" s="177">
        <v>15.0</v>
      </c>
      <c r="E20" s="177" t="s">
        <v>91</v>
      </c>
      <c r="F20" s="178">
        <v>0.5833333333333334</v>
      </c>
      <c r="G20" s="177" t="s">
        <v>70</v>
      </c>
      <c r="H20" s="243" t="s">
        <v>55</v>
      </c>
      <c r="I20" s="241" t="str">
        <f t="shared" ref="I20:P20" si="19">#REF!</f>
        <v>#REF!</v>
      </c>
      <c r="J20" s="241" t="str">
        <f t="shared" si="19"/>
        <v>#REF!</v>
      </c>
      <c r="K20" s="241" t="str">
        <f t="shared" si="19"/>
        <v>#REF!</v>
      </c>
      <c r="L20" s="241" t="str">
        <f t="shared" si="19"/>
        <v>#REF!</v>
      </c>
      <c r="M20" s="241" t="str">
        <f t="shared" si="19"/>
        <v>#REF!</v>
      </c>
      <c r="N20" s="241" t="str">
        <f t="shared" si="19"/>
        <v>#REF!</v>
      </c>
      <c r="O20" s="241" t="str">
        <f t="shared" si="19"/>
        <v>#REF!</v>
      </c>
      <c r="P20" s="241" t="str">
        <f t="shared" si="19"/>
        <v>#REF!</v>
      </c>
      <c r="Q20" s="204" t="s">
        <v>436</v>
      </c>
      <c r="R20" s="157"/>
      <c r="S20" s="242"/>
      <c r="T20" s="224"/>
      <c r="U20" s="247"/>
      <c r="V20" s="247"/>
      <c r="W20" s="224" t="s">
        <v>64</v>
      </c>
      <c r="X20" s="247" t="s">
        <v>117</v>
      </c>
      <c r="Y20" s="249" t="s">
        <v>437</v>
      </c>
      <c r="AA20" s="247"/>
      <c r="AB20" s="224"/>
      <c r="AD20" s="247"/>
      <c r="AE20" s="247"/>
      <c r="AF20" s="247"/>
    </row>
    <row r="21" ht="15.75" customHeight="1">
      <c r="A21" s="174">
        <v>105348.0</v>
      </c>
      <c r="B21" s="175">
        <v>11.0</v>
      </c>
      <c r="C21" s="177" t="s">
        <v>39</v>
      </c>
      <c r="D21" s="177">
        <v>15.0</v>
      </c>
      <c r="E21" s="177" t="s">
        <v>91</v>
      </c>
      <c r="F21" s="178">
        <v>0.7083333333333334</v>
      </c>
      <c r="G21" s="177" t="s">
        <v>56</v>
      </c>
      <c r="H21" s="243" t="s">
        <v>41</v>
      </c>
      <c r="I21" s="241" t="str">
        <f t="shared" ref="I21:P21" si="20">#REF!</f>
        <v>#REF!</v>
      </c>
      <c r="J21" s="241" t="str">
        <f t="shared" si="20"/>
        <v>#REF!</v>
      </c>
      <c r="K21" s="241" t="str">
        <f t="shared" si="20"/>
        <v>#REF!</v>
      </c>
      <c r="L21" s="241" t="str">
        <f t="shared" si="20"/>
        <v>#REF!</v>
      </c>
      <c r="M21" s="241" t="str">
        <f t="shared" si="20"/>
        <v>#REF!</v>
      </c>
      <c r="N21" s="241" t="str">
        <f t="shared" si="20"/>
        <v>#REF!</v>
      </c>
      <c r="O21" s="241" t="str">
        <f t="shared" si="20"/>
        <v>#REF!</v>
      </c>
      <c r="P21" s="241" t="str">
        <f t="shared" si="20"/>
        <v>#REF!</v>
      </c>
      <c r="Q21" s="156" t="s">
        <v>438</v>
      </c>
      <c r="R21" s="157"/>
      <c r="S21" s="242"/>
      <c r="T21" s="224"/>
      <c r="U21" s="247"/>
      <c r="V21" s="247"/>
      <c r="W21" s="224" t="s">
        <v>201</v>
      </c>
      <c r="X21" s="247" t="s">
        <v>439</v>
      </c>
      <c r="Y21" s="249" t="s">
        <v>440</v>
      </c>
      <c r="AA21" s="247"/>
      <c r="AB21" s="224"/>
      <c r="AD21" s="247"/>
      <c r="AE21" s="247"/>
      <c r="AF21" s="247"/>
    </row>
    <row r="22" ht="15.75" customHeight="1">
      <c r="A22" s="174">
        <v>105349.0</v>
      </c>
      <c r="B22" s="175">
        <v>12.0</v>
      </c>
      <c r="C22" s="177" t="s">
        <v>39</v>
      </c>
      <c r="D22" s="177">
        <v>22.0</v>
      </c>
      <c r="E22" s="177" t="s">
        <v>91</v>
      </c>
      <c r="F22" s="178">
        <v>0.5833333333333334</v>
      </c>
      <c r="G22" s="177" t="s">
        <v>232</v>
      </c>
      <c r="H22" s="176" t="s">
        <v>41</v>
      </c>
      <c r="I22" s="241" t="str">
        <f t="shared" ref="I22:P22" si="21">#REF!</f>
        <v>#REF!</v>
      </c>
      <c r="J22" s="241" t="str">
        <f t="shared" si="21"/>
        <v>#REF!</v>
      </c>
      <c r="K22" s="241" t="str">
        <f t="shared" si="21"/>
        <v>#REF!</v>
      </c>
      <c r="L22" s="241" t="str">
        <f t="shared" si="21"/>
        <v>#REF!</v>
      </c>
      <c r="M22" s="241" t="str">
        <f t="shared" si="21"/>
        <v>#REF!</v>
      </c>
      <c r="N22" s="241" t="str">
        <f t="shared" si="21"/>
        <v>#REF!</v>
      </c>
      <c r="O22" s="241" t="str">
        <f t="shared" si="21"/>
        <v>#REF!</v>
      </c>
      <c r="P22" s="241" t="str">
        <f t="shared" si="21"/>
        <v>#REF!</v>
      </c>
      <c r="Q22" s="156" t="s">
        <v>441</v>
      </c>
      <c r="R22" s="173"/>
      <c r="S22" s="250"/>
      <c r="T22" s="224"/>
      <c r="U22" s="247"/>
      <c r="V22" s="247"/>
      <c r="W22" s="224" t="s">
        <v>43</v>
      </c>
      <c r="X22" s="247" t="s">
        <v>131</v>
      </c>
      <c r="Y22" s="249" t="s">
        <v>442</v>
      </c>
      <c r="AA22" s="247"/>
      <c r="AB22" s="224"/>
      <c r="AD22" s="247"/>
      <c r="AE22" s="247"/>
      <c r="AF22" s="247"/>
    </row>
    <row r="23" ht="15.75" customHeight="1">
      <c r="A23" s="174">
        <v>105350.0</v>
      </c>
      <c r="B23" s="175">
        <v>12.0</v>
      </c>
      <c r="C23" s="177" t="s">
        <v>54</v>
      </c>
      <c r="D23" s="177">
        <v>23.0</v>
      </c>
      <c r="E23" s="177" t="s">
        <v>91</v>
      </c>
      <c r="F23" s="178">
        <v>0.5833333333333334</v>
      </c>
      <c r="G23" s="177" t="s">
        <v>55</v>
      </c>
      <c r="H23" s="240" t="s">
        <v>56</v>
      </c>
      <c r="I23" s="241" t="str">
        <f t="shared" ref="I23:P23" si="22">#REF!</f>
        <v>#REF!</v>
      </c>
      <c r="J23" s="241" t="str">
        <f t="shared" si="22"/>
        <v>#REF!</v>
      </c>
      <c r="K23" s="241" t="str">
        <f t="shared" si="22"/>
        <v>#REF!</v>
      </c>
      <c r="L23" s="241" t="str">
        <f t="shared" si="22"/>
        <v>#REF!</v>
      </c>
      <c r="M23" s="241" t="str">
        <f t="shared" si="22"/>
        <v>#REF!</v>
      </c>
      <c r="N23" s="241" t="str">
        <f t="shared" si="22"/>
        <v>#REF!</v>
      </c>
      <c r="O23" s="241" t="str">
        <f t="shared" si="22"/>
        <v>#REF!</v>
      </c>
      <c r="P23" s="241" t="str">
        <f t="shared" si="22"/>
        <v>#REF!</v>
      </c>
      <c r="Q23" s="156" t="s">
        <v>443</v>
      </c>
      <c r="R23" s="173"/>
      <c r="S23" s="250"/>
      <c r="T23" s="224"/>
      <c r="U23" s="247"/>
      <c r="V23" s="247"/>
      <c r="W23" s="247" t="s">
        <v>135</v>
      </c>
      <c r="X23" s="247" t="s">
        <v>257</v>
      </c>
      <c r="Y23" s="128" t="s">
        <v>402</v>
      </c>
      <c r="Z23" s="125">
        <v>104.0</v>
      </c>
      <c r="AA23" s="128">
        <v>109.0</v>
      </c>
      <c r="AB23" s="128">
        <v>78.0</v>
      </c>
      <c r="AC23" s="125">
        <v>71.0</v>
      </c>
      <c r="AD23" s="128">
        <v>145.0</v>
      </c>
      <c r="AE23" s="128">
        <v>213.0</v>
      </c>
      <c r="AF23" s="128">
        <v>323.0</v>
      </c>
    </row>
    <row r="24" ht="15.75" customHeight="1">
      <c r="A24" s="174">
        <v>105351.0</v>
      </c>
      <c r="B24" s="175">
        <v>13.0</v>
      </c>
      <c r="C24" s="177" t="s">
        <v>39</v>
      </c>
      <c r="D24" s="177">
        <v>29.0</v>
      </c>
      <c r="E24" s="177" t="s">
        <v>91</v>
      </c>
      <c r="F24" s="178">
        <v>0.5833333333333334</v>
      </c>
      <c r="G24" s="203" t="s">
        <v>78</v>
      </c>
      <c r="H24" s="177" t="s">
        <v>47</v>
      </c>
      <c r="I24" s="241" t="str">
        <f t="shared" ref="I24:P24" si="23">#REF!</f>
        <v>#REF!</v>
      </c>
      <c r="J24" s="241" t="str">
        <f t="shared" si="23"/>
        <v>#REF!</v>
      </c>
      <c r="K24" s="241" t="str">
        <f t="shared" si="23"/>
        <v>#REF!</v>
      </c>
      <c r="L24" s="241" t="str">
        <f t="shared" si="23"/>
        <v>#REF!</v>
      </c>
      <c r="M24" s="241" t="str">
        <f t="shared" si="23"/>
        <v>#REF!</v>
      </c>
      <c r="N24" s="241" t="str">
        <f t="shared" si="23"/>
        <v>#REF!</v>
      </c>
      <c r="O24" s="241" t="str">
        <f t="shared" si="23"/>
        <v>#REF!</v>
      </c>
      <c r="P24" s="241" t="str">
        <f t="shared" si="23"/>
        <v>#REF!</v>
      </c>
      <c r="Q24" s="156" t="s">
        <v>444</v>
      </c>
      <c r="R24" s="173"/>
      <c r="S24" s="250"/>
      <c r="T24" s="224"/>
      <c r="U24" s="247"/>
      <c r="V24" s="247"/>
      <c r="W24" s="247" t="s">
        <v>97</v>
      </c>
      <c r="X24" s="247" t="s">
        <v>195</v>
      </c>
      <c r="Y24" s="128" t="s">
        <v>440</v>
      </c>
      <c r="AA24" s="247"/>
      <c r="AB24" s="224"/>
      <c r="AD24" s="247"/>
      <c r="AE24" s="247"/>
      <c r="AF24" s="247"/>
    </row>
    <row r="25" ht="15.75" customHeight="1">
      <c r="A25" s="174">
        <v>105352.0</v>
      </c>
      <c r="B25" s="175">
        <v>14.0</v>
      </c>
      <c r="C25" s="177" t="s">
        <v>39</v>
      </c>
      <c r="D25" s="177">
        <v>3.0</v>
      </c>
      <c r="E25" s="177" t="s">
        <v>93</v>
      </c>
      <c r="F25" s="178">
        <v>0.5833333333333334</v>
      </c>
      <c r="G25" s="177" t="s">
        <v>47</v>
      </c>
      <c r="H25" s="248" t="s">
        <v>78</v>
      </c>
      <c r="I25" s="241" t="str">
        <f t="shared" ref="I25:P25" si="24">#REF!</f>
        <v>#REF!</v>
      </c>
      <c r="J25" s="241" t="str">
        <f t="shared" si="24"/>
        <v>#REF!</v>
      </c>
      <c r="K25" s="241" t="str">
        <f t="shared" si="24"/>
        <v>#REF!</v>
      </c>
      <c r="L25" s="241" t="str">
        <f t="shared" si="24"/>
        <v>#REF!</v>
      </c>
      <c r="M25" s="241" t="str">
        <f t="shared" si="24"/>
        <v>#REF!</v>
      </c>
      <c r="N25" s="241" t="str">
        <f t="shared" si="24"/>
        <v>#REF!</v>
      </c>
      <c r="O25" s="241" t="str">
        <f t="shared" si="24"/>
        <v>#REF!</v>
      </c>
      <c r="P25" s="241" t="str">
        <f t="shared" si="24"/>
        <v>#REF!</v>
      </c>
      <c r="Q25" s="156"/>
      <c r="R25" s="173"/>
      <c r="S25" s="250"/>
      <c r="T25" s="224"/>
      <c r="U25" s="247"/>
      <c r="V25" s="247"/>
      <c r="W25" s="247" t="s">
        <v>89</v>
      </c>
      <c r="X25" s="247" t="s">
        <v>133</v>
      </c>
      <c r="Y25" s="128" t="s">
        <v>445</v>
      </c>
      <c r="Z25" s="125">
        <v>417.0</v>
      </c>
      <c r="AA25" s="128">
        <v>19.0</v>
      </c>
      <c r="AB25" s="128">
        <v>45.0</v>
      </c>
      <c r="AC25" s="125">
        <v>165.0</v>
      </c>
      <c r="AD25" s="128">
        <v>237.0</v>
      </c>
      <c r="AE25" s="128">
        <v>307.0</v>
      </c>
      <c r="AF25" s="128">
        <v>417.0</v>
      </c>
    </row>
    <row r="26" ht="15.75" customHeight="1">
      <c r="A26" s="174">
        <v>105354.0</v>
      </c>
      <c r="B26" s="175">
        <v>16.0</v>
      </c>
      <c r="C26" s="177" t="s">
        <v>39</v>
      </c>
      <c r="D26" s="177">
        <v>17.0</v>
      </c>
      <c r="E26" s="177" t="s">
        <v>93</v>
      </c>
      <c r="F26" s="178">
        <v>0.5833333333333334</v>
      </c>
      <c r="G26" s="177" t="s">
        <v>47</v>
      </c>
      <c r="H26" s="177" t="s">
        <v>55</v>
      </c>
      <c r="I26" s="241" t="str">
        <f t="shared" ref="I26:P26" si="25">#REF!</f>
        <v>#REF!</v>
      </c>
      <c r="J26" s="241" t="str">
        <f t="shared" si="25"/>
        <v>#REF!</v>
      </c>
      <c r="K26" s="241" t="str">
        <f t="shared" si="25"/>
        <v>#REF!</v>
      </c>
      <c r="L26" s="241" t="str">
        <f t="shared" si="25"/>
        <v>#REF!</v>
      </c>
      <c r="M26" s="241" t="str">
        <f t="shared" si="25"/>
        <v>#REF!</v>
      </c>
      <c r="N26" s="241" t="str">
        <f t="shared" si="25"/>
        <v>#REF!</v>
      </c>
      <c r="O26" s="241" t="str">
        <f t="shared" si="25"/>
        <v>#REF!</v>
      </c>
      <c r="P26" s="241" t="str">
        <f t="shared" si="25"/>
        <v>#REF!</v>
      </c>
      <c r="Q26" s="156"/>
      <c r="R26" s="157"/>
      <c r="S26" s="242"/>
      <c r="T26" s="224"/>
      <c r="U26" s="247"/>
      <c r="V26" s="247"/>
      <c r="W26" s="224" t="s">
        <v>167</v>
      </c>
      <c r="X26" s="224" t="s">
        <v>166</v>
      </c>
      <c r="Y26" s="128" t="s">
        <v>446</v>
      </c>
      <c r="AA26" s="247"/>
      <c r="AB26" s="224"/>
      <c r="AD26" s="247"/>
      <c r="AE26" s="247"/>
      <c r="AF26" s="247"/>
    </row>
    <row r="27" ht="15.75" customHeight="1">
      <c r="A27" s="174">
        <v>105353.0</v>
      </c>
      <c r="B27" s="175">
        <v>16.0</v>
      </c>
      <c r="C27" s="177" t="s">
        <v>39</v>
      </c>
      <c r="D27" s="177">
        <v>17.0</v>
      </c>
      <c r="E27" s="177" t="s">
        <v>93</v>
      </c>
      <c r="F27" s="178">
        <v>0.5833333333333334</v>
      </c>
      <c r="G27" s="176" t="s">
        <v>41</v>
      </c>
      <c r="H27" s="243" t="s">
        <v>56</v>
      </c>
      <c r="I27" s="241" t="str">
        <f t="shared" ref="I27:P27" si="26">#REF!</f>
        <v>#REF!</v>
      </c>
      <c r="J27" s="241" t="str">
        <f t="shared" si="26"/>
        <v>#REF!</v>
      </c>
      <c r="K27" s="241" t="str">
        <f t="shared" si="26"/>
        <v>#REF!</v>
      </c>
      <c r="L27" s="241" t="str">
        <f t="shared" si="26"/>
        <v>#REF!</v>
      </c>
      <c r="M27" s="241" t="str">
        <f t="shared" si="26"/>
        <v>#REF!</v>
      </c>
      <c r="N27" s="241" t="str">
        <f t="shared" si="26"/>
        <v>#REF!</v>
      </c>
      <c r="O27" s="241" t="str">
        <f t="shared" si="26"/>
        <v>#REF!</v>
      </c>
      <c r="P27" s="241" t="str">
        <f t="shared" si="26"/>
        <v>#REF!</v>
      </c>
      <c r="Q27" s="156"/>
      <c r="R27" s="157"/>
      <c r="S27" s="242"/>
      <c r="T27" s="224"/>
      <c r="U27" s="247"/>
      <c r="V27" s="247"/>
      <c r="W27" s="224" t="s">
        <v>50</v>
      </c>
      <c r="X27" s="224" t="s">
        <v>125</v>
      </c>
      <c r="Y27" s="128" t="s">
        <v>433</v>
      </c>
      <c r="AA27" s="247"/>
      <c r="AB27" s="224"/>
      <c r="AD27" s="247"/>
      <c r="AE27" s="247"/>
      <c r="AF27" s="247"/>
    </row>
    <row r="28" ht="15.75" customHeight="1">
      <c r="A28" s="174">
        <v>105355.0</v>
      </c>
      <c r="B28" s="175">
        <v>16.0</v>
      </c>
      <c r="C28" s="177" t="s">
        <v>54</v>
      </c>
      <c r="D28" s="177">
        <v>18.0</v>
      </c>
      <c r="E28" s="177" t="s">
        <v>93</v>
      </c>
      <c r="F28" s="178">
        <v>0.5833333333333334</v>
      </c>
      <c r="G28" s="177" t="s">
        <v>70</v>
      </c>
      <c r="H28" s="243" t="s">
        <v>232</v>
      </c>
      <c r="I28" s="241" t="str">
        <f t="shared" ref="I28:P28" si="27">#REF!</f>
        <v>#REF!</v>
      </c>
      <c r="J28" s="241" t="str">
        <f t="shared" si="27"/>
        <v>#REF!</v>
      </c>
      <c r="K28" s="241" t="str">
        <f t="shared" si="27"/>
        <v>#REF!</v>
      </c>
      <c r="L28" s="241" t="str">
        <f t="shared" si="27"/>
        <v>#REF!</v>
      </c>
      <c r="M28" s="241" t="str">
        <f t="shared" si="27"/>
        <v>#REF!</v>
      </c>
      <c r="N28" s="241" t="str">
        <f t="shared" si="27"/>
        <v>#REF!</v>
      </c>
      <c r="O28" s="241" t="str">
        <f t="shared" si="27"/>
        <v>#REF!</v>
      </c>
      <c r="P28" s="241" t="str">
        <f t="shared" si="27"/>
        <v>#REF!</v>
      </c>
      <c r="Q28" s="168" t="s">
        <v>447</v>
      </c>
      <c r="R28" s="157"/>
      <c r="S28" s="242"/>
      <c r="T28" s="224"/>
      <c r="U28" s="247"/>
      <c r="V28" s="247"/>
      <c r="W28" s="224" t="s">
        <v>289</v>
      </c>
      <c r="X28" s="224" t="s">
        <v>448</v>
      </c>
      <c r="Y28" s="128" t="s">
        <v>449</v>
      </c>
      <c r="AA28" s="128"/>
      <c r="AB28" s="128"/>
      <c r="AD28" s="128"/>
      <c r="AE28" s="128"/>
      <c r="AF28" s="128"/>
    </row>
    <row r="29" ht="15.75" customHeight="1">
      <c r="A29" s="174">
        <v>105356.0</v>
      </c>
      <c r="B29" s="175">
        <v>17.0</v>
      </c>
      <c r="C29" s="246" t="s">
        <v>82</v>
      </c>
      <c r="D29" s="177">
        <v>23.0</v>
      </c>
      <c r="E29" s="177" t="s">
        <v>93</v>
      </c>
      <c r="F29" s="178">
        <v>0.7916666666666666</v>
      </c>
      <c r="G29" s="240" t="s">
        <v>55</v>
      </c>
      <c r="H29" s="248" t="s">
        <v>78</v>
      </c>
      <c r="I29" s="241" t="str">
        <f t="shared" ref="I29:P29" si="28">#REF!</f>
        <v>#REF!</v>
      </c>
      <c r="J29" s="241" t="str">
        <f t="shared" si="28"/>
        <v>#REF!</v>
      </c>
      <c r="K29" s="241" t="str">
        <f t="shared" si="28"/>
        <v>#REF!</v>
      </c>
      <c r="L29" s="241" t="str">
        <f t="shared" si="28"/>
        <v>#REF!</v>
      </c>
      <c r="M29" s="241" t="str">
        <f t="shared" si="28"/>
        <v>#REF!</v>
      </c>
      <c r="N29" s="241" t="str">
        <f t="shared" si="28"/>
        <v>#REF!</v>
      </c>
      <c r="O29" s="241" t="str">
        <f t="shared" si="28"/>
        <v>#REF!</v>
      </c>
      <c r="P29" s="241" t="str">
        <f t="shared" si="28"/>
        <v>#REF!</v>
      </c>
      <c r="Q29" s="156" t="s">
        <v>450</v>
      </c>
      <c r="R29" s="157"/>
      <c r="S29" s="242"/>
      <c r="T29" s="224"/>
      <c r="U29" s="247"/>
      <c r="V29" s="247"/>
      <c r="W29" s="224" t="s">
        <v>285</v>
      </c>
      <c r="X29" s="224" t="s">
        <v>286</v>
      </c>
      <c r="Y29" s="128" t="s">
        <v>451</v>
      </c>
      <c r="AA29" s="128"/>
      <c r="AB29" s="128"/>
      <c r="AD29" s="128"/>
      <c r="AE29" s="128"/>
      <c r="AF29" s="128"/>
    </row>
    <row r="30" ht="15.75" customHeight="1">
      <c r="A30" s="174">
        <v>105357.0</v>
      </c>
      <c r="B30" s="175">
        <v>17.0</v>
      </c>
      <c r="C30" s="177" t="s">
        <v>39</v>
      </c>
      <c r="D30" s="177">
        <v>24.0</v>
      </c>
      <c r="E30" s="177" t="s">
        <v>93</v>
      </c>
      <c r="F30" s="178">
        <v>0.5833333333333334</v>
      </c>
      <c r="G30" s="177" t="s">
        <v>70</v>
      </c>
      <c r="H30" s="243" t="s">
        <v>56</v>
      </c>
      <c r="I30" s="241" t="str">
        <f t="shared" ref="I30:P30" si="29">#REF!</f>
        <v>#REF!</v>
      </c>
      <c r="J30" s="241" t="str">
        <f t="shared" si="29"/>
        <v>#REF!</v>
      </c>
      <c r="K30" s="241" t="str">
        <f t="shared" si="29"/>
        <v>#REF!</v>
      </c>
      <c r="L30" s="241" t="str">
        <f t="shared" si="29"/>
        <v>#REF!</v>
      </c>
      <c r="M30" s="241" t="str">
        <f t="shared" si="29"/>
        <v>#REF!</v>
      </c>
      <c r="N30" s="241" t="str">
        <f t="shared" si="29"/>
        <v>#REF!</v>
      </c>
      <c r="O30" s="241" t="str">
        <f t="shared" si="29"/>
        <v>#REF!</v>
      </c>
      <c r="P30" s="241" t="str">
        <f t="shared" si="29"/>
        <v>#REF!</v>
      </c>
      <c r="Q30" s="156" t="s">
        <v>452</v>
      </c>
      <c r="R30" s="157"/>
      <c r="S30" s="242"/>
      <c r="T30" s="224"/>
      <c r="U30" s="247"/>
      <c r="V30" s="247"/>
      <c r="AA30" s="128"/>
      <c r="AB30" s="128"/>
      <c r="AD30" s="128"/>
      <c r="AE30" s="128"/>
      <c r="AF30" s="128"/>
    </row>
    <row r="31" ht="15.75" customHeight="1">
      <c r="A31" s="174">
        <v>105358.0</v>
      </c>
      <c r="B31" s="175">
        <v>17.0</v>
      </c>
      <c r="C31" s="177" t="s">
        <v>54</v>
      </c>
      <c r="D31" s="177">
        <v>25.0</v>
      </c>
      <c r="E31" s="177" t="s">
        <v>93</v>
      </c>
      <c r="F31" s="178">
        <v>0.5833333333333334</v>
      </c>
      <c r="G31" s="240" t="s">
        <v>232</v>
      </c>
      <c r="H31" s="176" t="s">
        <v>47</v>
      </c>
      <c r="I31" s="241" t="str">
        <f t="shared" ref="I31:P31" si="30">#REF!</f>
        <v>#REF!</v>
      </c>
      <c r="J31" s="241" t="str">
        <f t="shared" si="30"/>
        <v>#REF!</v>
      </c>
      <c r="K31" s="241" t="str">
        <f t="shared" si="30"/>
        <v>#REF!</v>
      </c>
      <c r="L31" s="241" t="str">
        <f t="shared" si="30"/>
        <v>#REF!</v>
      </c>
      <c r="M31" s="241" t="str">
        <f t="shared" si="30"/>
        <v>#REF!</v>
      </c>
      <c r="N31" s="241" t="str">
        <f t="shared" si="30"/>
        <v>#REF!</v>
      </c>
      <c r="O31" s="241" t="str">
        <f t="shared" si="30"/>
        <v>#REF!</v>
      </c>
      <c r="P31" s="241" t="str">
        <f t="shared" si="30"/>
        <v>#REF!</v>
      </c>
      <c r="Q31" s="156" t="s">
        <v>268</v>
      </c>
      <c r="R31" s="157"/>
      <c r="S31" s="242"/>
      <c r="T31" s="224"/>
      <c r="U31" s="247"/>
      <c r="V31" s="247"/>
      <c r="AA31" s="128"/>
      <c r="AB31" s="128"/>
      <c r="AD31" s="128"/>
      <c r="AE31" s="128"/>
      <c r="AF31" s="128"/>
    </row>
    <row r="32" ht="15.75" customHeight="1">
      <c r="A32" s="174">
        <v>105359.0</v>
      </c>
      <c r="B32" s="175">
        <v>18.0</v>
      </c>
      <c r="C32" s="177" t="s">
        <v>39</v>
      </c>
      <c r="D32" s="177">
        <v>31.0</v>
      </c>
      <c r="E32" s="177" t="s">
        <v>93</v>
      </c>
      <c r="F32" s="178">
        <v>0.5833333333333334</v>
      </c>
      <c r="G32" s="177" t="s">
        <v>56</v>
      </c>
      <c r="H32" s="243" t="s">
        <v>55</v>
      </c>
      <c r="I32" s="241" t="str">
        <f t="shared" ref="I32:P32" si="31">#REF!</f>
        <v>#REF!</v>
      </c>
      <c r="J32" s="241" t="str">
        <f t="shared" si="31"/>
        <v>#REF!</v>
      </c>
      <c r="K32" s="241" t="str">
        <f t="shared" si="31"/>
        <v>#REF!</v>
      </c>
      <c r="L32" s="241" t="str">
        <f t="shared" si="31"/>
        <v>#REF!</v>
      </c>
      <c r="M32" s="241" t="str">
        <f t="shared" si="31"/>
        <v>#REF!</v>
      </c>
      <c r="N32" s="241" t="str">
        <f t="shared" si="31"/>
        <v>#REF!</v>
      </c>
      <c r="O32" s="241" t="str">
        <f t="shared" si="31"/>
        <v>#REF!</v>
      </c>
      <c r="P32" s="241" t="str">
        <f t="shared" si="31"/>
        <v>#REF!</v>
      </c>
      <c r="Q32" s="156" t="s">
        <v>453</v>
      </c>
      <c r="R32" s="157"/>
      <c r="S32" s="242"/>
      <c r="T32" s="224"/>
      <c r="U32" s="247"/>
      <c r="V32" s="247"/>
      <c r="AA32" s="128"/>
      <c r="AB32" s="128"/>
      <c r="AD32" s="128"/>
      <c r="AE32" s="128"/>
      <c r="AF32" s="128"/>
    </row>
    <row r="33" ht="15.75" customHeight="1">
      <c r="A33" s="174">
        <v>105360.0</v>
      </c>
      <c r="B33" s="175">
        <v>18.0</v>
      </c>
      <c r="C33" s="177" t="s">
        <v>54</v>
      </c>
      <c r="D33" s="177">
        <v>1.0</v>
      </c>
      <c r="E33" s="177" t="s">
        <v>454</v>
      </c>
      <c r="F33" s="178">
        <v>0.5833333333333334</v>
      </c>
      <c r="G33" s="177" t="s">
        <v>41</v>
      </c>
      <c r="H33" s="243" t="s">
        <v>70</v>
      </c>
      <c r="I33" s="241" t="str">
        <f t="shared" ref="I33:P33" si="32">#REF!</f>
        <v>#REF!</v>
      </c>
      <c r="J33" s="241" t="str">
        <f t="shared" si="32"/>
        <v>#REF!</v>
      </c>
      <c r="K33" s="241" t="str">
        <f t="shared" si="32"/>
        <v>#REF!</v>
      </c>
      <c r="L33" s="241" t="str">
        <f t="shared" si="32"/>
        <v>#REF!</v>
      </c>
      <c r="M33" s="241" t="str">
        <f t="shared" si="32"/>
        <v>#REF!</v>
      </c>
      <c r="N33" s="241" t="str">
        <f t="shared" si="32"/>
        <v>#REF!</v>
      </c>
      <c r="O33" s="241" t="str">
        <f t="shared" si="32"/>
        <v>#REF!</v>
      </c>
      <c r="P33" s="241" t="str">
        <f t="shared" si="32"/>
        <v>#REF!</v>
      </c>
      <c r="Q33" s="156" t="s">
        <v>455</v>
      </c>
      <c r="R33" s="157"/>
      <c r="S33" s="242"/>
      <c r="T33" s="224"/>
      <c r="U33" s="247"/>
      <c r="V33" s="247"/>
      <c r="AA33" s="128"/>
      <c r="AB33" s="128"/>
      <c r="AD33" s="128"/>
      <c r="AE33" s="128"/>
      <c r="AF33" s="128"/>
    </row>
    <row r="34" ht="15.75" customHeight="1">
      <c r="A34" s="174">
        <v>105361.0</v>
      </c>
      <c r="B34" s="175">
        <v>19.0</v>
      </c>
      <c r="C34" s="177" t="s">
        <v>39</v>
      </c>
      <c r="D34" s="177">
        <v>7.0</v>
      </c>
      <c r="E34" s="177" t="s">
        <v>454</v>
      </c>
      <c r="F34" s="178">
        <v>0.5833333333333334</v>
      </c>
      <c r="G34" s="203" t="s">
        <v>78</v>
      </c>
      <c r="H34" s="243" t="s">
        <v>41</v>
      </c>
      <c r="I34" s="241" t="str">
        <f t="shared" ref="I34:P34" si="33">#REF!</f>
        <v>#REF!</v>
      </c>
      <c r="J34" s="241" t="str">
        <f t="shared" si="33"/>
        <v>#REF!</v>
      </c>
      <c r="K34" s="241" t="str">
        <f t="shared" si="33"/>
        <v>#REF!</v>
      </c>
      <c r="L34" s="241" t="str">
        <f t="shared" si="33"/>
        <v>#REF!</v>
      </c>
      <c r="M34" s="241" t="str">
        <f t="shared" si="33"/>
        <v>#REF!</v>
      </c>
      <c r="N34" s="241" t="str">
        <f t="shared" si="33"/>
        <v>#REF!</v>
      </c>
      <c r="O34" s="241" t="str">
        <f t="shared" si="33"/>
        <v>#REF!</v>
      </c>
      <c r="P34" s="241" t="str">
        <f t="shared" si="33"/>
        <v>#REF!</v>
      </c>
      <c r="Q34" s="156"/>
      <c r="R34" s="157"/>
      <c r="S34" s="242"/>
      <c r="T34" s="224"/>
      <c r="U34" s="247"/>
      <c r="V34" s="247"/>
      <c r="AA34" s="128"/>
      <c r="AB34" s="128"/>
      <c r="AD34" s="128"/>
      <c r="AE34" s="128"/>
      <c r="AF34" s="128"/>
    </row>
    <row r="35" ht="15.75" customHeight="1">
      <c r="A35" s="174">
        <v>105363.0</v>
      </c>
      <c r="B35" s="175">
        <v>19.0</v>
      </c>
      <c r="C35" s="177" t="s">
        <v>54</v>
      </c>
      <c r="D35" s="177">
        <v>8.0</v>
      </c>
      <c r="E35" s="177" t="s">
        <v>454</v>
      </c>
      <c r="F35" s="178">
        <v>0.5833333333333334</v>
      </c>
      <c r="G35" s="177" t="s">
        <v>56</v>
      </c>
      <c r="H35" s="177" t="s">
        <v>47</v>
      </c>
      <c r="I35" s="241" t="str">
        <f t="shared" ref="I35:P35" si="34">#REF!</f>
        <v>#REF!</v>
      </c>
      <c r="J35" s="241" t="str">
        <f t="shared" si="34"/>
        <v>#REF!</v>
      </c>
      <c r="K35" s="241" t="str">
        <f t="shared" si="34"/>
        <v>#REF!</v>
      </c>
      <c r="L35" s="241" t="str">
        <f t="shared" si="34"/>
        <v>#REF!</v>
      </c>
      <c r="M35" s="241" t="str">
        <f t="shared" si="34"/>
        <v>#REF!</v>
      </c>
      <c r="N35" s="241" t="str">
        <f t="shared" si="34"/>
        <v>#REF!</v>
      </c>
      <c r="O35" s="241" t="str">
        <f t="shared" si="34"/>
        <v>#REF!</v>
      </c>
      <c r="P35" s="241" t="str">
        <f t="shared" si="34"/>
        <v>#REF!</v>
      </c>
      <c r="Q35" s="156"/>
      <c r="R35" s="157"/>
      <c r="S35" s="242"/>
      <c r="T35" s="224"/>
      <c r="U35" s="224"/>
      <c r="V35" s="224"/>
      <c r="AA35" s="128"/>
      <c r="AB35" s="128"/>
      <c r="AD35" s="128"/>
      <c r="AE35" s="128"/>
      <c r="AF35" s="128"/>
    </row>
    <row r="36" ht="15.75" customHeight="1">
      <c r="A36" s="174">
        <v>105362.0</v>
      </c>
      <c r="B36" s="175">
        <v>19.0</v>
      </c>
      <c r="C36" s="177" t="s">
        <v>54</v>
      </c>
      <c r="D36" s="177">
        <v>8.0</v>
      </c>
      <c r="E36" s="177" t="s">
        <v>454</v>
      </c>
      <c r="F36" s="178">
        <v>0.5833333333333334</v>
      </c>
      <c r="G36" s="177" t="s">
        <v>55</v>
      </c>
      <c r="H36" s="243" t="s">
        <v>232</v>
      </c>
      <c r="I36" s="241" t="str">
        <f t="shared" ref="I36:P36" si="35">#REF!</f>
        <v>#REF!</v>
      </c>
      <c r="J36" s="241" t="str">
        <f t="shared" si="35"/>
        <v>#REF!</v>
      </c>
      <c r="K36" s="241" t="str">
        <f t="shared" si="35"/>
        <v>#REF!</v>
      </c>
      <c r="L36" s="241" t="str">
        <f t="shared" si="35"/>
        <v>#REF!</v>
      </c>
      <c r="M36" s="241" t="str">
        <f t="shared" si="35"/>
        <v>#REF!</v>
      </c>
      <c r="N36" s="241" t="str">
        <f t="shared" si="35"/>
        <v>#REF!</v>
      </c>
      <c r="O36" s="241" t="str">
        <f t="shared" si="35"/>
        <v>#REF!</v>
      </c>
      <c r="P36" s="241" t="str">
        <f t="shared" si="35"/>
        <v>#REF!</v>
      </c>
      <c r="Q36" s="156"/>
      <c r="R36" s="157"/>
      <c r="S36" s="242"/>
      <c r="T36" s="224"/>
      <c r="U36" s="224"/>
      <c r="V36" s="224"/>
      <c r="AA36" s="128"/>
      <c r="AB36" s="128"/>
      <c r="AD36" s="128"/>
      <c r="AE36" s="128"/>
      <c r="AF36" s="128"/>
    </row>
    <row r="37" ht="15.75" customHeight="1">
      <c r="A37" s="204" t="s">
        <v>456</v>
      </c>
      <c r="B37" s="175">
        <v>21.0</v>
      </c>
      <c r="C37" s="177" t="s">
        <v>39</v>
      </c>
      <c r="D37" s="177"/>
      <c r="E37" s="177" t="s">
        <v>100</v>
      </c>
      <c r="F37" s="178"/>
      <c r="G37" s="204"/>
      <c r="H37" s="204"/>
      <c r="I37" s="241" t="str">
        <f t="shared" ref="I37:P37" si="36">#REF!</f>
        <v>#REF!</v>
      </c>
      <c r="J37" s="241" t="str">
        <f t="shared" si="36"/>
        <v>#REF!</v>
      </c>
      <c r="K37" s="241" t="str">
        <f t="shared" si="36"/>
        <v>#REF!</v>
      </c>
      <c r="L37" s="241" t="str">
        <f t="shared" si="36"/>
        <v>#REF!</v>
      </c>
      <c r="M37" s="241" t="str">
        <f t="shared" si="36"/>
        <v>#REF!</v>
      </c>
      <c r="N37" s="241" t="str">
        <f t="shared" si="36"/>
        <v>#REF!</v>
      </c>
      <c r="O37" s="241" t="str">
        <f t="shared" si="36"/>
        <v>#REF!</v>
      </c>
      <c r="P37" s="241" t="str">
        <f t="shared" si="36"/>
        <v>#REF!</v>
      </c>
      <c r="Q37" s="156"/>
      <c r="R37" s="157"/>
      <c r="S37" s="242"/>
      <c r="T37" s="224"/>
      <c r="U37" s="224"/>
      <c r="V37" s="224"/>
      <c r="AA37" s="128"/>
      <c r="AB37" s="128"/>
      <c r="AD37" s="128"/>
      <c r="AE37" s="128"/>
      <c r="AF37" s="128"/>
    </row>
    <row r="38" ht="15.75" customHeight="1">
      <c r="A38" s="204" t="s">
        <v>457</v>
      </c>
      <c r="B38" s="175">
        <v>21.0</v>
      </c>
      <c r="C38" s="177" t="s">
        <v>39</v>
      </c>
      <c r="D38" s="177"/>
      <c r="E38" s="177" t="s">
        <v>100</v>
      </c>
      <c r="F38" s="178"/>
      <c r="G38" s="204"/>
      <c r="H38" s="204"/>
      <c r="I38" s="241" t="str">
        <f t="shared" ref="I38:P38" si="37">#REF!</f>
        <v>#REF!</v>
      </c>
      <c r="J38" s="241" t="str">
        <f t="shared" si="37"/>
        <v>#REF!</v>
      </c>
      <c r="K38" s="241" t="str">
        <f t="shared" si="37"/>
        <v>#REF!</v>
      </c>
      <c r="L38" s="241" t="str">
        <f t="shared" si="37"/>
        <v>#REF!</v>
      </c>
      <c r="M38" s="241" t="str">
        <f t="shared" si="37"/>
        <v>#REF!</v>
      </c>
      <c r="N38" s="241" t="str">
        <f t="shared" si="37"/>
        <v>#REF!</v>
      </c>
      <c r="O38" s="241" t="str">
        <f t="shared" si="37"/>
        <v>#REF!</v>
      </c>
      <c r="P38" s="241" t="str">
        <f t="shared" si="37"/>
        <v>#REF!</v>
      </c>
      <c r="Q38" s="156"/>
      <c r="R38" s="157"/>
      <c r="S38" s="242"/>
      <c r="T38" s="224"/>
      <c r="U38" s="224"/>
      <c r="V38" s="224"/>
      <c r="AA38" s="128"/>
      <c r="AB38" s="128"/>
      <c r="AD38" s="128"/>
      <c r="AE38" s="128"/>
      <c r="AF38" s="128"/>
    </row>
    <row r="39" ht="15.75" customHeight="1">
      <c r="A39" s="204" t="s">
        <v>326</v>
      </c>
      <c r="B39" s="175">
        <v>22.0</v>
      </c>
      <c r="C39" s="177" t="s">
        <v>39</v>
      </c>
      <c r="D39" s="177"/>
      <c r="E39" s="177" t="s">
        <v>100</v>
      </c>
      <c r="F39" s="178"/>
      <c r="G39" s="204"/>
      <c r="H39" s="204"/>
      <c r="I39" s="241" t="str">
        <f>'Plan - NL'!I28</f>
        <v>DS</v>
      </c>
      <c r="J39" s="241" t="str">
        <f>'Plan - NL'!J28</f>
        <v>VN</v>
      </c>
      <c r="K39" s="241" t="str">
        <f>'Plan - NL'!K28</f>
        <v>JK</v>
      </c>
      <c r="L39" s="241" t="str">
        <f>'Plan - NL'!L28</f>
        <v>HP</v>
      </c>
      <c r="M39" s="241" t="str">
        <f>'Plan - NL'!M28</f>
        <v>AF</v>
      </c>
      <c r="N39" s="241" t="str">
        <f>'Plan - NL'!N28</f>
        <v>KJ</v>
      </c>
      <c r="O39" s="241" t="str">
        <f>'Plan - NL'!O28</f>
        <v>FK</v>
      </c>
      <c r="P39" s="241" t="str">
        <f>'Plan - NL'!P28</f>
        <v/>
      </c>
      <c r="Q39" s="156"/>
      <c r="R39" s="157"/>
      <c r="S39" s="242"/>
      <c r="T39" s="224"/>
      <c r="U39" s="224"/>
      <c r="V39" s="224"/>
      <c r="W39" s="224"/>
      <c r="X39" s="224"/>
      <c r="Y39" s="224"/>
      <c r="Z39" s="224"/>
      <c r="AA39" s="224"/>
      <c r="AB39" s="128"/>
      <c r="AC39" s="128"/>
      <c r="AD39" s="128"/>
      <c r="AE39" s="128"/>
      <c r="AF39" s="128"/>
    </row>
    <row r="40" ht="15.75" customHeight="1">
      <c r="A40" s="204" t="s">
        <v>327</v>
      </c>
      <c r="B40" s="175">
        <v>22.0</v>
      </c>
      <c r="C40" s="177" t="s">
        <v>39</v>
      </c>
      <c r="D40" s="177"/>
      <c r="E40" s="177" t="s">
        <v>100</v>
      </c>
      <c r="F40" s="178"/>
      <c r="G40" s="204"/>
      <c r="H40" s="204"/>
      <c r="I40" s="241" t="str">
        <f t="shared" ref="I40:P40" si="38">#REF!</f>
        <v>#REF!</v>
      </c>
      <c r="J40" s="241" t="str">
        <f t="shared" si="38"/>
        <v>#REF!</v>
      </c>
      <c r="K40" s="241" t="str">
        <f t="shared" si="38"/>
        <v>#REF!</v>
      </c>
      <c r="L40" s="241" t="str">
        <f t="shared" si="38"/>
        <v>#REF!</v>
      </c>
      <c r="M40" s="241" t="str">
        <f t="shared" si="38"/>
        <v>#REF!</v>
      </c>
      <c r="N40" s="241" t="str">
        <f t="shared" si="38"/>
        <v>#REF!</v>
      </c>
      <c r="O40" s="241" t="str">
        <f t="shared" si="38"/>
        <v>#REF!</v>
      </c>
      <c r="P40" s="241" t="str">
        <f t="shared" si="38"/>
        <v>#REF!</v>
      </c>
      <c r="Q40" s="156"/>
      <c r="R40" s="157"/>
      <c r="S40" s="242"/>
      <c r="T40" s="224"/>
      <c r="U40" s="224"/>
      <c r="V40" s="224"/>
      <c r="W40" s="224"/>
      <c r="X40" s="224"/>
      <c r="Y40" s="224"/>
      <c r="Z40" s="224"/>
      <c r="AA40" s="224"/>
      <c r="AB40" s="128"/>
      <c r="AC40" s="128"/>
      <c r="AD40" s="128"/>
      <c r="AE40" s="128"/>
      <c r="AF40" s="128"/>
    </row>
    <row r="41" ht="15.75" customHeight="1">
      <c r="A41" s="176" t="s">
        <v>458</v>
      </c>
      <c r="B41" s="175">
        <v>23.0</v>
      </c>
      <c r="C41" s="177" t="s">
        <v>39</v>
      </c>
      <c r="D41" s="177"/>
      <c r="E41" s="177" t="s">
        <v>101</v>
      </c>
      <c r="F41" s="178"/>
      <c r="G41" s="204"/>
      <c r="H41" s="204"/>
      <c r="I41" s="241" t="str">
        <f t="shared" ref="I41:P41" si="39">#REF!</f>
        <v>#REF!</v>
      </c>
      <c r="J41" s="241" t="str">
        <f t="shared" si="39"/>
        <v>#REF!</v>
      </c>
      <c r="K41" s="241" t="str">
        <f t="shared" si="39"/>
        <v>#REF!</v>
      </c>
      <c r="L41" s="241" t="str">
        <f t="shared" si="39"/>
        <v>#REF!</v>
      </c>
      <c r="M41" s="241" t="str">
        <f t="shared" si="39"/>
        <v>#REF!</v>
      </c>
      <c r="N41" s="241" t="str">
        <f t="shared" si="39"/>
        <v>#REF!</v>
      </c>
      <c r="O41" s="241" t="str">
        <f t="shared" si="39"/>
        <v>#REF!</v>
      </c>
      <c r="P41" s="241" t="str">
        <f t="shared" si="39"/>
        <v>#REF!</v>
      </c>
      <c r="Q41" s="156"/>
      <c r="R41" s="157"/>
      <c r="S41" s="242"/>
      <c r="T41" s="224"/>
      <c r="U41" s="251"/>
      <c r="V41" s="251"/>
      <c r="W41" s="251"/>
      <c r="X41" s="251"/>
      <c r="Y41" s="251"/>
      <c r="Z41" s="251"/>
      <c r="AA41" s="251"/>
      <c r="AB41" s="128"/>
      <c r="AC41" s="128"/>
      <c r="AD41" s="128"/>
      <c r="AE41" s="128"/>
      <c r="AF41" s="128"/>
    </row>
    <row r="42" ht="15.75" customHeight="1">
      <c r="A42" s="7" t="s">
        <v>103</v>
      </c>
      <c r="B42" s="14">
        <v>24.0</v>
      </c>
      <c r="C42" s="86" t="s">
        <v>39</v>
      </c>
      <c r="D42" s="86"/>
      <c r="E42" s="86" t="s">
        <v>101</v>
      </c>
      <c r="F42" s="209"/>
      <c r="G42" s="14"/>
      <c r="H42" s="14"/>
      <c r="I42" s="241" t="str">
        <f t="shared" ref="I42:P42" si="40">#REF!</f>
        <v>#REF!</v>
      </c>
      <c r="J42" s="241" t="str">
        <f t="shared" si="40"/>
        <v>#REF!</v>
      </c>
      <c r="K42" s="241" t="str">
        <f t="shared" si="40"/>
        <v>#REF!</v>
      </c>
      <c r="L42" s="241" t="str">
        <f t="shared" si="40"/>
        <v>#REF!</v>
      </c>
      <c r="M42" s="241" t="str">
        <f t="shared" si="40"/>
        <v>#REF!</v>
      </c>
      <c r="N42" s="241" t="str">
        <f t="shared" si="40"/>
        <v>#REF!</v>
      </c>
      <c r="O42" s="241" t="str">
        <f t="shared" si="40"/>
        <v>#REF!</v>
      </c>
      <c r="P42" s="241" t="str">
        <f t="shared" si="40"/>
        <v>#REF!</v>
      </c>
      <c r="Q42" s="156"/>
      <c r="R42" s="157"/>
      <c r="S42" s="242"/>
      <c r="T42" s="224"/>
      <c r="U42" s="224"/>
      <c r="V42" s="224"/>
      <c r="W42" s="224"/>
      <c r="X42" s="224"/>
      <c r="Y42" s="224"/>
      <c r="Z42" s="224"/>
      <c r="AA42" s="224"/>
      <c r="AB42" s="128"/>
      <c r="AC42" s="128"/>
      <c r="AD42" s="128"/>
      <c r="AE42" s="128"/>
      <c r="AF42" s="128"/>
    </row>
    <row r="43" ht="15.75" customHeight="1">
      <c r="A43" s="128"/>
      <c r="B43" s="252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</row>
    <row r="44" ht="15.75" customHeight="1">
      <c r="A44" s="146" t="s">
        <v>107</v>
      </c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</row>
    <row r="45" ht="15.75" customHeight="1">
      <c r="A45" s="128" t="s">
        <v>157</v>
      </c>
      <c r="B45" s="128" t="s">
        <v>51</v>
      </c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  <c r="AD45" s="128"/>
      <c r="AE45" s="128"/>
      <c r="AF45" s="128"/>
    </row>
    <row r="46" ht="15.75" customHeight="1">
      <c r="A46" s="128" t="s">
        <v>151</v>
      </c>
      <c r="B46" s="128" t="s">
        <v>152</v>
      </c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 t="str">
        <f>DATA!I65</f>
        <v/>
      </c>
      <c r="R46" s="220"/>
      <c r="S46" s="220"/>
      <c r="T46" s="220"/>
      <c r="U46" s="220"/>
      <c r="V46" s="220"/>
      <c r="W46" s="220"/>
      <c r="X46" s="220"/>
      <c r="Y46" s="253">
        <v>0.0</v>
      </c>
      <c r="Z46" s="146">
        <v>0.0</v>
      </c>
      <c r="AA46" s="220"/>
      <c r="AB46" s="128" t="s">
        <v>119</v>
      </c>
      <c r="AC46" s="128"/>
      <c r="AD46" s="128"/>
      <c r="AE46" s="128"/>
      <c r="AF46" s="128"/>
    </row>
    <row r="47" ht="15.75" customHeight="1">
      <c r="A47" s="128" t="s">
        <v>158</v>
      </c>
      <c r="B47" s="128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 t="str">
        <f>DATA!I66</f>
        <v/>
      </c>
      <c r="R47" s="128"/>
      <c r="S47" s="128"/>
      <c r="T47" s="128" t="s">
        <v>332</v>
      </c>
      <c r="U47" s="128"/>
      <c r="V47" s="128"/>
      <c r="W47" s="128"/>
      <c r="X47" s="128"/>
      <c r="Y47" s="128" t="e">
        <v>#DIV/0!</v>
      </c>
      <c r="Z47" s="224"/>
      <c r="AA47" s="224"/>
      <c r="AB47" s="128" t="s">
        <v>333</v>
      </c>
      <c r="AC47" s="128"/>
      <c r="AD47" s="128"/>
      <c r="AE47" s="128"/>
      <c r="AF47" s="128"/>
    </row>
    <row r="48" ht="15.75" customHeight="1">
      <c r="A48" s="128" t="s">
        <v>191</v>
      </c>
      <c r="B48" s="128" t="s">
        <v>192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 t="str">
        <f>DATA!I67</f>
        <v/>
      </c>
      <c r="R48" s="128"/>
      <c r="S48" s="128"/>
      <c r="T48" s="128" t="s">
        <v>122</v>
      </c>
      <c r="U48" s="128"/>
      <c r="V48" s="128"/>
      <c r="W48" s="128"/>
      <c r="X48" s="128"/>
      <c r="Y48" s="128" t="e">
        <v>#NUM!</v>
      </c>
      <c r="Z48" s="224"/>
      <c r="AA48" s="224"/>
      <c r="AB48" s="128" t="s">
        <v>124</v>
      </c>
      <c r="AC48" s="128"/>
      <c r="AD48" s="128"/>
      <c r="AE48" s="128"/>
      <c r="AF48" s="128"/>
    </row>
    <row r="49" ht="15.75" customHeight="1">
      <c r="A49" s="128" t="s">
        <v>153</v>
      </c>
      <c r="B49" s="128" t="s">
        <v>154</v>
      </c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>
        <f>41-P50</f>
        <v>40</v>
      </c>
      <c r="Q49" s="128" t="str">
        <f>Y47/8</f>
        <v>#DIV/0!</v>
      </c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 t="s">
        <v>336</v>
      </c>
      <c r="AC49" s="128"/>
      <c r="AD49" s="128"/>
      <c r="AE49" s="128"/>
      <c r="AF49" s="128"/>
    </row>
    <row r="50" ht="15.75" customHeight="1">
      <c r="A50" s="128" t="s">
        <v>149</v>
      </c>
      <c r="B50" s="128" t="s">
        <v>73</v>
      </c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>
        <f>COUNTBLANK(I2:P42)</f>
        <v>1</v>
      </c>
      <c r="Q50" s="128" t="str">
        <f>Y48/7</f>
        <v>#NUM!</v>
      </c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 t="s">
        <v>129</v>
      </c>
      <c r="AC50" s="128"/>
      <c r="AD50" s="128"/>
      <c r="AE50" s="128"/>
      <c r="AF50" s="128"/>
    </row>
    <row r="51" ht="15.75" customHeight="1">
      <c r="A51" s="128" t="s">
        <v>120</v>
      </c>
      <c r="B51" s="128" t="s">
        <v>58</v>
      </c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</row>
    <row r="52" ht="15.75" customHeight="1">
      <c r="A52" s="128" t="s">
        <v>118</v>
      </c>
      <c r="B52" s="128" t="s">
        <v>49</v>
      </c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>
        <f>800*28</f>
        <v>22400</v>
      </c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</row>
    <row r="53" ht="15.75" customHeight="1">
      <c r="A53" s="128" t="s">
        <v>337</v>
      </c>
      <c r="B53" s="128" t="s">
        <v>85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</row>
    <row r="54" ht="15.75" customHeight="1">
      <c r="A54" s="128" t="s">
        <v>164</v>
      </c>
      <c r="B54" s="128" t="s">
        <v>165</v>
      </c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</row>
    <row r="55" ht="15.75" customHeight="1">
      <c r="A55" s="128" t="s">
        <v>136</v>
      </c>
      <c r="B55" s="128" t="s">
        <v>67</v>
      </c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</row>
    <row r="56" ht="15.75" customHeight="1">
      <c r="A56" s="128" t="s">
        <v>132</v>
      </c>
      <c r="B56" s="128" t="s">
        <v>63</v>
      </c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</row>
    <row r="57" ht="15.75" customHeight="1">
      <c r="A57" s="128" t="s">
        <v>185</v>
      </c>
      <c r="B57" s="128" t="s">
        <v>186</v>
      </c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</row>
    <row r="58" ht="15.75" customHeight="1">
      <c r="A58" s="128" t="s">
        <v>187</v>
      </c>
      <c r="B58" s="128" t="s">
        <v>188</v>
      </c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</row>
    <row r="59" ht="15.75" customHeight="1">
      <c r="A59" s="128" t="s">
        <v>148</v>
      </c>
      <c r="B59" s="128" t="s">
        <v>66</v>
      </c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226" t="s">
        <v>70</v>
      </c>
      <c r="Q59" s="128">
        <f t="shared" ref="Q59:Q66" si="41">COUNTIF(G$2:G$42,P59)</f>
        <v>5</v>
      </c>
      <c r="R59" s="128" t="str">
        <f t="shared" ref="R59:R66" si="42">SUMIF(G$2:G$42,P59,Y$39:Y$42)</f>
        <v>#NUM!</v>
      </c>
      <c r="S59" s="128" t="str">
        <f t="shared" ref="S59:S66" si="43">R59/Q59</f>
        <v>#NUM!</v>
      </c>
      <c r="T59" s="128"/>
      <c r="U59" s="128"/>
      <c r="V59" s="12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</row>
    <row r="60" ht="15.75" customHeight="1">
      <c r="A60" s="128" t="s">
        <v>189</v>
      </c>
      <c r="B60" s="128" t="s">
        <v>190</v>
      </c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254" t="s">
        <v>78</v>
      </c>
      <c r="Q60" s="128">
        <f t="shared" si="41"/>
        <v>5</v>
      </c>
      <c r="R60" s="128">
        <f t="shared" si="42"/>
        <v>0</v>
      </c>
      <c r="S60" s="128">
        <f t="shared" si="43"/>
        <v>0</v>
      </c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</row>
    <row r="61" ht="15.75" customHeight="1">
      <c r="A61" s="128" t="s">
        <v>143</v>
      </c>
      <c r="B61" s="128" t="s">
        <v>80</v>
      </c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226" t="s">
        <v>47</v>
      </c>
      <c r="Q61" s="128">
        <f t="shared" si="41"/>
        <v>5</v>
      </c>
      <c r="R61" s="128" t="str">
        <f t="shared" si="42"/>
        <v>#DIV/0!</v>
      </c>
      <c r="S61" s="128" t="str">
        <f t="shared" si="43"/>
        <v>#DIV/0!</v>
      </c>
      <c r="T61" s="128"/>
      <c r="U61" s="128"/>
      <c r="V61" s="12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</row>
    <row r="62" ht="15.75" customHeight="1">
      <c r="A62" s="128" t="s">
        <v>179</v>
      </c>
      <c r="B62" s="128" t="s">
        <v>180</v>
      </c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226" t="s">
        <v>56</v>
      </c>
      <c r="Q62" s="128">
        <f t="shared" si="41"/>
        <v>5</v>
      </c>
      <c r="R62" s="128">
        <f t="shared" si="42"/>
        <v>0</v>
      </c>
      <c r="S62" s="128">
        <f t="shared" si="43"/>
        <v>0</v>
      </c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</row>
    <row r="63" ht="15.75" customHeight="1">
      <c r="A63" s="128" t="s">
        <v>181</v>
      </c>
      <c r="B63" s="128" t="s">
        <v>182</v>
      </c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226" t="s">
        <v>41</v>
      </c>
      <c r="Q63" s="128">
        <f t="shared" si="41"/>
        <v>5</v>
      </c>
      <c r="R63" s="128">
        <f t="shared" si="42"/>
        <v>0</v>
      </c>
      <c r="S63" s="128">
        <f t="shared" si="43"/>
        <v>0</v>
      </c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</row>
    <row r="64" ht="15.75" customHeight="1">
      <c r="A64" s="128" t="s">
        <v>183</v>
      </c>
      <c r="B64" s="128" t="s">
        <v>184</v>
      </c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226" t="s">
        <v>459</v>
      </c>
      <c r="Q64" s="128">
        <f t="shared" si="41"/>
        <v>0</v>
      </c>
      <c r="R64" s="128">
        <f t="shared" si="42"/>
        <v>0</v>
      </c>
      <c r="S64" s="128" t="str">
        <f t="shared" si="43"/>
        <v>#DIV/0!</v>
      </c>
      <c r="T64" s="128"/>
      <c r="U64" s="128"/>
      <c r="V64" s="128"/>
      <c r="W64" s="128"/>
      <c r="X64" s="128"/>
      <c r="Y64" s="128"/>
      <c r="Z64" s="128"/>
      <c r="AA64" s="128"/>
      <c r="AB64" s="128"/>
      <c r="AC64" s="128"/>
      <c r="AD64" s="128"/>
      <c r="AE64" s="128"/>
      <c r="AF64" s="128"/>
    </row>
    <row r="65" ht="15.75" customHeight="1">
      <c r="A65" s="128" t="s">
        <v>200</v>
      </c>
      <c r="B65" s="128" t="s">
        <v>201</v>
      </c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226" t="s">
        <v>55</v>
      </c>
      <c r="Q65" s="128">
        <f t="shared" si="41"/>
        <v>5</v>
      </c>
      <c r="R65" s="128">
        <f t="shared" si="42"/>
        <v>0</v>
      </c>
      <c r="S65" s="128">
        <f t="shared" si="43"/>
        <v>0</v>
      </c>
      <c r="T65" s="128"/>
      <c r="U65" s="128"/>
      <c r="V65" s="12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</row>
    <row r="66" ht="15.75" customHeight="1">
      <c r="A66" s="128" t="s">
        <v>137</v>
      </c>
      <c r="B66" s="128" t="s">
        <v>84</v>
      </c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226" t="s">
        <v>232</v>
      </c>
      <c r="Q66" s="128">
        <f t="shared" si="41"/>
        <v>5</v>
      </c>
      <c r="R66" s="128">
        <f t="shared" si="42"/>
        <v>0</v>
      </c>
      <c r="S66" s="128">
        <f t="shared" si="43"/>
        <v>0</v>
      </c>
      <c r="T66" s="128"/>
      <c r="U66" s="128"/>
      <c r="V66" s="12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</row>
    <row r="67" ht="15.75" customHeight="1">
      <c r="A67" s="128" t="s">
        <v>117</v>
      </c>
      <c r="B67" s="128" t="s">
        <v>64</v>
      </c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226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</row>
    <row r="68" ht="15.75" customHeight="1">
      <c r="A68" s="128" t="s">
        <v>177</v>
      </c>
      <c r="B68" s="128" t="s">
        <v>178</v>
      </c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33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</row>
    <row r="69" ht="15.75" customHeight="1">
      <c r="A69" s="128" t="s">
        <v>146</v>
      </c>
      <c r="B69" s="128" t="s">
        <v>147</v>
      </c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226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</row>
    <row r="70" ht="15.75" customHeight="1">
      <c r="A70" s="128" t="s">
        <v>131</v>
      </c>
      <c r="B70" s="128" t="s">
        <v>43</v>
      </c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226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</row>
    <row r="71" ht="15.75" customHeight="1">
      <c r="A71" s="128" t="s">
        <v>175</v>
      </c>
      <c r="B71" s="128" t="s">
        <v>176</v>
      </c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226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</row>
    <row r="72" ht="15.75" customHeight="1">
      <c r="A72" s="128" t="s">
        <v>144</v>
      </c>
      <c r="B72" s="128" t="s">
        <v>145</v>
      </c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226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  <c r="AD72" s="128"/>
      <c r="AE72" s="128"/>
      <c r="AF72" s="128"/>
    </row>
    <row r="73" ht="15.75" customHeight="1">
      <c r="A73" s="128" t="s">
        <v>460</v>
      </c>
      <c r="B73" s="128" t="s">
        <v>461</v>
      </c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226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  <c r="AD73" s="128"/>
      <c r="AE73" s="128"/>
      <c r="AF73" s="128"/>
    </row>
    <row r="74" ht="15.75" customHeight="1">
      <c r="A74" s="128" t="s">
        <v>173</v>
      </c>
      <c r="B74" s="128" t="s">
        <v>174</v>
      </c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226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  <c r="AD74" s="128"/>
      <c r="AE74" s="128"/>
      <c r="AF74" s="128"/>
    </row>
    <row r="75" ht="15.75" customHeight="1">
      <c r="A75" s="128" t="s">
        <v>134</v>
      </c>
      <c r="B75" s="128" t="s">
        <v>135</v>
      </c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226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  <c r="AD75" s="128"/>
      <c r="AE75" s="128"/>
      <c r="AF75" s="128"/>
    </row>
    <row r="76" ht="15.75" customHeight="1">
      <c r="A76" s="128" t="s">
        <v>168</v>
      </c>
      <c r="B76" s="128" t="s">
        <v>169</v>
      </c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226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</row>
    <row r="77" ht="15.75" customHeight="1">
      <c r="A77" s="128" t="s">
        <v>170</v>
      </c>
      <c r="B77" s="128" t="s">
        <v>171</v>
      </c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33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  <c r="AD77" s="128"/>
      <c r="AE77" s="128"/>
      <c r="AF77" s="128"/>
    </row>
    <row r="78" ht="15.75" customHeight="1">
      <c r="A78" s="128" t="s">
        <v>195</v>
      </c>
      <c r="B78" s="128" t="s">
        <v>97</v>
      </c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226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  <c r="AD78" s="128"/>
      <c r="AE78" s="128"/>
      <c r="AF78" s="128"/>
    </row>
    <row r="79" ht="15.75" customHeight="1">
      <c r="A79" s="128" t="s">
        <v>133</v>
      </c>
      <c r="B79" s="128" t="s">
        <v>89</v>
      </c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226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  <c r="AD79" s="128"/>
      <c r="AE79" s="128"/>
      <c r="AF79" s="128"/>
    </row>
    <row r="80" ht="15.75" customHeight="1">
      <c r="A80" s="128" t="s">
        <v>166</v>
      </c>
      <c r="B80" s="128" t="s">
        <v>167</v>
      </c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33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  <c r="AD80" s="128"/>
      <c r="AE80" s="128"/>
      <c r="AF80" s="128"/>
    </row>
    <row r="81" ht="15.75" customHeight="1">
      <c r="A81" s="128" t="s">
        <v>125</v>
      </c>
      <c r="B81" s="128" t="s">
        <v>50</v>
      </c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226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226"/>
      <c r="Q82" s="128"/>
      <c r="R82" s="220"/>
      <c r="S82" s="220"/>
      <c r="T82" s="220"/>
      <c r="U82" s="220"/>
      <c r="V82" s="220"/>
      <c r="W82" s="220"/>
      <c r="X82" s="220"/>
      <c r="Y82" s="220"/>
      <c r="Z82" s="220"/>
      <c r="AA82" s="220"/>
      <c r="AB82" s="128"/>
      <c r="AC82" s="128"/>
      <c r="AD82" s="128"/>
      <c r="AE82" s="128"/>
      <c r="AF82" s="128"/>
    </row>
    <row r="83" ht="15.75" customHeight="1">
      <c r="A83" s="146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226"/>
      <c r="Q83" s="128" t="str">
        <f>DATA!I64</f>
        <v/>
      </c>
      <c r="R83" s="220"/>
      <c r="S83" s="220"/>
      <c r="T83" s="220"/>
      <c r="U83" s="220"/>
      <c r="V83" s="220"/>
      <c r="W83" s="220"/>
      <c r="X83" s="220"/>
      <c r="Y83" s="146" t="e">
        <v>#DIV/0!</v>
      </c>
      <c r="Z83" s="220"/>
      <c r="AA83" s="220"/>
      <c r="AB83" s="128" t="s">
        <v>172</v>
      </c>
      <c r="AC83" s="128"/>
      <c r="AD83" s="128"/>
      <c r="AE83" s="128"/>
      <c r="AF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33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  <c r="AD84" s="128"/>
      <c r="AE84" s="128"/>
      <c r="AF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226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  <c r="AD85" s="128"/>
      <c r="AE85" s="128"/>
      <c r="AF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226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  <c r="AD86" s="128"/>
      <c r="AE86" s="128"/>
      <c r="AF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226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  <c r="AD87" s="128"/>
      <c r="AE87" s="128"/>
      <c r="AF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33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  <c r="AD88" s="128"/>
      <c r="AE88" s="128"/>
      <c r="AF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65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  <c r="AD91" s="128"/>
      <c r="AE91" s="128"/>
      <c r="AF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  <c r="AD92" s="128"/>
      <c r="AE92" s="128"/>
      <c r="AF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  <c r="AD93" s="128"/>
      <c r="AE93" s="128"/>
      <c r="AF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  <c r="AD94" s="128"/>
      <c r="AE94" s="128"/>
      <c r="AF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  <c r="AD95" s="128"/>
      <c r="AE95" s="128"/>
      <c r="AF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  <c r="AD97" s="128"/>
      <c r="AE97" s="128"/>
      <c r="AF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  <c r="AD98" s="128"/>
      <c r="AE98" s="128"/>
      <c r="AF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  <c r="AD99" s="128"/>
      <c r="AE99" s="128"/>
      <c r="AF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  <c r="AD100" s="128"/>
      <c r="AE100" s="128"/>
      <c r="AF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B$81"/>
  <mergeCells count="1">
    <mergeCell ref="T4:V4"/>
  </mergeCells>
  <conditionalFormatting sqref="I2:P42">
    <cfRule type="containsBlanks" dxfId="0" priority="1">
      <formula>LEN(TRIM(I2))=0</formula>
    </cfRule>
  </conditionalFormatting>
  <conditionalFormatting sqref="I2:P42">
    <cfRule type="notContainsText" dxfId="1" priority="2" operator="notContains" text="(">
      <formula>ISERROR(SEARCH(("("),(I2)))</formula>
    </cfRule>
  </conditionalFormatting>
  <conditionalFormatting sqref="I2:P42">
    <cfRule type="containsText" dxfId="2" priority="3" operator="containsText" text="(">
      <formula>NOT(ISERROR(SEARCH(("("),(I2))))</formula>
    </cfRule>
  </conditionalFormatting>
  <conditionalFormatting sqref="G47">
    <cfRule type="colorScale" priority="4">
      <colorScale>
        <cfvo type="min"/>
        <cfvo type="max"/>
        <color rgb="FF57BB8A"/>
        <color rgb="FFFFFFFF"/>
      </colorScale>
    </cfRule>
  </conditionalFormatting>
  <conditionalFormatting sqref="F2:F36 F37:F42">
    <cfRule type="notContainsText" dxfId="3" priority="5" operator="notContains" text="14">
      <formula>ISERROR(SEARCH(("14"),(F2)))</formula>
    </cfRule>
  </conditionalFormatting>
  <printOptions gridLines="1" horizontalCentered="1"/>
  <pageMargins bottom="0.75" footer="0.0" header="0.0" left="0.7" right="0.7" top="0.75"/>
  <pageSetup paperSize="9" scale="73" cellComments="atEnd" orientation="landscape" pageOrder="overThenDown"/>
  <drawing r:id="rId1"/>
</worksheet>
</file>