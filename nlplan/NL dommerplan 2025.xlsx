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drawings/drawing4.xml" ContentType="application/vnd.openxmlformats-officedocument.drawing+xml"/>
  <Override PartName="/xl/drawings/drawing10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6.xml" ContentType="application/vnd.openxmlformats-officedocument.drawing+xml"/>
  <Override PartName="/xl/drawings/drawing1.xml" ContentType="application/vnd.openxmlformats-officedocument.drawing+xml"/>
  <Override PartName="/xl/drawings/drawing12.xml" ContentType="application/vnd.openxmlformats-officedocument.drawing+xml"/>
  <Override PartName="/xl/drawings/drawing8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workbookPr/>
  <bookViews>
    <workbookView activeTab="0"/>
  </bookViews>
  <sheets>
    <sheet state="visible" name="Plan - NL" sheetId="1" r:id="rId3"/>
    <sheet state="visible" name="Officials and games" sheetId="2" r:id="rId4"/>
    <sheet state="visible" name="Former Officials" sheetId="3" r:id="rId5"/>
    <sheet state="hidden" name="Plan - NL + 1. Div backup" sheetId="4" r:id="rId6"/>
    <sheet state="visible" name="2021 status" sheetId="5" r:id="rId7"/>
    <sheet state="hidden" name="Status data" sheetId="6" r:id="rId8"/>
    <sheet state="hidden" name="2020 status" sheetId="7" r:id="rId9"/>
    <sheet state="visible" name="Tasks" sheetId="8" r:id="rId10"/>
    <sheet state="visible" name="Stats" sheetId="9" r:id="rId11"/>
    <sheet state="visible" name="DATA" sheetId="10" r:id="rId12"/>
    <sheet state="visible" name="Upload tid" sheetId="11" r:id="rId13"/>
    <sheet state="visible" name="Pivottabel 1" sheetId="12" r:id="rId14"/>
    <sheet state="hidden" name="Kilometerdata" sheetId="13" r:id="rId15"/>
  </sheets>
  <definedNames>
    <definedName name="_xlnm._FilterDatabase" localSheetId="1" hidden="1">'Officials and games'!$A$2:$Q$35</definedName>
    <definedName name="_xlnm._FilterDatabase" localSheetId="2" hidden="1">'Former Officials'!$A$2:$Q$9</definedName>
    <definedName name="_xlnm._FilterDatabase" localSheetId="3" hidden="1">'Plan - NL + 1. Div backup'!$A$1:$AG$62</definedName>
    <definedName name="_xlnm._FilterDatabase" localSheetId="4" hidden="1">'2021 status'!$A$1:$F$31</definedName>
    <definedName name="_xlnm._FilterDatabase" localSheetId="6" hidden="1">'2020 status'!$A$1:$E$30</definedName>
    <definedName name="_xlnm._FilterDatabase" localSheetId="12" hidden="1">Kilometerdata!$A$1:$AB$81</definedName>
  </definedNames>
  <calcPr/>
  <pivotCaches>
    <pivotCache cacheId="0" r:id="rId16"/>
  </pivotCaches>
</workbook>
</file>

<file path=xl/sharedStrings.xml><?xml version="1.0" encoding="utf-8"?>
<sst xmlns="http://schemas.openxmlformats.org/spreadsheetml/2006/main" count="1895" uniqueCount="455">
  <si>
    <t xml:space="preserve"> </t>
  </si>
  <si>
    <t>Runde</t>
  </si>
  <si>
    <t>Dag</t>
  </si>
  <si>
    <t>Dato</t>
  </si>
  <si>
    <t>Måned</t>
  </si>
  <si>
    <t>Tidspunkt</t>
  </si>
  <si>
    <t>Hjemme</t>
  </si>
  <si>
    <t>Ude</t>
  </si>
  <si>
    <t>R</t>
  </si>
  <si>
    <t>U</t>
  </si>
  <si>
    <t>H</t>
  </si>
  <si>
    <t>L</t>
  </si>
  <si>
    <t>B</t>
  </si>
  <si>
    <t>F</t>
  </si>
  <si>
    <t>S</t>
  </si>
  <si>
    <t>C</t>
  </si>
  <si>
    <t>Note</t>
  </si>
  <si>
    <t>Antal tilmeldte VK 
25-03 23:47</t>
  </si>
  <si>
    <t>1s</t>
  </si>
  <si>
    <t>2s</t>
  </si>
  <si>
    <t>3s</t>
  </si>
  <si>
    <t>Taske</t>
  </si>
  <si>
    <t>Taske IND</t>
  </si>
  <si>
    <t>Taske UD</t>
  </si>
  <si>
    <t>Betaling</t>
  </si>
  <si>
    <t>Video</t>
  </si>
  <si>
    <t>Gennemseer</t>
  </si>
  <si>
    <t>Game start</t>
  </si>
  <si>
    <t>Game end</t>
  </si>
  <si>
    <t>Video Exchanged.</t>
  </si>
  <si>
    <t>Game time (easy)</t>
  </si>
  <si>
    <t>Intercut time (min)</t>
  </si>
  <si>
    <t>Exchange of Breakdown data</t>
  </si>
  <si>
    <t>Return of break down data</t>
  </si>
  <si>
    <t>Upload time</t>
  </si>
  <si>
    <t>Breakdown time</t>
  </si>
  <si>
    <t>Game time</t>
  </si>
  <si>
    <t>Vedligeholdende</t>
  </si>
  <si>
    <t>Lørdag</t>
  </si>
  <si>
    <t>Marts</t>
  </si>
  <si>
    <t>Tigers</t>
  </si>
  <si>
    <t>Wolves</t>
  </si>
  <si>
    <t>NI</t>
  </si>
  <si>
    <t>AR</t>
  </si>
  <si>
    <t>BT</t>
  </si>
  <si>
    <t>OBS! Spilles i Aalborg - Klubcrew: Selvdømmer</t>
  </si>
  <si>
    <t>Oaks</t>
  </si>
  <si>
    <t>Hurricanes</t>
  </si>
  <si>
    <t>FR</t>
  </si>
  <si>
    <t>VN</t>
  </si>
  <si>
    <t>AT</t>
  </si>
  <si>
    <t>EL</t>
  </si>
  <si>
    <t>Klubcrew: Towers</t>
  </si>
  <si>
    <t>Søndag</t>
  </si>
  <si>
    <t>Towers</t>
  </si>
  <si>
    <t>Razorbacks</t>
  </si>
  <si>
    <t>DS</t>
  </si>
  <si>
    <t>FK</t>
  </si>
  <si>
    <t>HP</t>
  </si>
  <si>
    <t>Klubcrew: Raptors</t>
  </si>
  <si>
    <t>April</t>
  </si>
  <si>
    <t>Demons</t>
  </si>
  <si>
    <t>JL</t>
  </si>
  <si>
    <t>MR</t>
  </si>
  <si>
    <t>Klubcrew: Tigers</t>
  </si>
  <si>
    <t>KJ</t>
  </si>
  <si>
    <t>JK</t>
  </si>
  <si>
    <t>Klubcrew: Demons</t>
  </si>
  <si>
    <t>NL</t>
  </si>
  <si>
    <t>89ers</t>
  </si>
  <si>
    <t>Felix Kastulski</t>
  </si>
  <si>
    <t>Daniel Kasper</t>
  </si>
  <si>
    <t>ER</t>
  </si>
  <si>
    <t>JE + RH</t>
  </si>
  <si>
    <t>Mats Schwieger</t>
  </si>
  <si>
    <t>Simon Brüggeman</t>
  </si>
  <si>
    <t>Matthis Trost</t>
  </si>
  <si>
    <t>Gold Diggers</t>
  </si>
  <si>
    <t>TO</t>
  </si>
  <si>
    <t>KL</t>
  </si>
  <si>
    <t>Flyttet fra Søllerød</t>
  </si>
  <si>
    <t>Fredag</t>
  </si>
  <si>
    <t>Maj</t>
  </si>
  <si>
    <t>MM</t>
  </si>
  <si>
    <t>JE</t>
  </si>
  <si>
    <t>AL</t>
  </si>
  <si>
    <t>Flyttet fra Aarhus. TV-kamp</t>
  </si>
  <si>
    <t>TK</t>
  </si>
  <si>
    <t>TS</t>
  </si>
  <si>
    <t>TV-kamp</t>
  </si>
  <si>
    <t>Juni</t>
  </si>
  <si>
    <t>August</t>
  </si>
  <si>
    <t>Muligvis TV-kamp</t>
  </si>
  <si>
    <t>September</t>
  </si>
  <si>
    <t>TBD</t>
  </si>
  <si>
    <t>Semi</t>
  </si>
  <si>
    <t>Oktober</t>
  </si>
  <si>
    <t>Mermaid Bowl</t>
  </si>
  <si>
    <t>U17 NM, uge 42 @ København - Onsdag + Lørdag</t>
  </si>
  <si>
    <t>Navn</t>
  </si>
  <si>
    <t>Initialer</t>
  </si>
  <si>
    <t>Kurser</t>
  </si>
  <si>
    <t>NL forår</t>
  </si>
  <si>
    <t>Vest forår</t>
  </si>
  <si>
    <t>Øst forår</t>
  </si>
  <si>
    <t>Assignment
Forår</t>
  </si>
  <si>
    <t>NL efterår
(grundspil)</t>
  </si>
  <si>
    <t>LL
Efterår</t>
  </si>
  <si>
    <t>NL totalt (grundspil)</t>
  </si>
  <si>
    <t>In-stribes
Total (grundspil)</t>
  </si>
  <si>
    <t>Michael Rahbek</t>
  </si>
  <si>
    <t>Frank Rasmussen</t>
  </si>
  <si>
    <t>medium</t>
  </si>
  <si>
    <t>Frank Kristensen</t>
  </si>
  <si>
    <t>Asbjørn Rohold</t>
  </si>
  <si>
    <t>MEDIAN</t>
  </si>
  <si>
    <t>s</t>
  </si>
  <si>
    <t>stats</t>
  </si>
  <si>
    <t>Vincent Nordkov</t>
  </si>
  <si>
    <t>Dennis Svensson</t>
  </si>
  <si>
    <t>PROJECTED 2</t>
  </si>
  <si>
    <t>t</t>
  </si>
  <si>
    <t>tv</t>
  </si>
  <si>
    <t>Niels Ilberg</t>
  </si>
  <si>
    <t>Jesper Lytzen</t>
  </si>
  <si>
    <t>Thomas Siggaard</t>
  </si>
  <si>
    <t>Søren R. Petersen</t>
  </si>
  <si>
    <t>SR</t>
  </si>
  <si>
    <t>Jonas Krum</t>
  </si>
  <si>
    <t>Martin Mikkelsen</t>
  </si>
  <si>
    <t>Hans Peter Roth</t>
  </si>
  <si>
    <t>Albert Fosberg</t>
  </si>
  <si>
    <t>AF</t>
  </si>
  <si>
    <t>Mark Poulsen</t>
  </si>
  <si>
    <t>MP</t>
  </si>
  <si>
    <t>Alex Lind</t>
  </si>
  <si>
    <t>Kim Larsen</t>
  </si>
  <si>
    <t>Claus Nordberg</t>
  </si>
  <si>
    <t>OJ</t>
  </si>
  <si>
    <t>Mads Åkjær</t>
  </si>
  <si>
    <t>MÅ</t>
  </si>
  <si>
    <t>Kim Johannsen</t>
  </si>
  <si>
    <t>Erik Rasmussen</t>
  </si>
  <si>
    <t>Jeppe Sejerø</t>
  </si>
  <si>
    <t>Brian Baagøe Andersen</t>
  </si>
  <si>
    <t>BA</t>
  </si>
  <si>
    <t>Emil Riisgaard</t>
  </si>
  <si>
    <t>EM</t>
  </si>
  <si>
    <t>Martin Elskjær Møller</t>
  </si>
  <si>
    <t>ME</t>
  </si>
  <si>
    <t>Anders Tronier</t>
  </si>
  <si>
    <t>Troels Kristensen</t>
  </si>
  <si>
    <t>Emil Skov Lundager</t>
  </si>
  <si>
    <t xml:space="preserve">Ronnie Hansen </t>
  </si>
  <si>
    <t>RH</t>
  </si>
  <si>
    <t>Tommy Lønstrup Nielsen</t>
  </si>
  <si>
    <t>Jan Holst</t>
  </si>
  <si>
    <t>JH</t>
  </si>
  <si>
    <t>Ulf Overbeck</t>
  </si>
  <si>
    <t>UO</t>
  </si>
  <si>
    <t>Thomas Lund-Hansen</t>
  </si>
  <si>
    <t>TH</t>
  </si>
  <si>
    <t>Toke Lund</t>
  </si>
  <si>
    <t>TL</t>
  </si>
  <si>
    <t>best</t>
  </si>
  <si>
    <t>Søren Ekander Jensen</t>
  </si>
  <si>
    <t>SE</t>
  </si>
  <si>
    <t>Niclas Pedersen</t>
  </si>
  <si>
    <t>NP</t>
  </si>
  <si>
    <t>Michael Søndergaard Pedersen</t>
  </si>
  <si>
    <t>MS</t>
  </si>
  <si>
    <t>Kim Mørch Nørgaard</t>
  </si>
  <si>
    <t>KN</t>
  </si>
  <si>
    <t>Mohammad Ajine</t>
  </si>
  <si>
    <t>MA</t>
  </si>
  <si>
    <t>Martin Borg Andersen</t>
  </si>
  <si>
    <t>MB</t>
  </si>
  <si>
    <t>Jens S. Pedersen</t>
  </si>
  <si>
    <t>JP</t>
  </si>
  <si>
    <t>Jacob Weber</t>
  </si>
  <si>
    <t>JW</t>
  </si>
  <si>
    <t>Kasper Kristoffersen</t>
  </si>
  <si>
    <t>KK</t>
  </si>
  <si>
    <t>Bo Thygesen</t>
  </si>
  <si>
    <t>Christian Jørgensen</t>
  </si>
  <si>
    <t>CJ</t>
  </si>
  <si>
    <t>Slava Kuzmin</t>
  </si>
  <si>
    <t>SK</t>
  </si>
  <si>
    <t>Thomas Myrup</t>
  </si>
  <si>
    <t>TM</t>
  </si>
  <si>
    <t>Rasmus Bukhave</t>
  </si>
  <si>
    <t>RB</t>
  </si>
  <si>
    <t>Thomas Begonja</t>
  </si>
  <si>
    <t>TB</t>
  </si>
  <si>
    <t>Mohammed Chatle</t>
  </si>
  <si>
    <t>MC</t>
  </si>
  <si>
    <t>Games</t>
  </si>
  <si>
    <t>Status</t>
  </si>
  <si>
    <t>EDK</t>
  </si>
  <si>
    <t>Primær</t>
  </si>
  <si>
    <t>Sekundær</t>
  </si>
  <si>
    <t>Licens</t>
  </si>
  <si>
    <t>Licens #</t>
  </si>
  <si>
    <t>Landsdel</t>
  </si>
  <si>
    <t>Klub</t>
  </si>
  <si>
    <t>Test</t>
  </si>
  <si>
    <t>Telefon</t>
  </si>
  <si>
    <t>Mail</t>
  </si>
  <si>
    <t>Total</t>
  </si>
  <si>
    <t>Primary 
position</t>
  </si>
  <si>
    <t>In primary group 
(not primary position)</t>
  </si>
  <si>
    <t xml:space="preserve">Outside primary group </t>
  </si>
  <si>
    <t>Anders Tronier Hansen</t>
  </si>
  <si>
    <t>Øst</t>
  </si>
  <si>
    <t>Uafhængig</t>
  </si>
  <si>
    <t>atronierh@gmail.com</t>
  </si>
  <si>
    <t>Jeppe Sejerø Ternander</t>
  </si>
  <si>
    <t>Ja</t>
  </si>
  <si>
    <t>Anything</t>
  </si>
  <si>
    <t>I</t>
  </si>
  <si>
    <t>jeppe_s_holm@hotmail.com</t>
  </si>
  <si>
    <t>Brian Andersen</t>
  </si>
  <si>
    <t>Pause (barn)</t>
  </si>
  <si>
    <t>Nej</t>
  </si>
  <si>
    <t>Deep / Wing</t>
  </si>
  <si>
    <t>Vest</t>
  </si>
  <si>
    <t>Badgers</t>
  </si>
  <si>
    <t>Claus Nordberg Larsen</t>
  </si>
  <si>
    <t>Ude (skade)</t>
  </si>
  <si>
    <t>nordberg20@gmail.com</t>
  </si>
  <si>
    <t>emilriisgaard@hotmail.com</t>
  </si>
  <si>
    <t>S/B</t>
  </si>
  <si>
    <t>erikrasmussen23@gmail.com</t>
  </si>
  <si>
    <t>Ude (ELF)</t>
  </si>
  <si>
    <t>fk110871@gmail.com</t>
  </si>
  <si>
    <t>k.m.larzen@gmail.com</t>
  </si>
  <si>
    <t>F/S</t>
  </si>
  <si>
    <t>kim.johannsen@gmail.com</t>
  </si>
  <si>
    <t>H/L</t>
  </si>
  <si>
    <t>Dyb</t>
  </si>
  <si>
    <t>mrtn.mkklsn@gmail.com</t>
  </si>
  <si>
    <t>H (F/S)</t>
  </si>
  <si>
    <t>lytzen13@gmail.com</t>
  </si>
  <si>
    <t>jonaskrum@gmail.com</t>
  </si>
  <si>
    <t>mads_aakjaer@hotmail.com</t>
  </si>
  <si>
    <t>L/H</t>
  </si>
  <si>
    <t>niels@ilberg.dk</t>
  </si>
  <si>
    <t>dommer484@gmail.com</t>
  </si>
  <si>
    <t>mohammed780_2@hotmail.com</t>
  </si>
  <si>
    <t>michael.g.rahbek@gmail.com</t>
  </si>
  <si>
    <t>Søren Rosenlund Pedersen</t>
  </si>
  <si>
    <t>Mangler</t>
  </si>
  <si>
    <t>srosenlund88@gmail.com</t>
  </si>
  <si>
    <t>Pause</t>
  </si>
  <si>
    <t>eyez@eyez.dk</t>
  </si>
  <si>
    <t>thsiggaard@gmail.com</t>
  </si>
  <si>
    <t>vincentnordkov@hotmail.com</t>
  </si>
  <si>
    <t>Ude (SGD)</t>
  </si>
  <si>
    <t>MØ</t>
  </si>
  <si>
    <t>Martin Møller</t>
  </si>
  <si>
    <t>Tilkalder</t>
  </si>
  <si>
    <t>Wing</t>
  </si>
  <si>
    <t>Ronnie Hansen</t>
  </si>
  <si>
    <t>Prospect</t>
  </si>
  <si>
    <t>R*</t>
  </si>
  <si>
    <t>U*</t>
  </si>
  <si>
    <t>Pause*</t>
  </si>
  <si>
    <t>F*</t>
  </si>
  <si>
    <t>Inde?</t>
  </si>
  <si>
    <t>S*</t>
  </si>
  <si>
    <t>B*</t>
  </si>
  <si>
    <t>Ude*</t>
  </si>
  <si>
    <t>Tidlig plan</t>
  </si>
  <si>
    <t>Prospects med i første runde</t>
  </si>
  <si>
    <t>AD</t>
  </si>
  <si>
    <t>Adam Durucz</t>
  </si>
  <si>
    <t>Former</t>
  </si>
  <si>
    <t>christian@technobabble.dk</t>
  </si>
  <si>
    <t>JT</t>
  </si>
  <si>
    <t>Jeppe Bjerg Thanning</t>
  </si>
  <si>
    <t>Stallions</t>
  </si>
  <si>
    <t>pray@live.dk</t>
  </si>
  <si>
    <t>ST</t>
  </si>
  <si>
    <t>Søren Stiesen</t>
  </si>
  <si>
    <t>Stisen202@gmail.com</t>
  </si>
  <si>
    <t>airulf@hotmail.com</t>
  </si>
  <si>
    <t>NL (back in)</t>
  </si>
  <si>
    <t>H*</t>
  </si>
  <si>
    <t>Måske pause</t>
  </si>
  <si>
    <t>L*</t>
  </si>
  <si>
    <t>Kampnr.</t>
  </si>
  <si>
    <t>maj</t>
  </si>
  <si>
    <t>Stille med 2-3 NL dommere</t>
  </si>
  <si>
    <t>Rebels</t>
  </si>
  <si>
    <t>KEEP</t>
  </si>
  <si>
    <t>NL plan ud, 1. div næste uge</t>
  </si>
  <si>
    <t>Knights</t>
  </si>
  <si>
    <t>Demons / Wolfpack</t>
  </si>
  <si>
    <t>(JK)</t>
  </si>
  <si>
    <t>KBH fuldt crew</t>
  </si>
  <si>
    <t>Behold plan, til DU møde</t>
  </si>
  <si>
    <t>Dragons</t>
  </si>
  <si>
    <t>(AT)</t>
  </si>
  <si>
    <t>AT over - langt?</t>
  </si>
  <si>
    <t>1. Div; supervisors fx - ikke 7</t>
  </si>
  <si>
    <t>Monarchs</t>
  </si>
  <si>
    <t>Spartans</t>
  </si>
  <si>
    <t>(EM)</t>
  </si>
  <si>
    <t>KEEP, men overvej hvem der kan flyttes til d. 29. i Vejle</t>
  </si>
  <si>
    <t>Bil fra øst over under alle omstændigheder (B/deep/U). 
Hvis 8 på SNL; FK B, AT C. AT her</t>
  </si>
  <si>
    <t>juni</t>
  </si>
  <si>
    <t>KEEP, men prioriterer NL kampen i Jylland</t>
  </si>
  <si>
    <t>FR/JE</t>
  </si>
  <si>
    <t>TB? JE, FR, CJ</t>
  </si>
  <si>
    <t>Musketeers</t>
  </si>
  <si>
    <t>(JL)</t>
  </si>
  <si>
    <t>(KJ)</t>
  </si>
  <si>
    <t>august</t>
  </si>
  <si>
    <t>september</t>
  </si>
  <si>
    <t>Semi 1</t>
  </si>
  <si>
    <t>Semi 2</t>
  </si>
  <si>
    <t>3rd place</t>
  </si>
  <si>
    <t>oktober</t>
  </si>
  <si>
    <t>Lørdag/Søndag</t>
  </si>
  <si>
    <t>29/30</t>
  </si>
  <si>
    <t>AVERAGE</t>
  </si>
  <si>
    <t>bad</t>
  </si>
  <si>
    <t>PROJECTED 1</t>
  </si>
  <si>
    <t>e</t>
  </si>
  <si>
    <t>endzone</t>
  </si>
  <si>
    <t>Jeppe Holm</t>
  </si>
  <si>
    <t>Yes / No</t>
  </si>
  <si>
    <t>Commitment</t>
  </si>
  <si>
    <t>Position</t>
  </si>
  <si>
    <t>Level</t>
  </si>
  <si>
    <t>No</t>
  </si>
  <si>
    <t>Tilbage i Ungarn</t>
  </si>
  <si>
    <t>Yes</t>
  </si>
  <si>
    <t>Ok, vil gerne lære mere</t>
  </si>
  <si>
    <t>OK</t>
  </si>
  <si>
    <t>Måske</t>
  </si>
  <si>
    <t>Bachelor + Far</t>
  </si>
  <si>
    <t>Rejser til USA</t>
  </si>
  <si>
    <t>Ok, så meget som muligt</t>
  </si>
  <si>
    <t>Pause forår, knæ</t>
  </si>
  <si>
    <t>OK, så meget som muligt</t>
  </si>
  <si>
    <t>Ok, ja til ansvar</t>
  </si>
  <si>
    <t>Jeppe Thanning</t>
  </si>
  <si>
    <t>Ok</t>
  </si>
  <si>
    <t>Søren Rosenlund</t>
  </si>
  <si>
    <t>Ok, men ikke meget</t>
  </si>
  <si>
    <t>Tilbage</t>
  </si>
  <si>
    <t>Søren Skovsgaard Berthelsen</t>
  </si>
  <si>
    <t>SB</t>
  </si>
  <si>
    <t>?</t>
  </si>
  <si>
    <t>Initials</t>
  </si>
  <si>
    <t>Som 2019</t>
  </si>
  <si>
    <t>Orlov studie</t>
  </si>
  <si>
    <t>Virker mere klar end tidligere</t>
  </si>
  <si>
    <t>Far marts</t>
  </si>
  <si>
    <t>Might only be available until May</t>
  </si>
  <si>
    <t>NL tasks</t>
  </si>
  <si>
    <t>1. person</t>
  </si>
  <si>
    <t>2. person</t>
  </si>
  <si>
    <t>Kamppapirer</t>
  </si>
  <si>
    <t>Kamptasker</t>
  </si>
  <si>
    <t>Radioer</t>
  </si>
  <si>
    <t>Assignmemt</t>
  </si>
  <si>
    <t>KL / JE</t>
  </si>
  <si>
    <t>Gennemseening af kampe</t>
  </si>
  <si>
    <t>Deeps</t>
  </si>
  <si>
    <t>Wings</t>
  </si>
  <si>
    <t>Ref / Ump</t>
  </si>
  <si>
    <t>Kontakt til DAFF</t>
  </si>
  <si>
    <t>Dommerudgifter</t>
  </si>
  <si>
    <t>Gennemsnit</t>
  </si>
  <si>
    <t>Upload tid</t>
  </si>
  <si>
    <t>MXl</t>
  </si>
  <si>
    <t>Grænse</t>
  </si>
  <si>
    <t>Sluttidspunkt</t>
  </si>
  <si>
    <t>Varighed</t>
  </si>
  <si>
    <t>Varighed af kamp</t>
  </si>
  <si>
    <t>MXl for varighed</t>
  </si>
  <si>
    <t>AVERAGE af Upload time</t>
  </si>
  <si>
    <t>MAX af Upload time</t>
  </si>
  <si>
    <t>AVERAGE af Breakdown time</t>
  </si>
  <si>
    <t>MAX af Breakdown time</t>
  </si>
  <si>
    <t>AVERAGE af Game time</t>
  </si>
  <si>
    <t>I alt</t>
  </si>
  <si>
    <t>TS og NI eneste wings der har skrevet sig på...</t>
  </si>
  <si>
    <t>Positionkilometer</t>
  </si>
  <si>
    <t>Afstand til</t>
  </si>
  <si>
    <t>Lookup (position) i matrix - match/index</t>
  </si>
  <si>
    <t>Golddiggers</t>
  </si>
  <si>
    <t>JL eneste wing denne dag!
MÅ eneste S denne dag</t>
  </si>
  <si>
    <t>Slagelse</t>
  </si>
  <si>
    <t>Wings kan også byttes rundt (det er 2 x H, ingen øst-L'er denne dag)
S: KJ kan</t>
  </si>
  <si>
    <t>København</t>
  </si>
  <si>
    <t>Mandag</t>
  </si>
  <si>
    <t>2 x L, NI får kæden</t>
  </si>
  <si>
    <t>Odense</t>
  </si>
  <si>
    <t>S: KJ kan</t>
  </si>
  <si>
    <t>Vesterbro</t>
  </si>
  <si>
    <t>R/U: Evt. JT/UO som U og CJ som R? Og så VN på Søndags-kamp</t>
  </si>
  <si>
    <t>JT/UO</t>
  </si>
  <si>
    <t>R/U: Evt. CJ som R og VN som U</t>
  </si>
  <si>
    <t>Hvidovre</t>
  </si>
  <si>
    <t>KL/NI/JE IFAF @ Gentofte?
L: NI hvis ikke han skal til IFAF, JL hvis NI skal til IFAF
S:MÅ kan men transport?</t>
  </si>
  <si>
    <t>Tune</t>
  </si>
  <si>
    <t>Dagen efter IFAF @ Gentofte?
S: KJ på da MÅ ikke kan</t>
  </si>
  <si>
    <t>Jeppe Sejerø Holm</t>
  </si>
  <si>
    <t>København N</t>
  </si>
  <si>
    <t>Dagen efter IFAF @ Vejle?
S: KJ kan
C: AT med som C? Dog noget længere transport end 7 andre på crew</t>
  </si>
  <si>
    <t>Sønderborg</t>
  </si>
  <si>
    <t>Ingen L fra øst, derfor FR som L og FK som R</t>
  </si>
  <si>
    <t>Frederiksberg</t>
  </si>
  <si>
    <t>Torsdag</t>
  </si>
  <si>
    <t>U: CJ sat på, da MÅ alligevel over (eneste S). Samkørsel fra Slagelse
Mulighed med FK som R eller B og AT som C. Dog vil en ekstra øst-mand nok kræve en ekstra bil over broen. Hvis der committes til 2 biler kan JE også byde ind på C og der kan være 8 på kampen.</t>
  </si>
  <si>
    <t>JE enten her eller 2/6</t>
  </si>
  <si>
    <t>Allerød</t>
  </si>
  <si>
    <t>S: MÅ kan, men KL/TM på for at minimere transport</t>
  </si>
  <si>
    <t>Haderup</t>
  </si>
  <si>
    <t>S: Ingen S'er kan. JE sat på.
TM i stedet?</t>
  </si>
  <si>
    <t>JE enten her eller 30/5</t>
  </si>
  <si>
    <t>Randers</t>
  </si>
  <si>
    <t>F: JE er eneste F den dag</t>
  </si>
  <si>
    <t>Søborg</t>
  </si>
  <si>
    <t>C: AT med som C? Dog noget længere transport end 7 andre på crew</t>
  </si>
  <si>
    <t>Lyngby</t>
  </si>
  <si>
    <t>Kun 2 wings denne dag... KN og NI til 2 kampe</t>
  </si>
  <si>
    <t>Aalborg</t>
  </si>
  <si>
    <t>S: JE sat på da ingen S'er.
C/U: Evt. VN på U og CJ som CJ</t>
  </si>
  <si>
    <t>Mohammed Nasser Chatle</t>
  </si>
  <si>
    <t>Viby J</t>
  </si>
  <si>
    <t>S: MÅ sat på da FR over alligevel</t>
  </si>
  <si>
    <t>Aalborg SV</t>
  </si>
  <si>
    <t>S: KJ?</t>
  </si>
  <si>
    <t>S: JE/KJ kan
L: Kun vest-folk kan... (JL+NI)
SR hvis han kan</t>
  </si>
  <si>
    <t>Valby</t>
  </si>
  <si>
    <t>Odense SØ</t>
  </si>
  <si>
    <t>Status:</t>
  </si>
  <si>
    <t>Søren Stisen</t>
  </si>
  <si>
    <t>Aalestrup</t>
  </si>
  <si>
    <t>R: En del huller. Muligt med CJ på flere R-poster</t>
  </si>
  <si>
    <t>Gistrup</t>
  </si>
  <si>
    <t>U: 3 x (CJ/VN) i Aalborg. Mangler lidt sol&amp;vind-fordeling mellem 2xTop-kamp og en Badgers</t>
  </si>
  <si>
    <t>Dyb wing: MÅ kan på næsten alt S. Forslag stillet på en række kampe om fordeling ud til F'er (både øst og vest) som "MÅ (xx)"</t>
  </si>
  <si>
    <t>Septemb</t>
  </si>
  <si>
    <t>B: OK</t>
  </si>
  <si>
    <t>WC 1</t>
  </si>
  <si>
    <t>WC 2</t>
  </si>
  <si>
    <t>NL Kval 1</t>
  </si>
  <si>
    <t>Tomahawks</t>
  </si>
  <si>
    <t>Rasmus Søby</t>
  </si>
  <si>
    <t>RS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</si>
  <si>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</si>
  <si>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</si>
  <si>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</si>
  <si>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</si>
  <si>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</si>
  <si>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</si>
  <si>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</si>
  <si>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</si>
  <si>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</si>
  <si>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</si>
  <si>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</si>
  <si>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</si>
  <si>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</si>
  <si>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</si>
  <si>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</si>
  <si>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h</t>
  </si>
  <si>
    <t>m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</si>
  <si>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</si>
  <si>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</si>
  <si>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</si>
  <si>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</si>
  <si>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</si>
  <si>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</si>
  <si>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</si>
  <si>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</si>
  <si>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</si>
  <si>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</si>
  <si>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</si>
  <si>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</si>
  <si>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</si>
  <si>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</si>
  <si>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</si>
  <si>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</si>
  <si>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</si>
  <si>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</si>
  <si>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</si>
  <si>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</si>
  <si>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</si>
  <si>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</si>
  <si>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</si>
  <si>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</si>
  <si>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</si>
  <si>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</si>
  <si>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</si>
  <si>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</si>
  <si>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</si>
  <si>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</si>
  <si>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</si>
  <si>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</si>
  <si>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</si>
  <si>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</si>
  <si>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</si>
  <si>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</si>
  <si>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</si>
  <si>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</si>
  <si>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</si>
  <si>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</si>
  <si>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</si>
  <si>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</si>
  <si>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</si>
  <si>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</si>
  <si>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</si>
  <si>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</si>
  <si>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</si>
  <si>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</si>
  <si>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</si>
  <si>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</si>
  <si>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</si>
  <si>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</si>
  <si>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</si>
  <si>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</si>
  <si>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</si>
  <si>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</si>
  <si>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</si>
  <si>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</si>
  <si>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</si>
  <si>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</si>
  <si>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</si>
  <si>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</si>
  <si>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</si>
  <si>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</si>
  <si>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</si>
  <si>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</si>
  <si>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</si>
  <si>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</si>
  <si>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</si>
  <si>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</si>
  <si>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</si>
  <si>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</si>
  <si>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</si>
  <si>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</si>
  <si>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</si>
  <si>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</si>
  <si>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</si>
  <si>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</si>
  <si>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</si>
  <si>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</si>
  <si>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</si>
  <si>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</si>
  <si>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</si>
  <si>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</si>
  <si>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</si>
  <si>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</si>
  <si>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</si>
  <si>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</si>
  <si>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</si>
  <si>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</si>
  <si>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</si>
  <si>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</si>
  <si>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</si>
  <si>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</si>
  <si>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</si>
  <si>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</si>
  <si>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</si>
  <si>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</si>
  <si>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</si>
  <si>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</si>
  <si>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</si>
  <si>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</si>
  <si>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</si>
  <si>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</si>
  <si>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</si>
  <si>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</si>
  <si>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</si>
  <si>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</si>
  <si>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</si>
  <si>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</si>
  <si>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</si>
  <si>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</si>
  <si>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</si>
  <si>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</si>
  <si>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</si>
  <si>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</si>
  <si>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</si>
  <si>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</si>
  <si>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</si>
  <si>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</si>
  <si>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</si>
  <si>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</si>
  <si>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</si>
  <si>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</si>
  <si>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</si>
  <si>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</si>
  <si>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</si>
  <si>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</si>
  <si>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</si>
  <si>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</si>
  <si>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</si>
  <si>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</si>
  <si>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</si>
  <si>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</si>
  <si>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</si>
  <si>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</si>
  <si>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</si>
  <si>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</si>
  <si>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</si>
  <si>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</si>
  <si>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</si>
  <si>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</si>
  <si>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</si>
  <si>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</si>
  <si>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</si>
  <si>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</si>
  <si>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</si>
  <si>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</si>
  <si>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</si>
  <si>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</si>
  <si>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</si>
  <si>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</si>
  <si>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</si>
  <si>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</si>
  <si>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</si>
  <si>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</si>
  <si>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</si>
  <si>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</si>
  <si>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</si>
  <si>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</si>
  <si>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</si>
  <si>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</si>
  <si>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</si>
  <si>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</si>
  <si>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</si>
  <si>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</si>
  <si>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</si>
  <si>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</si>
  <si>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</si>
  <si>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</si>
  <si>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</si>
  <si>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</si>
  <si>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</si>
  <si>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</si>
  <si>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</si>
  <si>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</si>
  <si>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</si>
  <si>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</si>
  <si>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</si>
  <si>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</si>
  <si>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</si>
  <si>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</si>
  <si>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</si>
  <si>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</si>
  <si>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</si>
  <si>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</si>
  <si>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</si>
  <si>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</si>
  <si>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</si>
  <si>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</si>
  <si>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</si>
  <si>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</si>
  <si>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</si>
  <si>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</si>
  <si>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</si>
  <si>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</si>
  <si>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</si>
  <si>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</si>
  <si>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</si>
  <si>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</si>
  <si>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</si>
  <si>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</si>
  <si>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</si>
  <si>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</si>
  <si>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</si>
  <si>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</si>
  <si>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</si>
  <si>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</si>
  <si>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</si>
  <si>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</si>
  <si>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</si>
  <si>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</si>
  <si>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</si>
  <si>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</si>
  <si>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</si>
  <si>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</si>
  <si>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</si>
  <si>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</si>
  <si>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</si>
  <si>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</si>
  <si>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</si>
  <si>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</si>
  <si>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</si>
  <si>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</si>
  <si>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</si>
  <si>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</si>
  <si>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</si>
  <si>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</si>
  <si>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</si>
  <si>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</si>
  <si>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</si>
  <si>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</si>
  <si>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</si>
  <si>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</si>
  <si>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</si>
  <si>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</si>
  <si>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</si>
  <si>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</si>
  <si>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</si>
  <si>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</si>
  <si>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</si>
  <si>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</si>
  <si>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</si>
  <si>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</si>
  <si>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</si>
  <si>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</si>
  <si>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</si>
  <si>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</si>
  <si>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</si>
  <si>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</si>
  <si>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</si>
  <si>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</si>
  <si>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</si>
  <si>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</si>
  <si>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</si>
  <si>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</si>
  <si>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</si>
  <si>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</si>
  <si>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</si>
  <si>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</si>
  <si>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</si>
  <si>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</si>
  <si>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</si>
  <si>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</si>
  <si>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</si>
  <si>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</si>
  <si>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</si>
  <si>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</si>
  <si>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</si>
  <si>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</si>
  <si>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</si>
  <si>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</si>
  <si>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</si>
  <si>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</si>
  <si>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</si>
  <si>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</si>
  <si>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</si>
  <si>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</si>
  <si>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</si>
  <si>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</si>
  <si>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</si>
  <si>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</si>
  <si>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</si>
  <si>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</si>
  <si>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</si>
  <si>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</si>
  <si>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</si>
  <si>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</si>
  <si>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</si>
  <si>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</si>
  <si>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</si>
  <si>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</si>
  <si>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</si>
  <si>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</si>
  <si>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</si>
  <si>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</si>
  <si>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</si>
  <si>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</si>
  <si>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</si>
  <si>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</si>
  <si>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</si>
  <si>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</si>
  <si>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</si>
  <si>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</si>
  <si>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</si>
  <si>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</si>
  <si>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</si>
  <si>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</si>
  <si>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</si>
  <si>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</si>
  <si>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</si>
  <si>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</si>
  <si>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</si>
  <si>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</si>
  <si>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</si>
  <si>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</si>
  <si>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</si>
  <si>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</si>
  <si>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</si>
  <si>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</si>
  <si>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</si>
  <si>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</si>
  <si>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</si>
  <si>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</si>
  <si>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</si>
  <si>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</si>
  <si>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</si>
  <si>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</si>
  <si>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</si>
  <si>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</si>
  <si>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</si>
  <si>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</si>
  <si>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</si>
  <si>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</si>
  <si>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</si>
  <si>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</si>
  <si>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</si>
  <si>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</si>
  <si>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</si>
  <si>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</si>
  <si>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</si>
  <si>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</si>
  <si>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</si>
  <si>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</si>
  <si>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</si>
  <si>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</si>
  <si>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</si>
  <si>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</si>
  <si>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</si>
  <si>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</si>
  <si>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</si>
  <si>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</si>
  <si>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</si>
  <si>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</si>
  <si>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</si>
  <si>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</si>
  <si>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Vedligeholdende</t>
  </si>
  <si>
    <t>NL</t>
  </si>
  <si>
    <t>Razorbacks</t>
  </si>
  <si>
    <t>Tigers</t>
  </si>
  <si>
    <t>89ers</t>
  </si>
  <si>
    <t>Oaks</t>
  </si>
  <si>
    <t>Gold Diggers</t>
  </si>
  <si>
    <t>Towers</t>
  </si>
  <si>
    <t>NL</t>
  </si>
  <si>
    <t>NL</t>
  </si>
  <si>
    <t>Ja</t>
  </si>
  <si>
    <t>Nej</t>
  </si>
  <si>
    <t>Ja</t>
  </si>
  <si>
    <t>Nej</t>
  </si>
  <si>
    <t>1</t>
  </si>
  <si>
    <t>2</t>
  </si>
  <si>
    <t>3</t>
  </si>
  <si>
    <t>h</t>
  </si>
  <si>
    <t>m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</si>
  <si>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</si>
  <si>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</si>
  <si>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</si>
  <si>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</si>
  <si>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</si>
  <si>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</si>
  <si>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</si>
  <si>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</si>
  <si>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</si>
  <si>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</si>
  <si>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</si>
  <si>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</si>
  <si>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</si>
  <si>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</si>
  <si>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</si>
  <si>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</si>
  <si>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</si>
  <si>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</si>
  <si>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</si>
  <si>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</si>
  <si>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</si>
  <si>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</si>
  <si>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</si>
  <si>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</si>
  <si>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</si>
  <si>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</si>
  <si>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</si>
  <si>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</si>
  <si>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</si>
  <si>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</si>
  <si>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</si>
  <si>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</si>
  <si>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</si>
  <si>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</si>
  <si>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</si>
  <si>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</si>
  <si>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h</t>
  </si>
  <si>
    <t>m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</si>
  <si>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</si>
  <si>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</si>
  <si>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</si>
  <si>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</si>
  <si>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</si>
  <si>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</si>
  <si>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</si>
  <si>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</si>
  <si>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</si>
  <si>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</si>
  <si>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</si>
  <si>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</si>
  <si>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</si>
  <si>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</si>
  <si>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</si>
  <si>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</si>
  <si>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</si>
  <si>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</si>
  <si>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</si>
  <si>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</si>
  <si>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</si>
  <si>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</si>
  <si>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</si>
  <si>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</si>
  <si>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</si>
  <si>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</si>
  <si>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</si>
  <si>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</si>
  <si>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</si>
  <si>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</si>
  <si>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h</t>
  </si>
  <si>
    <t>m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</si>
  <si>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</si>
  <si>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</si>
  <si>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</si>
  <si>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</si>
  <si>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</si>
  <si>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</si>
  <si>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</si>
  <si>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</si>
  <si>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</si>
  <si>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</si>
  <si>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</si>
  <si>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</si>
  <si>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</si>
  <si>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</si>
  <si>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</si>
  <si>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</si>
  <si>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</si>
  <si>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</si>
  <si>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</si>
  <si>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</si>
  <si>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</si>
  <si>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</si>
  <si>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</si>
  <si>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</si>
  <si>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>1</t>
  </si>
  <si>
    <t>2</t>
  </si>
  <si>
    <t>3</t>
  </si>
  <si>
    <t xml:space="preserve"> </t>
  </si>
  <si>
    <t>02.23.00</t>
  </si>
  <si>
    <t>02.23.00</t>
  </si>
  <si>
    <t>-</t>
  </si>
  <si>
    <t>-</t>
  </si>
  <si>
    <t>-v-</t>
  </si>
  <si>
    <t>-</t>
  </si>
  <si>
    <t>-v-</t>
  </si>
  <si>
    <t xml:space="preserve"> GameID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</si>
</sst>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13" mc:Ignorable="x14ac">
  <numFmts count="2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hh.mm"/>
    <numFmt numFmtId="165" formatCode="&quot;kr &quot;#,##0.00"/>
    <numFmt numFmtId="166" formatCode="m/d/yyyy h:mm:ss"/>
    <numFmt numFmtId="167" formatCode="dd/mm/yyyy hh.mm"/>
    <numFmt numFmtId="168" formatCode="[h].mm.ss"/>
    <numFmt numFmtId="169" formatCode="HH.mm.ss"/>
    <numFmt numFmtId="170" formatCode="dd/mm/yyyy hh.mm.ss"/>
    <numFmt numFmtId="171" formatCode="d/m/yyyy hh.mm"/>
    <numFmt numFmtId="172" formatCode="d/m"/>
    <numFmt numFmtId="173" formatCode="#,##0.###############"/>
    <numFmt numFmtId="174" formatCode="hh.mm.ss"/>
    <numFmt numFmtId="175" formatCode="H:mm:ss"/>
    <numFmt numFmtId="176" formatCode="&quot;kr&quot;#,##0"/>
  </numFmts>
  <fonts count="25">
    <font>
      <name val="Arial"/>
      <color rgb="FF000000"/>
      <sz val="10"/>
    </font>
    <font>
      <name val="Arial"/>
      <b/>
      <color rgb="FF000000"/>
      <sz val="10"/>
    </font>
    <font>
      <name val="Arial"/>
      <color rgb="FF000000"/>
      <sz val="10"/>
    </font>
    <font>
      <name val="Arial"/>
      <i/>
      <color rgb="FF000000"/>
      <sz val="10"/>
    </font>
    <font>
      <name val="Arial"/>
      <b/>
      <color rgb="FF000000"/>
      <sz val="10"/>
    </font>
    <font>
      <name val="Calibri"/>
      <color rgb="FF000000"/>
      <sz val="10"/>
    </font>
    <font>
      <name val="Arial"/>
      <i/>
      <color rgb="FF000000"/>
      <sz val="10"/>
    </font>
    <font>
      <name val="Arial"/>
      <b/>
      <i/>
      <color rgb="FF000000"/>
      <sz val="10"/>
    </font>
    <font>
      <name val="Calibri"/>
      <color rgb="FF000000"/>
      <sz val="12"/>
    </font>
    <font>
      <name val="Calibri"/>
      <b/>
      <color rgb="FF000000"/>
      <sz val="12"/>
    </font>
    <font>
      <name val="Calibri"/>
      <color rgb="FF0000FF"/>
      <sz val="12"/>
      <u val="single"/>
    </font>
    <font>
      <name val="Arial"/>
      <color rgb="FF000000"/>
      <sz val="12"/>
    </font>
    <font>
      <name val="Calibri"/>
      <color rgb="FF0000FF"/>
      <sz val="12"/>
      <u val="single"/>
    </font>
    <font>
      <name val="Arial"/>
      <b/>
      <color rgb="FF000000"/>
      <sz val="12"/>
    </font>
    <font>
      <name val="Calibri"/>
      <b/>
      <color rgb="FF000000"/>
      <sz val="10"/>
    </font>
    <font>
      <name val="Arial"/>
      <color rgb="FF000000"/>
      <sz val="12"/>
    </font>
    <font>
      <name val="Calibri"/>
      <i/>
      <color rgb="FF000000"/>
      <sz val="10"/>
    </font>
    <font>
      <name val="Calibri"/>
      <color rgb="FF000000"/>
      <sz val="11"/>
    </font>
    <font>
      <name val="Arial"/>
      <i/>
      <color rgb="FF000000"/>
      <sz val="12"/>
    </font>
    <font>
      <name val="Arial"/>
      <strike/>
      <color rgb="FF000000"/>
      <sz val="12"/>
    </font>
    <font>
      <name val="Calibri"/>
      <i/>
      <strike/>
      <color rgb="FF000000"/>
      <sz val="10"/>
    </font>
    <font>
      <name val="Arial"/>
      <strike/>
      <color rgb="FF000000"/>
      <sz val="12"/>
    </font>
    <font>
      <name val="Calibri"/>
      <strike/>
      <color rgb="FF000000"/>
      <sz val="12"/>
    </font>
    <font>
      <name val="Inherit"/>
      <color rgb="FF1D2129"/>
      <sz val="12"/>
    </font>
    <font>
      <name val="Calibri"/>
      <color rgb="FF000000"/>
      <sz val="12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EBF1DE"/>
        <bgColor rgb="FFEBF1DE"/>
      </patternFill>
    </fill>
    <fill>
      <patternFill patternType="solid">
        <fgColor rgb="FFC4D79B"/>
        <bgColor rgb="FFC4D79B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2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 xfId="0"/>
  </cellStyleXfs>
  <cellXfs count="280"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3" fontId="4" fillId="0" borderId="2" xfId="0" applyNumberFormat="1" applyFont="1" applyBorder="1" applyAlignment="1">
      <alignment vertical="center"/>
    </xf>
    <xf numFmtId="165" fontId="0" fillId="0" borderId="2" xfId="0" applyNumberFormat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66" fontId="2" fillId="0" borderId="0" xfId="0" applyNumberFormat="1" applyFont="1" applyAlignment="1">
      <alignment vertical="center" wrapText="1"/>
    </xf>
    <xf numFmtId="167" fontId="2" fillId="0" borderId="0" xfId="0" applyNumberFormat="1" applyFont="1" applyAlignment="1">
      <alignment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168" fontId="2" fillId="0" borderId="0" xfId="0" applyNumberFormat="1" applyFont="1" applyAlignment="1">
      <alignment vertical="center" wrapText="1"/>
    </xf>
    <xf numFmtId="168" fontId="0" fillId="5" borderId="0" xfId="0" applyNumberFormat="1" applyFill="1" applyAlignment="1">
      <alignment vertical="center"/>
    </xf>
    <xf numFmtId="169" fontId="0" fillId="5" borderId="0" xfId="0" applyNumberFormat="1" applyFill="1" applyAlignment="1">
      <alignment vertical="center"/>
    </xf>
    <xf numFmtId="0" fontId="5" fillId="0" borderId="0" xfId="0" applyFont="1" applyAlignment="1">
      <alignment wrapText="1"/>
    </xf>
    <xf numFmtId="0" fontId="3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 wrapText="1"/>
    </xf>
    <xf numFmtId="164" fontId="2" fillId="0" borderId="3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3" fontId="1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right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right" vertical="center" wrapText="1"/>
    </xf>
    <xf numFmtId="164" fontId="2" fillId="0" borderId="6" xfId="0" applyNumberFormat="1" applyFont="1" applyBorder="1" applyAlignment="1">
      <alignment horizontal="righ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165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right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165" fontId="6" fillId="0" borderId="2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6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167" fontId="0" fillId="5" borderId="0" xfId="0" applyNumberFormat="1" applyFill="1" applyAlignment="1">
      <alignment vertical="center"/>
    </xf>
    <xf numFmtId="0" fontId="2" fillId="7" borderId="2" xfId="0" applyFont="1" applyFill="1" applyBorder="1" applyAlignment="1">
      <alignment horizontal="left" vertical="center" wrapText="1"/>
    </xf>
    <xf numFmtId="170" fontId="2" fillId="0" borderId="0" xfId="0" applyNumberFormat="1" applyFont="1" applyAlignment="1">
      <alignment vertical="center" wrapText="1"/>
    </xf>
    <xf numFmtId="168" fontId="2" fillId="3" borderId="0" xfId="0" applyNumberFormat="1" applyFont="1" applyFill="1" applyAlignment="1">
      <alignment vertical="center" wrapText="1"/>
    </xf>
    <xf numFmtId="167" fontId="2" fillId="3" borderId="0" xfId="0" applyNumberFormat="1" applyFont="1" applyFill="1" applyAlignment="1">
      <alignment vertical="center" wrapText="1"/>
    </xf>
    <xf numFmtId="0" fontId="2" fillId="6" borderId="2" xfId="0" applyFont="1" applyFill="1" applyBorder="1" applyAlignment="1">
      <alignment horizontal="left" vertical="center" wrapText="1"/>
    </xf>
    <xf numFmtId="171" fontId="2" fillId="0" borderId="0" xfId="0" applyNumberFormat="1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horizontal="right"/>
    </xf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>
      <alignment horizontal="right" vertical="center" wrapText="1"/>
    </xf>
    <xf numFmtId="164" fontId="2" fillId="0" borderId="14" xfId="0" applyNumberFormat="1" applyFont="1" applyBorder="1" applyAlignment="1">
      <alignment horizontal="right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vertical="center" wrapText="1"/>
    </xf>
    <xf numFmtId="165" fontId="0" fillId="0" borderId="3" xfId="0" applyNumberFormat="1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left" vertical="center" wrapText="1"/>
    </xf>
    <xf numFmtId="165" fontId="0" fillId="0" borderId="5" xfId="0" applyNumberForma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1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165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horizontal="right"/>
    </xf>
    <xf numFmtId="0" fontId="2" fillId="0" borderId="3" xfId="0" applyFont="1" applyBorder="1" applyAlignment="1">
      <alignment horizontal="right" vertical="center" wrapText="1"/>
    </xf>
    <xf numFmtId="0" fontId="0" fillId="0" borderId="3" xfId="0" applyBorder="1" applyAlignment="1">
      <alignment horizontal="left" vertical="center"/>
    </xf>
    <xf numFmtId="0" fontId="3" fillId="0" borderId="3" xfId="0" applyFont="1" applyBorder="1" applyAlignment="1">
      <alignment vertical="center" wrapText="1"/>
    </xf>
    <xf numFmtId="165" fontId="2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0" fontId="7" fillId="3" borderId="5" xfId="0" applyFont="1" applyFill="1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1" fillId="0" borderId="0" xfId="0" applyNumberFormat="1" applyFont="1" applyAlignment="1">
      <alignment vertical="center" wrapText="1"/>
    </xf>
    <xf numFmtId="165" fontId="1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" fillId="0" borderId="16" xfId="0" applyNumberFormat="1" applyFont="1" applyBorder="1" applyAlignment="1">
      <alignment vertical="center" wrapText="1"/>
    </xf>
    <xf numFmtId="165" fontId="1" fillId="0" borderId="2" xfId="0" applyNumberFormat="1" applyFont="1" applyBorder="1" applyAlignment="1">
      <alignment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172" fontId="2" fillId="0" borderId="0" xfId="0" applyNumberFormat="1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7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3" borderId="0" xfId="0" applyFont="1" applyFill="1" applyAlignment="1">
      <alignment horizontal="center"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8" fillId="0" borderId="16" xfId="0" applyFont="1" applyBorder="1" applyAlignment="1">
      <alignment wrapText="1"/>
    </xf>
    <xf numFmtId="0" fontId="8" fillId="3" borderId="11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8" fillId="0" borderId="16" xfId="0" applyFont="1" applyBorder="1" applyAlignment="1">
      <alignment wrapText="1"/>
    </xf>
    <xf numFmtId="0" fontId="8" fillId="3" borderId="0" xfId="0" applyFont="1" applyFill="1" applyAlignment="1">
      <alignment vertical="center" wrapText="1"/>
    </xf>
    <xf numFmtId="0" fontId="10" fillId="0" borderId="16" xfId="0" applyFont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8" fillId="3" borderId="0" xfId="0" applyFont="1" applyFill="1" applyAlignment="1">
      <alignment vertical="center" wrapText="1"/>
    </xf>
    <xf numFmtId="0" fontId="8" fillId="0" borderId="0" xfId="0" applyFont="1" applyAlignment="1">
      <alignment horizontal="left" wrapText="1"/>
    </xf>
    <xf numFmtId="0" fontId="8" fillId="0" borderId="17" xfId="0" applyFont="1" applyBorder="1" applyAlignment="1">
      <alignment wrapText="1"/>
    </xf>
    <xf numFmtId="0" fontId="12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left" wrapText="1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horizontal="left" wrapText="1"/>
    </xf>
    <xf numFmtId="0" fontId="8" fillId="0" borderId="0" xfId="0" applyFont="1" applyAlignment="1">
      <alignment vertical="center" wrapText="1"/>
    </xf>
    <xf numFmtId="166" fontId="11" fillId="0" borderId="0" xfId="0" applyNumberFormat="1" applyFont="1" applyAlignment="1">
      <alignment horizontal="right" wrapText="1"/>
    </xf>
    <xf numFmtId="0" fontId="11" fillId="0" borderId="0" xfId="0" applyFont="1" applyAlignment="1">
      <alignment horizontal="right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right" wrapText="1"/>
    </xf>
    <xf numFmtId="0" fontId="8" fillId="0" borderId="0" xfId="0" applyFont="1"/>
    <xf numFmtId="0" fontId="13" fillId="0" borderId="0" xfId="0" applyFont="1" applyAlignment="1">
      <alignment horizontal="right" wrapText="1"/>
    </xf>
    <xf numFmtId="0" fontId="11" fillId="0" borderId="0" xfId="0" applyFont="1" applyAlignment="1">
      <alignment horizontal="right" wrapText="1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5" fillId="8" borderId="2" xfId="0" applyFont="1" applyFill="1" applyBorder="1" applyAlignment="1">
      <alignment vertical="center"/>
    </xf>
    <xf numFmtId="0" fontId="16" fillId="8" borderId="2" xfId="0" applyFont="1" applyFill="1" applyBorder="1" applyAlignment="1">
      <alignment horizontal="right" vertical="center" wrapText="1"/>
    </xf>
    <xf numFmtId="0" fontId="16" fillId="8" borderId="5" xfId="0" applyFont="1" applyFill="1" applyBorder="1" applyAlignment="1">
      <alignment vertical="center" wrapText="1"/>
    </xf>
    <xf numFmtId="164" fontId="16" fillId="8" borderId="2" xfId="0" applyNumberFormat="1" applyFont="1" applyFill="1" applyBorder="1" applyAlignment="1">
      <alignment horizontal="right" vertical="center" wrapText="1"/>
    </xf>
    <xf numFmtId="0" fontId="16" fillId="8" borderId="6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165" fontId="8" fillId="0" borderId="2" xfId="0" applyNumberFormat="1" applyFont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165" fontId="8" fillId="0" borderId="2" xfId="0" applyNumberFormat="1" applyFont="1" applyBorder="1" applyAlignment="1">
      <alignment horizontal="right" vertical="center" wrapText="1"/>
    </xf>
    <xf numFmtId="0" fontId="8" fillId="0" borderId="11" xfId="0" applyFont="1" applyBorder="1" applyAlignment="1">
      <alignment vertical="center" wrapText="1"/>
    </xf>
    <xf numFmtId="166" fontId="8" fillId="0" borderId="0" xfId="0" applyNumberFormat="1" applyFont="1" applyAlignment="1">
      <alignment vertical="center" wrapText="1"/>
    </xf>
    <xf numFmtId="0" fontId="17" fillId="4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167" fontId="17" fillId="5" borderId="0" xfId="0" applyNumberFormat="1" applyFont="1" applyFill="1" applyAlignment="1">
      <alignment vertical="center"/>
    </xf>
    <xf numFmtId="168" fontId="8" fillId="0" borderId="0" xfId="0" applyNumberFormat="1" applyFont="1" applyAlignment="1">
      <alignment vertical="center" wrapText="1"/>
    </xf>
    <xf numFmtId="168" fontId="17" fillId="5" borderId="0" xfId="0" applyNumberFormat="1" applyFont="1" applyFill="1" applyAlignment="1">
      <alignment vertical="center"/>
    </xf>
    <xf numFmtId="169" fontId="17" fillId="5" borderId="0" xfId="0" applyNumberFormat="1" applyFont="1" applyFill="1" applyAlignment="1">
      <alignment vertical="center"/>
    </xf>
    <xf numFmtId="0" fontId="9" fillId="0" borderId="2" xfId="0" applyFont="1" applyBorder="1" applyAlignment="1">
      <alignment vertical="center" wrapText="1"/>
    </xf>
    <xf numFmtId="167" fontId="15" fillId="3" borderId="0" xfId="0" applyNumberFormat="1" applyFont="1" applyFill="1" applyAlignment="1">
      <alignment vertical="center" wrapText="1"/>
    </xf>
    <xf numFmtId="171" fontId="17" fillId="5" borderId="0" xfId="0" applyNumberFormat="1" applyFont="1" applyFill="1" applyAlignment="1">
      <alignment vertical="center"/>
    </xf>
    <xf numFmtId="0" fontId="11" fillId="6" borderId="5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165" fontId="17" fillId="0" borderId="2" xfId="0" applyNumberFormat="1" applyFont="1" applyBorder="1" applyAlignment="1">
      <alignment vertical="center"/>
    </xf>
    <xf numFmtId="0" fontId="1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164" fontId="5" fillId="3" borderId="2" xfId="0" applyNumberFormat="1" applyFont="1" applyFill="1" applyBorder="1" applyAlignment="1">
      <alignment horizontal="right" vertical="center" wrapText="1"/>
    </xf>
    <xf numFmtId="0" fontId="11" fillId="9" borderId="2" xfId="0" applyFont="1" applyFill="1" applyBorder="1" applyAlignment="1">
      <alignment vertical="center" wrapText="1"/>
    </xf>
    <xf numFmtId="0" fontId="8" fillId="9" borderId="2" xfId="0" applyFont="1" applyFill="1" applyBorder="1" applyAlignment="1">
      <alignment vertical="center" wrapText="1"/>
    </xf>
    <xf numFmtId="0" fontId="11" fillId="3" borderId="2" xfId="0" applyFont="1" applyFill="1" applyBorder="1" applyAlignment="1">
      <alignment vertical="center" wrapText="1"/>
    </xf>
    <xf numFmtId="167" fontId="8" fillId="0" borderId="0" xfId="0" applyNumberFormat="1" applyFont="1" applyAlignment="1">
      <alignment vertical="center" wrapText="1"/>
    </xf>
    <xf numFmtId="170" fontId="8" fillId="0" borderId="0" xfId="0" applyNumberFormat="1" applyFont="1" applyAlignment="1">
      <alignment vertical="center" wrapText="1"/>
    </xf>
    <xf numFmtId="0" fontId="15" fillId="3" borderId="18" xfId="0" applyFont="1" applyFill="1" applyBorder="1" applyAlignment="1">
      <alignment vertical="center"/>
    </xf>
    <xf numFmtId="0" fontId="5" fillId="3" borderId="18" xfId="0" applyFont="1" applyFill="1" applyBorder="1" applyAlignment="1">
      <alignment horizontal="right" vertical="center" wrapText="1"/>
    </xf>
    <xf numFmtId="0" fontId="5" fillId="3" borderId="18" xfId="0" applyFont="1" applyFill="1" applyBorder="1" applyAlignment="1">
      <alignment vertical="center" wrapText="1"/>
    </xf>
    <xf numFmtId="164" fontId="5" fillId="3" borderId="18" xfId="0" applyNumberFormat="1" applyFont="1" applyFill="1" applyBorder="1" applyAlignment="1">
      <alignment horizontal="right" vertical="center" wrapText="1"/>
    </xf>
    <xf numFmtId="0" fontId="11" fillId="9" borderId="18" xfId="0" applyFont="1" applyFill="1" applyBorder="1" applyAlignment="1">
      <alignment vertical="center" wrapText="1"/>
    </xf>
    <xf numFmtId="0" fontId="8" fillId="9" borderId="18" xfId="0" applyFont="1" applyFill="1" applyBorder="1" applyAlignment="1">
      <alignment vertical="center" wrapText="1"/>
    </xf>
    <xf numFmtId="168" fontId="8" fillId="3" borderId="0" xfId="0" applyNumberFormat="1" applyFont="1" applyFill="1" applyAlignment="1">
      <alignment vertical="center" wrapText="1"/>
    </xf>
    <xf numFmtId="167" fontId="8" fillId="3" borderId="0" xfId="0" applyNumberFormat="1" applyFont="1" applyFill="1" applyAlignment="1">
      <alignment vertical="center" wrapText="1"/>
    </xf>
    <xf numFmtId="0" fontId="18" fillId="8" borderId="5" xfId="0" applyFont="1" applyFill="1" applyBorder="1" applyAlignment="1">
      <alignment vertical="center"/>
    </xf>
    <xf numFmtId="0" fontId="16" fillId="8" borderId="5" xfId="0" applyFont="1" applyFill="1" applyBorder="1" applyAlignment="1">
      <alignment horizontal="right" vertical="center" wrapText="1"/>
    </xf>
    <xf numFmtId="164" fontId="16" fillId="8" borderId="5" xfId="0" applyNumberFormat="1" applyFont="1" applyFill="1" applyBorder="1" applyAlignment="1">
      <alignment horizontal="right" vertical="center" wrapText="1"/>
    </xf>
    <xf numFmtId="0" fontId="11" fillId="9" borderId="5" xfId="0" applyFont="1" applyFill="1" applyBorder="1" applyAlignment="1">
      <alignment vertical="center" wrapText="1"/>
    </xf>
    <xf numFmtId="0" fontId="8" fillId="9" borderId="5" xfId="0" applyFont="1" applyFill="1" applyBorder="1" applyAlignment="1">
      <alignment vertical="center" wrapText="1"/>
    </xf>
    <xf numFmtId="171" fontId="8" fillId="0" borderId="0" xfId="0" applyNumberFormat="1" applyFont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1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right" vertical="center" wrapText="1"/>
    </xf>
    <xf numFmtId="164" fontId="5" fillId="3" borderId="5" xfId="0" applyNumberFormat="1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vertical="center" wrapText="1"/>
    </xf>
    <xf numFmtId="0" fontId="11" fillId="0" borderId="2" xfId="0" applyFont="1" applyBorder="1"/>
    <xf numFmtId="0" fontId="11" fillId="2" borderId="6" xfId="0" applyFont="1" applyFill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11" fillId="7" borderId="6" xfId="0" applyFont="1" applyFill="1" applyBorder="1" applyAlignment="1">
      <alignment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0" fontId="11" fillId="0" borderId="2" xfId="0" applyFont="1" applyBorder="1" applyAlignment="1">
      <alignment vertical="center" wrapText="1"/>
    </xf>
    <xf numFmtId="0" fontId="19" fillId="8" borderId="2" xfId="0" applyFont="1" applyFill="1" applyBorder="1" applyAlignment="1">
      <alignment vertical="center"/>
    </xf>
    <xf numFmtId="0" fontId="20" fillId="8" borderId="2" xfId="0" applyFont="1" applyFill="1" applyBorder="1" applyAlignment="1">
      <alignment horizontal="right" vertical="center" wrapText="1"/>
    </xf>
    <xf numFmtId="0" fontId="20" fillId="8" borderId="5" xfId="0" applyFont="1" applyFill="1" applyBorder="1" applyAlignment="1">
      <alignment vertical="center" wrapText="1"/>
    </xf>
    <xf numFmtId="164" fontId="20" fillId="8" borderId="2" xfId="0" applyNumberFormat="1" applyFont="1" applyFill="1" applyBorder="1" applyAlignment="1">
      <alignment horizontal="right" vertical="center" wrapText="1"/>
    </xf>
    <xf numFmtId="0" fontId="20" fillId="8" borderId="6" xfId="0" applyFont="1" applyFill="1" applyBorder="1" applyAlignment="1">
      <alignment vertical="center" wrapText="1"/>
    </xf>
    <xf numFmtId="0" fontId="21" fillId="9" borderId="2" xfId="0" applyFont="1" applyFill="1" applyBorder="1" applyAlignment="1">
      <alignment vertical="center" wrapText="1"/>
    </xf>
    <xf numFmtId="0" fontId="22" fillId="9" borderId="2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165" fontId="14" fillId="0" borderId="0" xfId="0" applyNumberFormat="1" applyFont="1" applyAlignment="1">
      <alignment vertical="center" wrapText="1"/>
    </xf>
    <xf numFmtId="165" fontId="14" fillId="0" borderId="16" xfId="0" applyNumberFormat="1" applyFont="1" applyBorder="1" applyAlignment="1">
      <alignment vertical="center" wrapText="1"/>
    </xf>
    <xf numFmtId="165" fontId="14" fillId="0" borderId="2" xfId="0" applyNumberFormat="1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 wrapText="1"/>
    </xf>
    <xf numFmtId="165" fontId="8" fillId="0" borderId="2" xfId="0" applyNumberFormat="1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165" fontId="8" fillId="0" borderId="0" xfId="0" applyNumberFormat="1" applyFont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14" fillId="0" borderId="0" xfId="0" applyFont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23" fillId="3" borderId="0" xfId="0" applyFont="1" applyFill="1" applyAlignment="1">
      <alignment horizontal="left"/>
    </xf>
    <xf numFmtId="0" fontId="23" fillId="3" borderId="0" xfId="0" applyFont="1" applyFill="1" applyAlignment="1">
      <alignment horizontal="right"/>
    </xf>
    <xf numFmtId="165" fontId="8" fillId="0" borderId="0" xfId="0" applyNumberFormat="1" applyFont="1" applyAlignment="1">
      <alignment wrapText="1"/>
    </xf>
    <xf numFmtId="173" fontId="8" fillId="0" borderId="0" xfId="0" applyNumberFormat="1" applyFont="1" applyAlignment="1">
      <alignment wrapText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right" wrapText="1"/>
    </xf>
    <xf numFmtId="174" fontId="8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165" fontId="8" fillId="0" borderId="0" xfId="0" applyNumberFormat="1" applyFont="1" applyAlignment="1">
      <alignment wrapText="1"/>
    </xf>
    <xf numFmtId="168" fontId="8" fillId="0" borderId="0" xfId="0" applyNumberFormat="1" applyFont="1" applyAlignment="1">
      <alignment wrapText="1"/>
    </xf>
    <xf numFmtId="173" fontId="8" fillId="0" borderId="0" xfId="0" applyNumberFormat="1" applyFont="1" applyAlignment="1">
      <alignment wrapText="1"/>
    </xf>
    <xf numFmtId="175" fontId="8" fillId="0" borderId="0" xfId="0" applyNumberFormat="1" applyFont="1" applyAlignment="1">
      <alignment wrapText="1"/>
    </xf>
    <xf numFmtId="165" fontId="8" fillId="0" borderId="0" xfId="0" applyNumberFormat="1" applyFont="1" applyAlignment="1">
      <alignment wrapText="1"/>
    </xf>
    <xf numFmtId="166" fontId="8" fillId="0" borderId="0" xfId="0" applyNumberFormat="1" applyFont="1" applyAlignment="1">
      <alignment wrapText="1"/>
    </xf>
    <xf numFmtId="19" fontId="8" fillId="0" borderId="0" xfId="0" applyNumberFormat="1" applyFont="1" applyAlignment="1">
      <alignment wrapText="1"/>
    </xf>
    <xf numFmtId="168" fontId="8" fillId="0" borderId="0" xfId="0" applyNumberFormat="1" applyFont="1" applyAlignment="1">
      <alignment wrapText="1"/>
    </xf>
    <xf numFmtId="169" fontId="8" fillId="0" borderId="0" xfId="0" applyNumberFormat="1" applyFont="1" applyAlignment="1">
      <alignment wrapText="1"/>
    </xf>
    <xf numFmtId="0" fontId="5" fillId="3" borderId="15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165" fontId="8" fillId="0" borderId="19" xfId="0" applyNumberFormat="1" applyFont="1" applyBorder="1" applyAlignment="1">
      <alignment vertical="center" wrapText="1"/>
    </xf>
    <xf numFmtId="165" fontId="8" fillId="0" borderId="0" xfId="0" applyNumberFormat="1" applyFont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4" fillId="3" borderId="5" xfId="0" applyFont="1" applyFill="1" applyBorder="1" applyAlignment="1">
      <alignment vertical="center" wrapText="1"/>
    </xf>
    <xf numFmtId="165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165" fontId="17" fillId="0" borderId="19" xfId="0" applyNumberFormat="1" applyFont="1" applyBorder="1" applyAlignment="1">
      <alignment vertical="center"/>
    </xf>
    <xf numFmtId="165" fontId="24" fillId="0" borderId="0" xfId="0" applyNumberFormat="1" applyFont="1" applyAlignment="1">
      <alignment vertical="center" wrapText="1"/>
    </xf>
    <xf numFmtId="0" fontId="8" fillId="0" borderId="17" xfId="0" applyFont="1" applyBorder="1" applyAlignment="1">
      <alignment vertical="center" wrapText="1"/>
    </xf>
    <xf numFmtId="176" fontId="14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11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b/>
        <i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6" type="wholeTable"/>
      <tableStyleElement dxfId="7" type="firstRowSubheading"/>
      <tableStyleElement dxfId="7" type="secondRowSubheading"/>
      <tableStyleElement dxfId="7" type="thirdRowSubheading"/>
      <tableStyleElement dxfId="8" type="firstColumnSubheading"/>
      <tableStyleElement dxfId="8" type="secondColumnSubheading"/>
      <tableStyleElement dxfId="8" type="thirdColumnSubheading"/>
      <tableStyleElement dxfId="8" type="headerRow"/>
      <tableStyleElement dxfId="9" type="firstSubtotalRow"/>
      <tableStyleElement dxfId="9" type="secondSubtotalRow"/>
      <tableStyleElement dxfId="9" type="thirdSubtotalRow"/>
      <tableStyleElement dxfId="10" type="totalRow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 TargetMode="Internal"/><Relationship Id="rId10" Type="http://schemas.openxmlformats.org/officeDocument/2006/relationships/worksheet" Target="worksheets/sheet8.xml" TargetMode="Internal"/><Relationship Id="rId11" Type="http://schemas.openxmlformats.org/officeDocument/2006/relationships/worksheet" Target="worksheets/sheet9.xml" TargetMode="Internal"/><Relationship Id="rId12" Type="http://schemas.openxmlformats.org/officeDocument/2006/relationships/worksheet" Target="worksheets/sheet10.xml" TargetMode="Internal"/><Relationship Id="rId13" Type="http://schemas.openxmlformats.org/officeDocument/2006/relationships/chartsheet" Target="chartsheets/sheet1.xml" TargetMode="Internal"/><Relationship Id="rId14" Type="http://schemas.openxmlformats.org/officeDocument/2006/relationships/worksheet" Target="worksheets/sheet11.xml" TargetMode="Internal"/><Relationship Id="rId15" Type="http://schemas.openxmlformats.org/officeDocument/2006/relationships/worksheet" Target="worksheets/sheet12.xml" TargetMode="Internal"/><Relationship Id="rId16" Type="http://schemas.openxmlformats.org/officeDocument/2006/relationships/pivotCacheDefinition" Target="pivotCache/pivotCacheDefinition1.xml" TargetMode="Internal"/><Relationship Id="rId2" Type="http://schemas.openxmlformats.org/officeDocument/2006/relationships/sharedStrings" Target="sharedStrings.xml" TargetMode="Internal"/><Relationship Id="rId3" Type="http://schemas.openxmlformats.org/officeDocument/2006/relationships/worksheet" Target="worksheets/sheet1.xml" TargetMode="Internal"/><Relationship Id="rId4" Type="http://schemas.openxmlformats.org/officeDocument/2006/relationships/worksheet" Target="worksheets/sheet2.xml" TargetMode="Internal"/><Relationship Id="rId5" Type="http://schemas.openxmlformats.org/officeDocument/2006/relationships/worksheet" Target="worksheets/sheet3.xml" TargetMode="Internal"/><Relationship Id="rId6" Type="http://schemas.openxmlformats.org/officeDocument/2006/relationships/worksheet" Target="worksheets/sheet4.xml" TargetMode="Internal"/><Relationship Id="rId7" Type="http://schemas.openxmlformats.org/officeDocument/2006/relationships/worksheet" Target="worksheets/sheet5.xml" TargetMode="Internal"/><Relationship Id="rId8" Type="http://schemas.openxmlformats.org/officeDocument/2006/relationships/worksheet" Target="worksheets/sheet6.xml" TargetMode="Internal"/><Relationship Id="rId9" Type="http://schemas.openxmlformats.org/officeDocument/2006/relationships/worksheet" Target="worksheets/sheet7.xml" TargetMode="Internal"/></Relationships>
</file>

<file path=xl/charts/chart1.xml><?xml version="1.0" encoding="utf-8"?>
<c:chartSpace xmlns:a="http://schemas.openxmlformats.org/drawingml/2006/main" xmlns:c="http://schemas.openxmlformats.org/drawingml/2006/chart" xmlns:c14="http://schemas.microsoft.com/office/drawing/2007/8/2/chart" xmlns:mc="http://schemas.openxmlformats.org/markup-compatibility/2006" xmlns:mv="urn:schemas-microsoft-com:mac:vml" xmlns:r="http://schemas.openxmlformats.org/officeDocument/2006/relationships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  <a:r>
              <a:rPr b="0">
                <a:solidFill>
                  <a:srgbClr val="000000"/>
                </a:solidFill>
                <a:latin typeface="Arial Narrow"/>
              </a:rPr>
              <a:t>Gennemsnits pris per kamp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'Plan - NL + 1. Div backup'!$P$51:$P$58</c:f>
            </c:strRef>
          </c:cat>
          <c:val>
            <c:numRef>
              <c:f>'Plan - NL + 1. Div backup'!$U$51:$U$58</c:f>
              <c:numCache/>
            </c:numRef>
          </c:val>
        </c:ser>
        <c:axId val="1580489861"/>
        <c:axId val="12168478"/>
      </c:barChart>
      <c:catAx>
        <c:axId val="1580489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2168478"/>
      </c:catAx>
      <c:valAx>
        <c:axId val="1216847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8048986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c14="http://schemas.microsoft.com/office/drawing/2007/8/2/chart" xmlns:mc="http://schemas.openxmlformats.org/markup-compatibility/2006" xmlns:mv="urn:schemas-microsoft-com:mac:vml" xmlns:r="http://schemas.openxmlformats.org/officeDocument/2006/relationships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Upload tid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Stats!$K$1</c:f>
            </c:strRef>
          </c:tx>
          <c:spPr>
            <a:ln cmpd="sng">
              <a:solidFill>
                <a:srgbClr val="3366CC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3366CC">
                  <a:alpha val="100000"/>
                </a:srgbClr>
              </a:solidFill>
              <a:ln cmpd="sng">
                <a:solidFill>
                  <a:srgbClr val="3366CC">
                    <a:alpha val="100000"/>
                  </a:srgbClr>
                </a:solidFill>
              </a:ln>
            </c:spPr>
          </c:marker>
          <c:cat>
            <c:strRef>
              <c:f>Stats!$F$2:$F$51</c:f>
            </c:strRef>
          </c:cat>
          <c:val>
            <c:numRef>
              <c:f>Stats!$K$2:$K$51</c:f>
              <c:numCache/>
            </c:numRef>
          </c:val>
          <c:smooth val="0"/>
        </c:ser>
        <c:ser>
          <c:idx val="1"/>
          <c:order val="1"/>
          <c:tx>
            <c:strRef>
              <c:f>Stats!$L$1</c:f>
            </c:strRef>
          </c:tx>
          <c:spPr>
            <a:ln cmpd="sng" w="9525">
              <a:solidFill>
                <a:srgbClr val="DC3912"/>
              </a:solidFill>
            </a:ln>
          </c:spPr>
          <c:marker>
            <c:symbol val="none"/>
            <c:size val="9"/>
          </c:marker>
          <c:cat>
            <c:strRef>
              <c:f>Stats!$F$2:$F$51</c:f>
            </c:strRef>
          </c:cat>
          <c:val>
            <c:numRef>
              <c:f>Stats!$L$2:$L$51</c:f>
              <c:numCache/>
            </c:numRef>
          </c:val>
          <c:smooth val="0"/>
        </c:ser>
        <c:axId val="721881011"/>
        <c:axId val="424203713"/>
      </c:lineChart>
      <c:catAx>
        <c:axId val="721881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Kamp nr.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4203713"/>
      </c:catAx>
      <c:valAx>
        <c:axId val="424203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Timer fra end of game til delt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21881011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c14="http://schemas.microsoft.com/office/drawing/2007/8/2/chart" xmlns:mc="http://schemas.openxmlformats.org/markup-compatibility/2006" xmlns:mv="urn:schemas-microsoft-com:mac:vml" xmlns:r="http://schemas.openxmlformats.org/officeDocument/2006/relationships">
  <c:chart>
    <c:plotArea>
      <c:layout/>
      <c:barChart>
        <c:barDir val="col"/>
        <c:ser>
          <c:idx val="0"/>
          <c:order val="0"/>
          <c:tx>
            <c:strRef>
              <c:f>'Pivottabel 1'!$A$2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'Pivottabel 1'!$B$1:$E$1</c:f>
            </c:strRef>
          </c:cat>
          <c:val>
            <c:numRef>
              <c:f>'Pivottabel 1'!$B$2:$E$2</c:f>
              <c:numCache/>
            </c:numRef>
          </c:val>
        </c:ser>
        <c:axId val="164377589"/>
        <c:axId val="379775588"/>
      </c:barChart>
      <c:catAx>
        <c:axId val="164377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379775588"/>
      </c:catAx>
      <c:valAx>
        <c:axId val="379775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643775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Tahoma"/>
            </a:defRPr>
          </a:pPr>
        </a:p>
      </c:txPr>
    </c:legend>
    <c:plotVisOnly val="1"/>
  </c:chart>
  <c:spPr>
    <a:solidFill>
      <a:srgbClr val="CCCCC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c14="http://schemas.microsoft.com/office/drawing/2007/8/2/chart" xmlns:mc="http://schemas.openxmlformats.org/markup-compatibility/2006" xmlns:mv="urn:schemas-microsoft-com:mac:vml" xmlns:r="http://schemas.openxmlformats.org/officeDocument/2006/relationships">
  <c:chart>
    <c:plotArea>
      <c:layout/>
      <c:barChart>
        <c:barDir val="col"/>
        <c:ser>
          <c:idx val="0"/>
          <c:order val="0"/>
          <c:tx>
            <c:strRef>
              <c:f>'Pivottabel 1'!$A$1</c:f>
            </c:strRef>
          </c:tx>
          <c:spPr>
            <a:solidFill>
              <a:srgbClr val="3366CC"/>
            </a:solidFill>
            <a:ln cmpd="sng">
              <a:solidFill>
                <a:srgbClr val="000000"/>
              </a:solidFill>
            </a:ln>
          </c:spPr>
          <c:val>
            <c:numRef>
              <c:f>'Pivottabel 1'!$A$2</c:f>
              <c:numCache/>
            </c:numRef>
          </c:val>
        </c:ser>
        <c:ser>
          <c:idx val="1"/>
          <c:order val="1"/>
          <c:tx>
            <c:strRef>
              <c:f>'Pivottabel 1'!$B$1</c:f>
            </c:strRef>
          </c:tx>
          <c:spPr>
            <a:solidFill>
              <a:srgbClr val="DC3912"/>
            </a:solidFill>
            <a:ln cmpd="sng">
              <a:solidFill>
                <a:srgbClr val="000000"/>
              </a:solidFill>
            </a:ln>
          </c:spPr>
          <c:val>
            <c:numRef>
              <c:f>'Pivottabel 1'!$B$2:$B$24</c:f>
              <c:numCache/>
            </c:numRef>
          </c:val>
        </c:ser>
        <c:ser>
          <c:idx val="2"/>
          <c:order val="2"/>
          <c:tx>
            <c:strRef>
              <c:f>'Pivottabel 1'!$C$1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val>
            <c:numRef>
              <c:f>'Pivottabel 1'!$C$2:$C$24</c:f>
              <c:numCache/>
            </c:numRef>
          </c:val>
        </c:ser>
        <c:ser>
          <c:idx val="3"/>
          <c:order val="3"/>
          <c:tx>
            <c:strRef>
              <c:f>'Pivottabel 1'!$F$1</c:f>
            </c:strRef>
          </c:tx>
          <c:val>
            <c:numRef>
              <c:f>'Pivottabel 1'!$F$2:$F$24</c:f>
              <c:numCache/>
            </c:numRef>
          </c:val>
        </c:ser>
        <c:axId val="295832005"/>
        <c:axId val="302300654"/>
      </c:barChart>
      <c:catAx>
        <c:axId val="295832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02300654"/>
      </c:catAx>
      <c:valAx>
        <c:axId val="302300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958320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c14="http://schemas.microsoft.com/office/drawing/2007/8/2/chart" xmlns:mc="http://schemas.openxmlformats.org/markup-compatibility/2006" xmlns:mv="urn:schemas-microsoft-com:mac:vml" xmlns:r="http://schemas.openxmlformats.org/officeDocument/2006/relationships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  <a:r>
              <a:rPr b="0">
                <a:solidFill>
                  <a:srgbClr val="000000"/>
                </a:solidFill>
                <a:latin typeface="Arial Narrow"/>
              </a:rPr>
              <a:t>Gennemsnits pris per kamp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Kilometerdata!$P$59:$P$66</c:f>
            </c:strRef>
          </c:cat>
          <c:val>
            <c:numRef>
              <c:f>Kilometerdata!$S$59:$S$66</c:f>
              <c:numCache/>
            </c:numRef>
          </c:val>
        </c:ser>
        <c:axId val="1960727089"/>
        <c:axId val="1405845142"/>
      </c:barChart>
      <c:catAx>
        <c:axId val="1960727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405845142"/>
      </c:catAx>
      <c:valAx>
        <c:axId val="14058451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 kr.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960727089"/>
      </c:valAx>
    </c:plotArea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 TargetMode="Internal"/></Relationships>
</file>

<file path=xl/chartsheets/sheet1.xml><?xml version="1.0" encoding="utf-8"?>
<chart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Views>
    <sheetView workbookViewId="0">
      <selection pane="topLeft" activeCell="A1"/>
    </sheetView>
  </sheetViews>
  <drawing r:id="rId1"/>
</chartsheet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409575</xdr:colOff>
      <xdr:row>64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7</xdr:row>
      <xdr:rowOff>76200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1038225</xdr:colOff>
      <xdr:row>9</xdr:row>
      <xdr:rowOff>161925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438150</xdr:colOff>
      <xdr:row>45</xdr:row>
      <xdr:rowOff>257175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M22" sheet="Plan - NL"/>
  </cacheSource>
  <cacheFields>
    <cacheField name=" " numFmtId="0">
      <sharedItems>
        <s v="Vedligeholdende"/>
        <s v="NL"/>
      </sharedItems>
    </cacheField>
    <cacheField name="Runde" numFmtId="0">
      <sharedItems containsSemiMixedTypes="0" containsString="0" containsNumber="1" containsInteger="1">
        <n v="0.0"/>
        <n v="1.0"/>
        <n v="2.0"/>
        <n v="4.0"/>
        <n v="5.0"/>
        <n v="6.0"/>
        <n v="8.0"/>
        <n v="9.0"/>
        <n v="10.0"/>
        <n v="12.0"/>
        <n v="17.0"/>
      </sharedItems>
    </cacheField>
    <cacheField name="Dag" numFmtId="0">
      <sharedItems>
        <s v="Lørdag"/>
        <s v="Søndag"/>
        <s v="Fredag"/>
      </sharedItems>
    </cacheField>
    <cacheField name="Dato" numFmtId="0">
      <sharedItems containsSemiMixedTypes="0" containsString="0" containsNumber="1" containsInteger="1">
        <n v="29.0"/>
        <n v="30.0"/>
        <n v="5.0"/>
        <n v="6.0"/>
        <n v="12.0"/>
        <n v="13.0"/>
        <n v="27.0"/>
        <n v="2.0"/>
        <n v="10.0"/>
        <n v="11.0"/>
        <n v="24.0"/>
        <n v="25.0"/>
        <n v="31.0"/>
        <n v="7.0"/>
        <n v="8.0"/>
        <n v="22.0"/>
        <n v="23.0"/>
      </sharedItems>
    </cacheField>
    <cacheField name="Måned" numFmtId="0">
      <sharedItems>
        <s v="Marts"/>
        <s v="April"/>
        <s v="Maj"/>
        <s v="Juni"/>
        <s v="August"/>
      </sharedItems>
    </cacheField>
    <cacheField name="Tidspunkt" numFmtId="164">
      <sharedItems containsSemiMixedTypes="0" containsDate="1" containsString="0">
        <d v="1899-12-30T14:00:00Z"/>
        <d v="1899-12-30T13:00:00Z"/>
        <d v="1899-12-30T19:00:00Z"/>
      </sharedItems>
    </cacheField>
    <cacheField name="Hjemme" numFmtId="0">
      <sharedItems>
        <s v="Tigers"/>
        <s v="Oaks"/>
        <s v="Towers"/>
        <s v="Razorbacks"/>
        <s v="89ers"/>
        <s v="Gold Diggers"/>
      </sharedItems>
    </cacheField>
    <cacheField name="Ude" numFmtId="0">
      <sharedItems>
        <s v="Wolves"/>
        <s v="Hurricanes"/>
        <s v="Razorbacks"/>
        <s v="Demons"/>
        <s v="Tigers"/>
        <s v="89ers"/>
        <s v="Gold Diggers"/>
        <s v="Towers"/>
        <s v="Oaks"/>
      </sharedItems>
    </cacheField>
    <cacheField name="R" numFmtId="0">
      <sharedItems containsBlank="1">
        <s v="NI"/>
        <s v="FR"/>
        <s v="DS"/>
        <s v="JL"/>
        <s v="KJ"/>
        <s v="Mats Schwieger"/>
        <s v="JK"/>
        <s v="MR"/>
        <s v="FK"/>
        <s v="JE"/>
        <m/>
      </sharedItems>
    </cacheField>
    <cacheField name="U" numFmtId="0">
      <sharedItems containsBlank="1">
        <s v="AR"/>
        <s v="VN"/>
        <s v="FK"/>
        <s v="JK"/>
        <s v="Felix Kastulski"/>
        <s v="Simon Brüggeman"/>
        <s v="DS"/>
        <m/>
      </sharedItems>
    </cacheField>
    <cacheField name="H" numFmtId="0">
      <sharedItems containsBlank="1">
        <s v="BT"/>
        <s v="AT"/>
        <s v="HP"/>
        <s v="NI"/>
        <s v="FR"/>
        <s v="VN"/>
        <s v="JK"/>
        <s v="JL"/>
        <s v="TO"/>
        <s v="MM"/>
        <s v="TS"/>
        <m/>
      </sharedItems>
    </cacheField>
    <cacheField name="L" numFmtId="0">
      <sharedItems containsBlank="1">
        <m/>
        <s v="EL"/>
        <s v="VN"/>
        <s v="MR"/>
        <s v="HP"/>
        <s v="Daniel Kasper"/>
        <s v="JE + RH"/>
        <s v="Matthis Trost"/>
        <s v="FR"/>
        <s v="AL"/>
        <s v="JL"/>
      </sharedItems>
    </cacheField>
    <cacheField name="B" numFmtId="0">
      <sharedItems containsBlank="1">
        <m/>
        <s v="BT"/>
        <s v="AT"/>
        <s v="EL"/>
        <s v="JE"/>
        <s v="KJ"/>
        <s v="FR"/>
      </sharedItems>
    </cacheField>
    <cacheField name="F" numFmtId="0">
      <sharedItems containsBlank="1">
        <m/>
        <s v="ER"/>
        <s v="EL"/>
        <s v="KJ"/>
        <s v="KL"/>
        <s v="TK"/>
      </sharedItems>
    </cacheField>
    <cacheField name="S" numFmtId="0">
      <sharedItems containsBlank="1">
        <m/>
        <s v="KJ"/>
        <s v="HP"/>
        <s v="ER"/>
        <s v="AT"/>
        <s v="EL"/>
        <s v="FR"/>
        <s v="TK"/>
      </sharedItems>
    </cacheField>
    <cacheField name="C" numFmtId="0">
      <sharedItems containsString="0" containsBlank="1">
        <m/>
      </sharedItems>
    </cacheField>
    <cacheField name="Note" numFmtId="0">
      <sharedItems containsBlank="1">
        <s v="OBS! Spilles i Aalborg - Klubcrew: Selvdømmer"/>
        <s v="Klubcrew: Towers"/>
        <s v="Klubcrew: Raptors"/>
        <s v="Klubcrew: Tigers"/>
        <s v="Klubcrew: Demons"/>
        <m/>
        <s v="Flyttet fra Søllerød"/>
        <s v="Flyttet fra Aarhus. TV-kamp"/>
        <s v="TV-kamp"/>
      </sharedItems>
    </cacheField>
    <cacheField name="Antal tilmeldte VK &#10;25-03 23:47" numFmtId="3">
      <sharedItems containsString="0" containsBlank="1" containsNumber="1" containsInteger="1">
        <n v="1.0"/>
        <n v="5.0"/>
        <n v="0.0"/>
        <m/>
      </sharedItems>
    </cacheField>
    <cacheField name="1s" numFmtId="0">
      <sharedItems containsString="0" containsBlank="1" containsNumber="1" containsInteger="1">
        <m/>
        <n v="0.0"/>
        <n v="2.0"/>
      </sharedItems>
    </cacheField>
    <cacheField name="2s" numFmtId="0">
      <sharedItems containsString="0" containsBlank="1" containsNumber="1" containsInteger="1">
        <m/>
        <n v="0.0"/>
        <n v="1.0"/>
      </sharedItems>
    </cacheField>
    <cacheField name="3s" numFmtId="0">
      <sharedItems containsString="0" containsBlank="1" containsNumber="1" containsInteger="1">
        <m/>
        <n v="0.0"/>
        <n v="1.0"/>
      </sharedItems>
    </cacheField>
    <cacheField name="Taske" numFmtId="0">
      <sharedItems containsString="0" containsBlank="1">
        <m/>
      </sharedItems>
    </cacheField>
    <cacheField name="Taske IND" numFmtId="0">
      <sharedItems containsString="0" containsBlank="1">
        <m/>
      </sharedItems>
    </cacheField>
    <cacheField name="Taske UD" numFmtId="0">
      <sharedItems containsString="0" containsBlank="1">
        <m/>
      </sharedItems>
    </cacheField>
    <cacheField name="Betaling" numFmtId="0">
      <sharedItems containsString="0" containsBlank="1">
        <m/>
      </sharedItems>
    </cacheField>
    <cacheField name="Video" numFmtId="0">
      <sharedItems containsString="0" containsBlank="1">
        <m/>
      </sharedItems>
    </cacheField>
    <cacheField name="Gennemseer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Game start" numFmtId="0">
      <sharedItems containsString="0" containsBlank="1">
        <m/>
      </sharedItems>
    </cacheField>
    <cacheField name="Game end" numFmtId="0">
      <sharedItems containsString="0" containsBlank="1">
        <m/>
      </sharedItems>
    </cacheField>
    <cacheField name="Video Exchanged." numFmtId="0">
      <sharedItems containsString="0" containsBlank="1">
        <m/>
      </sharedItems>
    </cacheField>
    <cacheField name="Game time (easy)" numFmtId="0">
      <sharedItems containsBlank="1">
        <m/>
        <s v="0h0m"/>
      </sharedItems>
    </cacheField>
    <cacheField name="Intercut time (min)" numFmtId="0">
      <sharedItems containsString="0" containsBlank="1">
        <m/>
      </sharedItems>
    </cacheField>
    <cacheField name="Exchange of Breakdown data" numFmtId="0">
      <sharedItems containsString="0" containsBlank="1">
        <m/>
      </sharedItems>
    </cacheField>
    <cacheField name="Return of break down data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Upload time" numFmtId="0">
      <sharedItems containsDate="1" containsString="0" containsBlank="1">
        <m/>
        <d v="1899-12-30T00:00:00Z"/>
      </sharedItems>
    </cacheField>
    <cacheField name="Breakdown time" numFmtId="0">
      <sharedItems containsString="0" containsBlank="1">
        <m/>
      </sharedItems>
    </cacheField>
    <cacheField name="Game tim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el 1" cacheId="0" dataCaption="" compact="0" compactData="0">
  <location ref="A1:F13" firstHeaderRow="0" firstDataRow="2" firstDataCol="0"/>
  <pivotFields>
    <pivotField name=" " compact="0" outline="0" multipleItemSelectionAllowed="1" showAll="0">
      <items>
        <item x="0"/>
        <item x="1"/>
        <item t="default"/>
      </items>
    </pivotField>
    <pivotField name="Rund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g" compact="0" outline="0" multipleItemSelectionAllowed="1" showAll="0">
      <items>
        <item x="0"/>
        <item x="1"/>
        <item x="2"/>
        <item t="default"/>
      </items>
    </pivotField>
    <pivotField name="Da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åne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dspunkt" compact="0" numFmtId="164" outline="0" multipleItemSelectionAllowed="1" showAll="0">
      <items>
        <item x="0"/>
        <item x="1"/>
        <item x="2"/>
        <item t="default"/>
      </items>
    </pivotField>
    <pivotField name="Hjem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U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" compact="0" outline="0" multipleItemSelectionAllowed="1" showAll="0">
      <items>
        <item x="0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ntal tilmeldte VK &#10;25-03 23:47" compact="0" numFmtId="3" outline="0" multipleItemSelectionAllowed="1" showAll="0">
      <items>
        <item x="0"/>
        <item x="1"/>
        <item x="2"/>
        <item x="3"/>
        <item t="default"/>
      </items>
    </pivotField>
    <pivotField name="1s" compact="0" outline="0" multipleItemSelectionAllowed="1" showAll="0">
      <items>
        <item x="0"/>
        <item x="1"/>
        <item x="2"/>
        <item t="default"/>
      </items>
    </pivotField>
    <pivotField name="2s" compact="0" outline="0" multipleItemSelectionAllowed="1" showAll="0">
      <items>
        <item x="0"/>
        <item x="1"/>
        <item x="2"/>
        <item t="default"/>
      </items>
    </pivotField>
    <pivotField name="3s" compact="0" outline="0" multipleItemSelectionAllowed="1" showAll="0">
      <items>
        <item x="0"/>
        <item x="1"/>
        <item x="2"/>
        <item t="default"/>
      </items>
    </pivotField>
    <pivotField name="Taske" compact="0" outline="0" multipleItemSelectionAllowed="1" showAll="0">
      <items>
        <item x="0"/>
        <item t="default"/>
      </items>
    </pivotField>
    <pivotField name="Taske IND" compact="0" outline="0" multipleItemSelectionAllowed="1" showAll="0">
      <items>
        <item x="0"/>
        <item t="default"/>
      </items>
    </pivotField>
    <pivotField name="Taske UD" compact="0" outline="0" multipleItemSelectionAllowed="1" showAll="0">
      <items>
        <item x="0"/>
        <item t="default"/>
      </items>
    </pivotField>
    <pivotField name="Betaling" compact="0" outline="0" multipleItemSelectionAllowed="1" showAll="0">
      <items>
        <item x="0"/>
        <item t="default"/>
      </items>
    </pivotField>
    <pivotField name="Video" compact="0" outline="0" multipleItemSelectionAllowed="1" showAll="0">
      <items>
        <item x="0"/>
        <item t="default"/>
      </items>
    </pivotField>
    <pivotField name="Gennemseer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Game start" compact="0" outline="0" multipleItemSelectionAllowed="1" showAll="0">
      <items>
        <item x="0"/>
        <item t="default"/>
      </items>
    </pivotField>
    <pivotField name="Game end" compact="0" outline="0" multipleItemSelectionAllowed="1" showAll="0">
      <items>
        <item x="0"/>
        <item t="default"/>
      </items>
    </pivotField>
    <pivotField name="Video Exchanged." compact="0" outline="0" multipleItemSelectionAllowed="1" showAll="0">
      <items>
        <item x="0"/>
        <item t="default"/>
      </items>
    </pivotField>
    <pivotField name="Game time (easy)" compact="0" outline="0" multipleItemSelectionAllowed="1" showAll="0">
      <items>
        <item x="0"/>
        <item x="1"/>
        <item t="default"/>
      </items>
    </pivotField>
    <pivotField name="Intercut time (min)" compact="0" outline="0" multipleItemSelectionAllowed="1" showAll="0">
      <items>
        <item x="0"/>
        <item t="default"/>
      </items>
    </pivotField>
    <pivotField name="Exchange of Breakdown data" compact="0" outline="0" multipleItemSelectionAllowed="1" showAll="0">
      <items>
        <item x="0"/>
        <item t="default"/>
      </items>
    </pivotField>
    <pivotField name="Return of break down data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Upload time" dataField="1" compact="0" outline="0" multipleItemSelectionAllowed="1" showAll="0">
      <items>
        <item x="0"/>
        <item x="1"/>
        <item t="default"/>
      </items>
    </pivotField>
    <pivotField name="Breakdown time" dataField="1" compact="0" outline="0" multipleItemSelectionAllowed="1" showAll="0">
      <items>
        <item x="0"/>
        <item t="default"/>
      </items>
    </pivotField>
    <pivotField name="Game time" dataField="1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dataFields>
    <dataField name="AVERAGE of Upload time" fld="36" subtotal="average" baseField="0"/>
    <dataField name="MAX of Upload time" fld="36" subtotal="max" baseField="0"/>
    <dataField name="AVERAGE of Breakdown time" fld="37" subtotal="average" baseField="0"/>
    <dataField name="MAX of Breakdown time" fld="37" subtotal="max" baseField="0"/>
    <dataField name="AVERAGE of Game time" fld="38" subtotal="average" baseField="0"/>
  </dataFields>
  <pivotTableStyleInfo name="Google Sheets Pivot Table Style" showRowHeaders="1" showColHeaders="1" showLastColumn="1"/>
</pivotTableDefinition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TargetMode="In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jeppe_s_holm@hotmail.com" TargetMode="External"/><Relationship Id="rId10" Type="http://schemas.openxmlformats.org/officeDocument/2006/relationships/hyperlink" Target="mailto:mads_aakjaer@hotmail.com" TargetMode="External"/><Relationship Id="rId11" Type="http://schemas.openxmlformats.org/officeDocument/2006/relationships/hyperlink" Target="mailto:skjernvej12@gmail.com" TargetMode="External"/><Relationship Id="rId12" Type="http://schemas.openxmlformats.org/officeDocument/2006/relationships/hyperlink" Target="mailto:dommer484@gmail.com" TargetMode="External"/><Relationship Id="rId13" Type="http://schemas.openxmlformats.org/officeDocument/2006/relationships/hyperlink" Target="mailto:mohammed780_2@hotmail.com" TargetMode="External"/><Relationship Id="rId14" Type="http://schemas.openxmlformats.org/officeDocument/2006/relationships/hyperlink" Target="mailto:michael.g.rahbek@gmail.com" TargetMode="External"/><Relationship Id="rId15" Type="http://schemas.openxmlformats.org/officeDocument/2006/relationships/hyperlink" Target="mailto:thsiggaard@gmail.com" TargetMode="External"/><Relationship Id="rId16" Type="http://schemas.openxmlformats.org/officeDocument/2006/relationships/hyperlink" Target="mailto:vincentnordkov@hotmail.com" TargetMode="External"/><Relationship Id="rId17" Type="http://schemas.openxmlformats.org/officeDocument/2006/relationships/drawing" Target="../drawings/drawing2.xml" TargetMode="Internal"/><Relationship Id="rId2" Type="http://schemas.openxmlformats.org/officeDocument/2006/relationships/hyperlink" Target="mailto:nordberg20@gmail.com" TargetMode="External"/><Relationship Id="rId3" Type="http://schemas.openxmlformats.org/officeDocument/2006/relationships/hyperlink" Target="mailto:emilriisgaard@hotmail.com" TargetMode="External"/><Relationship Id="rId4" Type="http://schemas.openxmlformats.org/officeDocument/2006/relationships/hyperlink" Target="mailto:erikrasmussen23@gmail.com" TargetMode="External"/><Relationship Id="rId5" Type="http://schemas.openxmlformats.org/officeDocument/2006/relationships/hyperlink" Target="mailto:fk110871@gmail.com" TargetMode="External"/><Relationship Id="rId6" Type="http://schemas.openxmlformats.org/officeDocument/2006/relationships/hyperlink" Target="mailto:k.m.larzen@gmail.com" TargetMode="External"/><Relationship Id="rId7" Type="http://schemas.openxmlformats.org/officeDocument/2006/relationships/hyperlink" Target="mailto:kim.johannsen@gmail.com" TargetMode="External"/><Relationship Id="rId8" Type="http://schemas.openxmlformats.org/officeDocument/2006/relationships/hyperlink" Target="mailto:mrtn.mkklsn@gmail.com" TargetMode="External"/><Relationship Id="rId9" Type="http://schemas.openxmlformats.org/officeDocument/2006/relationships/hyperlink" Target="mailto:jonaskrum@gmail.com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christian@technobabble.dk" TargetMode="External"/><Relationship Id="rId2" Type="http://schemas.openxmlformats.org/officeDocument/2006/relationships/hyperlink" Target="mailto:pray@live.dk" TargetMode="External"/><Relationship Id="rId3" Type="http://schemas.openxmlformats.org/officeDocument/2006/relationships/hyperlink" Target="mailto:airulf@hotmail.com" TargetMode="External"/><Relationship Id="rId4" Type="http://schemas.openxmlformats.org/officeDocument/2006/relationships/drawing" Target="../drawings/drawing3.xml" TargetMode="In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 TargetMode="In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 TargetMode="In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 TargetMode="In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 TargetMode="In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 TargetMode="In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 TargetMode="In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 TargetMode="In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 TargetMode="Internal"/><Relationship Id="rId2" Type="http://schemas.openxmlformats.org/officeDocument/2006/relationships/drawing" Target="../drawings/drawing12.xml" TargetMode="In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  <pageSetUpPr/>
  </sheetPr>
  <sheetViews>
    <sheetView workbookViewId="0">
      <pane ySplit="1" topLeftCell="A2" activePane="bottomLeft" state="frozen"/>
      <selection pane="bottomLeft" activeCell="AB2" sqref="AB2"/>
    </sheetView>
  </sheetViews>
  <sheetFormatPr baseColWidth="8" defaultColWidth="15.13" defaultRowHeight="15"/>
  <cols>
    <col min="1" max="1" width="15.13" customWidth="1"/>
    <col min="2" max="2" width="7.25" customWidth="1"/>
    <col min="3" max="3" width="6.88" customWidth="1"/>
    <col min="4" max="4" width="4.75" customWidth="1"/>
    <col min="5" max="5" width="9.13" customWidth="1"/>
    <col min="6" max="6" width="8.88" customWidth="1"/>
    <col min="7" max="7" width="11.5" customWidth="1"/>
    <col min="8" max="8" width="12" customWidth="1"/>
    <col min="9" max="9" width="9.25" customWidth="1"/>
    <col min="10" max="10" width="11.75" customWidth="1"/>
    <col min="11" max="11" width="5.88" customWidth="1"/>
    <col min="12" max="12" width="6.75" customWidth="1"/>
    <col min="13" max="16" width="5.88" customWidth="1"/>
    <col min="17" max="17" width="40" customWidth="1"/>
    <col min="18" max="18" width="16.88" customWidth="1"/>
    <col min="19" max="19" width="5.38" hidden="1" customWidth="1"/>
    <col min="20" max="20" width="5.25" hidden="1" customWidth="1"/>
    <col min="21" max="21" width="6.5" hidden="1" customWidth="1"/>
    <col min="22" max="22" width="23.75" customWidth="1"/>
    <col min="23" max="23" width="14.75" customWidth="1"/>
    <col min="24" max="24" width="17" customWidth="1"/>
    <col min="25" max="25" width="7.63" customWidth="1"/>
    <col min="26" max="26" width="5.5" customWidth="1"/>
    <col min="27" max="27" width="11.13" customWidth="1"/>
    <col min="28" max="28" width="16.88" customWidth="1"/>
    <col min="29" max="29" width="9.25" customWidth="1"/>
    <col min="30" max="30" width="8.75" customWidth="1"/>
    <col min="31" max="31" width="9.75" customWidth="1"/>
    <col min="32" max="32" width="14.25" customWidth="1"/>
    <col min="33" max="33" width="14.38" customWidth="1"/>
    <col min="34" max="34" width="13" customWidth="1"/>
    <col min="35" max="35" width="9.63" customWidth="1"/>
    <col min="36" max="36" width="12.63" customWidth="1"/>
    <col min="37" max="37" width="9.88" customWidth="1"/>
    <col min="38" max="38" width="13" customWidth="1"/>
    <col min="39" max="39" width="9.13" customWidth="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4" t="s">
        <v>23</v>
      </c>
      <c r="Y1" s="3" t="s">
        <v>24</v>
      </c>
      <c r="Z1" s="5" t="s">
        <v>25</v>
      </c>
      <c r="AA1" s="4" t="s">
        <v>26</v>
      </c>
      <c r="AB1" s="7" t="s">
        <v>952</v>
      </c>
      <c r="AC1" s="8" t="s">
        <v>27</v>
      </c>
      <c r="AD1" s="8" t="s">
        <v>28</v>
      </c>
      <c r="AE1" s="9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0</v>
      </c>
      <c r="AK1" s="9" t="s">
        <v>34</v>
      </c>
      <c r="AL1" s="8" t="s">
        <v>35</v>
      </c>
      <c r="AM1" s="8" t="s">
        <v>36</v>
      </c>
      <c r="AN1" s="8"/>
      <c r="AO1" s="8"/>
      <c r="AP1" s="8"/>
    </row>
    <row r="2">
      <c r="A2" s="10" t="s">
        <v>37</v>
      </c>
      <c r="B2" s="10">
        <v>0</v>
      </c>
      <c r="C2" s="11" t="s">
        <v>38</v>
      </c>
      <c r="D2" s="11">
        <v>29</v>
      </c>
      <c r="E2" s="11" t="s">
        <v>39</v>
      </c>
      <c r="F2" s="12">
        <v>0.583333333333333</v>
      </c>
      <c r="G2" s="13" t="s">
        <v>40</v>
      </c>
      <c r="H2" s="13" t="s">
        <v>41</v>
      </c>
      <c r="I2" s="14" t="s">
        <v>42</v>
      </c>
      <c r="J2" s="14" t="s">
        <v>43</v>
      </c>
      <c r="K2" s="14" t="s">
        <v>44</v>
      </c>
      <c r="L2" s="14"/>
      <c r="M2" s="13"/>
      <c r="N2" s="13"/>
      <c r="O2" s="13"/>
      <c r="P2" s="13"/>
      <c r="Q2" s="15" t="s">
        <v>45</v>
      </c>
      <c r="R2" s="16">
        <v>1</v>
      </c>
      <c r="S2" s="11"/>
      <c r="T2" s="11"/>
      <c r="U2" s="11"/>
      <c r="V2" s="17"/>
      <c r="W2" s="17"/>
      <c r="X2" s="18"/>
      <c r="Y2" s="18"/>
      <c r="Z2" s="18"/>
      <c r="AA2" s="19"/>
      <c r="AB2" s="7"/>
      <c r="AC2" s="20"/>
      <c r="AD2" s="20"/>
      <c r="AE2" s="21"/>
      <c r="AF2" s="22"/>
      <c r="AG2" s="23"/>
      <c r="AH2" s="20"/>
      <c r="AI2" s="23"/>
      <c r="AJ2" s="23"/>
      <c r="AK2" s="24"/>
      <c r="AL2" s="25"/>
      <c r="AM2" s="26"/>
      <c r="AN2" s="26"/>
      <c r="AO2" s="26"/>
      <c r="AP2" s="26"/>
    </row>
    <row r="3">
      <c r="A3" s="10" t="s">
        <v>37</v>
      </c>
      <c r="B3" s="10">
        <v>0</v>
      </c>
      <c r="C3" s="11" t="s">
        <v>38</v>
      </c>
      <c r="D3" s="11">
        <v>29</v>
      </c>
      <c r="E3" s="27" t="s">
        <v>39</v>
      </c>
      <c r="F3" s="12">
        <v>0.583333333333333</v>
      </c>
      <c r="G3" s="13" t="s">
        <v>46</v>
      </c>
      <c r="H3" s="13" t="s">
        <v>47</v>
      </c>
      <c r="I3" s="14" t="s">
        <v>48</v>
      </c>
      <c r="J3" s="14" t="s">
        <v>49</v>
      </c>
      <c r="K3" s="14" t="s">
        <v>50</v>
      </c>
      <c r="L3" s="14" t="s">
        <v>51</v>
      </c>
      <c r="M3" s="13"/>
      <c r="N3" s="13"/>
      <c r="O3" s="13"/>
      <c r="P3" s="13"/>
      <c r="Q3" s="28" t="s">
        <v>52</v>
      </c>
      <c r="R3" s="16">
        <v>5</v>
      </c>
      <c r="S3" s="11"/>
      <c r="T3" s="11"/>
      <c r="U3" s="11"/>
      <c r="V3" s="17"/>
      <c r="W3" s="17"/>
      <c r="X3" s="18"/>
      <c r="Y3" s="18"/>
      <c r="Z3" s="18"/>
      <c r="AA3" s="19"/>
      <c r="AB3" s="7"/>
      <c r="AC3" s="20"/>
      <c r="AD3" s="20"/>
      <c r="AE3" s="21"/>
      <c r="AF3" s="22"/>
      <c r="AG3" s="23"/>
      <c r="AH3" s="20"/>
      <c r="AI3" s="23"/>
      <c r="AJ3" s="23"/>
      <c r="AK3" s="24"/>
      <c r="AL3" s="25"/>
      <c r="AM3" s="26"/>
      <c r="AN3" s="26"/>
      <c r="AO3" s="26"/>
      <c r="AP3" s="26"/>
    </row>
    <row r="4">
      <c r="A4" s="10" t="s">
        <v>37</v>
      </c>
      <c r="B4" s="10">
        <v>0</v>
      </c>
      <c r="C4" s="11" t="s">
        <v>53</v>
      </c>
      <c r="D4" s="11">
        <v>30</v>
      </c>
      <c r="E4" s="11" t="s">
        <v>39</v>
      </c>
      <c r="F4" s="12">
        <v>0.583333333333333</v>
      </c>
      <c r="G4" s="13" t="s">
        <v>54</v>
      </c>
      <c r="H4" s="13" t="s">
        <v>55</v>
      </c>
      <c r="I4" s="14" t="s">
        <v>56</v>
      </c>
      <c r="J4" s="14" t="s">
        <v>57</v>
      </c>
      <c r="K4" s="14" t="s">
        <v>58</v>
      </c>
      <c r="L4" s="14" t="s">
        <v>49</v>
      </c>
      <c r="M4" s="13"/>
      <c r="N4" s="13"/>
      <c r="O4" s="13"/>
      <c r="P4" s="13"/>
      <c r="Q4" s="28" t="s">
        <v>59</v>
      </c>
      <c r="R4" s="16">
        <v>0</v>
      </c>
      <c r="S4" s="11"/>
      <c r="T4" s="11"/>
      <c r="U4" s="11"/>
      <c r="V4" s="17"/>
      <c r="W4" s="17"/>
      <c r="X4" s="18"/>
      <c r="Y4" s="18"/>
      <c r="Z4" s="18"/>
      <c r="AA4" s="19"/>
      <c r="AB4" s="7"/>
      <c r="AC4" s="20"/>
      <c r="AD4" s="20"/>
      <c r="AE4" s="21"/>
      <c r="AF4" s="22"/>
      <c r="AG4" s="23"/>
      <c r="AH4" s="20"/>
      <c r="AI4" s="23"/>
      <c r="AJ4" s="23"/>
      <c r="AK4" s="24"/>
      <c r="AL4" s="25"/>
      <c r="AM4" s="26"/>
      <c r="AN4" s="26"/>
      <c r="AO4" s="26"/>
      <c r="AP4" s="26"/>
    </row>
    <row r="5">
      <c r="A5" s="10" t="s">
        <v>37</v>
      </c>
      <c r="B5" s="10">
        <v>1</v>
      </c>
      <c r="C5" s="11" t="s">
        <v>38</v>
      </c>
      <c r="D5" s="11">
        <v>5</v>
      </c>
      <c r="E5" s="11" t="s">
        <v>60</v>
      </c>
      <c r="F5" s="12">
        <v>0.583333333333333</v>
      </c>
      <c r="G5" s="13" t="s">
        <v>55</v>
      </c>
      <c r="H5" s="13" t="s">
        <v>61</v>
      </c>
      <c r="I5" s="14" t="s">
        <v>62</v>
      </c>
      <c r="J5" s="14" t="s">
        <v>43</v>
      </c>
      <c r="K5" s="14" t="s">
        <v>42</v>
      </c>
      <c r="L5" s="14" t="s">
        <v>63</v>
      </c>
      <c r="M5" s="13"/>
      <c r="N5" s="13"/>
      <c r="O5" s="13"/>
      <c r="P5" s="13"/>
      <c r="Q5" s="28" t="s">
        <v>64</v>
      </c>
      <c r="R5" s="16">
        <v>0</v>
      </c>
      <c r="S5" s="11"/>
      <c r="T5" s="11"/>
      <c r="U5" s="11"/>
      <c r="V5" s="17"/>
      <c r="W5" s="17"/>
      <c r="X5" s="18"/>
      <c r="Y5" s="18"/>
      <c r="Z5" s="18"/>
      <c r="AA5" s="19"/>
      <c r="AB5" s="7"/>
      <c r="AC5" s="20"/>
      <c r="AD5" s="20"/>
      <c r="AE5" s="21"/>
      <c r="AF5" s="22"/>
      <c r="AG5" s="23"/>
      <c r="AH5" s="20"/>
      <c r="AI5" s="23"/>
      <c r="AJ5" s="23"/>
      <c r="AK5" s="24"/>
      <c r="AL5" s="25"/>
      <c r="AM5" s="26"/>
      <c r="AN5" s="26"/>
      <c r="AO5" s="26"/>
      <c r="AP5" s="26"/>
    </row>
    <row r="6">
      <c r="A6" s="29" t="s">
        <v>37</v>
      </c>
      <c r="B6" s="29">
        <v>1</v>
      </c>
      <c r="C6" s="30" t="s">
        <v>53</v>
      </c>
      <c r="D6" s="30">
        <v>6</v>
      </c>
      <c r="E6" s="30" t="s">
        <v>60</v>
      </c>
      <c r="F6" s="31">
        <v>0.583333333333333</v>
      </c>
      <c r="G6" s="32" t="s">
        <v>46</v>
      </c>
      <c r="H6" s="32" t="s">
        <v>40</v>
      </c>
      <c r="I6" s="33" t="s">
        <v>65</v>
      </c>
      <c r="J6" s="33" t="s">
        <v>66</v>
      </c>
      <c r="K6" s="33" t="s">
        <v>48</v>
      </c>
      <c r="L6" s="33" t="s">
        <v>58</v>
      </c>
      <c r="M6" s="32"/>
      <c r="N6" s="32"/>
      <c r="O6" s="32"/>
      <c r="P6" s="32"/>
      <c r="Q6" s="34" t="s">
        <v>67</v>
      </c>
      <c r="R6" s="35">
        <v>0</v>
      </c>
      <c r="S6" s="36"/>
      <c r="T6" s="36"/>
      <c r="U6" s="36"/>
      <c r="V6" s="36"/>
      <c r="W6" s="36"/>
      <c r="X6" s="19"/>
      <c r="Y6" s="19"/>
      <c r="Z6" s="19"/>
      <c r="AA6" s="19"/>
      <c r="AB6" s="7"/>
      <c r="AC6" s="20"/>
      <c r="AD6" s="20"/>
      <c r="AE6" s="21"/>
      <c r="AF6" s="22"/>
      <c r="AG6" s="23"/>
      <c r="AH6" s="20"/>
      <c r="AI6" s="23"/>
      <c r="AJ6" s="23"/>
      <c r="AK6" s="24"/>
      <c r="AL6" s="25"/>
      <c r="AM6" s="26"/>
      <c r="AN6" s="26"/>
      <c r="AO6" s="26"/>
      <c r="AP6" s="26"/>
    </row>
    <row r="7">
      <c r="A7" s="37" t="s">
        <v>68</v>
      </c>
      <c r="B7" s="38">
        <v>2</v>
      </c>
      <c r="C7" s="39" t="s">
        <v>38</v>
      </c>
      <c r="D7" s="40">
        <v>12</v>
      </c>
      <c r="E7" s="39" t="s">
        <v>60</v>
      </c>
      <c r="F7" s="41">
        <v>0.541666666666667</v>
      </c>
      <c r="G7" s="13" t="s">
        <v>40</v>
      </c>
      <c r="H7" s="13" t="s">
        <v>69</v>
      </c>
      <c r="I7" s="42" t="s">
        <v>48</v>
      </c>
      <c r="J7" s="43" t="s">
        <v>70</v>
      </c>
      <c r="K7" s="43" t="s">
        <v>49</v>
      </c>
      <c r="L7" s="43" t="s">
        <v>71</v>
      </c>
      <c r="M7" s="43" t="s">
        <v>44</v>
      </c>
      <c r="N7" s="43" t="s">
        <v>72</v>
      </c>
      <c r="O7" s="43" t="s">
        <v>65</v>
      </c>
      <c r="P7" s="44"/>
      <c r="Q7" s="15"/>
      <c r="R7" s="45"/>
      <c r="S7" s="8"/>
      <c r="T7" s="8"/>
      <c r="U7" s="8"/>
      <c r="V7" s="45"/>
      <c r="W7" s="45"/>
      <c r="X7" s="19"/>
      <c r="Y7" s="19"/>
      <c r="Z7" s="19"/>
      <c r="AA7" s="19"/>
      <c r="AB7" s="7" t="str">
        <f>D7&amp;E7&amp;"-"&amp;G7&amp;"-v-"&amp;H7</f>
        <v>12April-Tigers-v-89ers</v>
      </c>
      <c r="AC7" s="20"/>
      <c r="AD7" s="20"/>
      <c r="AE7" s="21"/>
      <c r="AF7" s="22"/>
      <c r="AG7" s="23"/>
      <c r="AH7" s="20"/>
      <c r="AI7" s="23"/>
      <c r="AJ7" s="23"/>
      <c r="AK7" s="24"/>
      <c r="AL7" s="25"/>
      <c r="AM7" s="26"/>
      <c r="AN7" s="26"/>
      <c r="AO7" s="26"/>
      <c r="AP7" s="26"/>
    </row>
    <row r="8">
      <c r="A8" s="37" t="s">
        <v>68</v>
      </c>
      <c r="B8" s="46">
        <v>2</v>
      </c>
      <c r="C8" s="39" t="s">
        <v>53</v>
      </c>
      <c r="D8" s="40">
        <v>13</v>
      </c>
      <c r="E8" s="39" t="s">
        <v>60</v>
      </c>
      <c r="F8" s="41">
        <v>0.541666666666667</v>
      </c>
      <c r="G8" s="13" t="s">
        <v>46</v>
      </c>
      <c r="H8" s="13" t="s">
        <v>55</v>
      </c>
      <c r="I8" s="47" t="s">
        <v>56</v>
      </c>
      <c r="J8" s="48" t="s">
        <v>49</v>
      </c>
      <c r="K8" s="48" t="s">
        <v>66</v>
      </c>
      <c r="L8" s="48" t="s">
        <v>73</v>
      </c>
      <c r="M8" s="48" t="s">
        <v>50</v>
      </c>
      <c r="N8" s="48" t="s">
        <v>51</v>
      </c>
      <c r="O8" s="48" t="s">
        <v>58</v>
      </c>
      <c r="P8" s="49"/>
      <c r="Q8" s="50"/>
      <c r="R8" s="51"/>
      <c r="S8" s="8"/>
      <c r="T8" s="8"/>
      <c r="U8" s="8"/>
      <c r="V8" s="45"/>
      <c r="W8" s="45"/>
      <c r="X8" s="19"/>
      <c r="Y8" s="19"/>
      <c r="Z8" s="19"/>
      <c r="AA8" s="19"/>
      <c r="AB8" s="7" t="str">
        <f>D8&amp;E8&amp;"-"&amp;G8&amp;"-v-"&amp;H8</f>
        <v>13April-Oaks-v-Razorbacks</v>
      </c>
      <c r="AC8" s="20"/>
      <c r="AD8" s="20"/>
      <c r="AE8" s="21"/>
      <c r="AF8" s="22"/>
      <c r="AG8" s="23"/>
      <c r="AH8" s="20"/>
      <c r="AI8" s="23"/>
      <c r="AJ8" s="23"/>
      <c r="AK8" s="24"/>
      <c r="AL8" s="25"/>
      <c r="AM8" s="26"/>
      <c r="AN8" s="26"/>
      <c r="AO8" s="26"/>
      <c r="AP8" s="26"/>
    </row>
    <row r="9">
      <c r="A9" s="37" t="s">
        <v>68</v>
      </c>
      <c r="B9" s="46">
        <v>4</v>
      </c>
      <c r="C9" s="39" t="s">
        <v>53</v>
      </c>
      <c r="D9" s="40">
        <v>27</v>
      </c>
      <c r="E9" s="39" t="s">
        <v>60</v>
      </c>
      <c r="F9" s="41">
        <v>0.541666666666667</v>
      </c>
      <c r="G9" s="13" t="s">
        <v>55</v>
      </c>
      <c r="H9" s="13" t="s">
        <v>69</v>
      </c>
      <c r="I9" s="47" t="s">
        <v>74</v>
      </c>
      <c r="J9" s="47" t="s">
        <v>75</v>
      </c>
      <c r="K9" s="47" t="s">
        <v>62</v>
      </c>
      <c r="L9" s="48" t="s">
        <v>76</v>
      </c>
      <c r="M9" s="48" t="s">
        <v>51</v>
      </c>
      <c r="N9" s="48" t="s">
        <v>65</v>
      </c>
      <c r="O9" s="48" t="s">
        <v>72</v>
      </c>
      <c r="P9" s="52"/>
      <c r="Q9" s="15"/>
      <c r="R9" s="17"/>
      <c r="S9" s="17"/>
      <c r="T9" s="53"/>
      <c r="U9" s="53"/>
      <c r="V9" s="17"/>
      <c r="W9" s="17"/>
      <c r="X9" s="15"/>
      <c r="Y9" s="19"/>
      <c r="Z9" s="19"/>
      <c r="AA9" s="19"/>
      <c r="AB9" s="7" t="str">
        <f>D9&amp;E9&amp;"-"&amp;G9&amp;"-v-"&amp;H9</f>
        <v>27April-Razorbacks-v-89ers</v>
      </c>
      <c r="AC9" s="20"/>
      <c r="AD9" s="20"/>
      <c r="AE9" s="21"/>
      <c r="AF9" s="22"/>
      <c r="AG9" s="23"/>
      <c r="AH9" s="20"/>
      <c r="AI9" s="23"/>
      <c r="AJ9" s="23"/>
      <c r="AK9" s="24"/>
      <c r="AL9" s="25"/>
      <c r="AM9" s="26"/>
      <c r="AN9" s="26"/>
      <c r="AO9" s="26"/>
      <c r="AP9" s="26"/>
    </row>
    <row ht="15" customHeight="1" r="10">
      <c r="A10" s="37" t="s">
        <v>68</v>
      </c>
      <c r="B10" s="46">
        <v>4</v>
      </c>
      <c r="C10" s="39" t="s">
        <v>53</v>
      </c>
      <c r="D10" s="40">
        <v>27</v>
      </c>
      <c r="E10" s="39" t="s">
        <v>60</v>
      </c>
      <c r="F10" s="41">
        <v>0.541666666666667</v>
      </c>
      <c r="G10" s="13" t="s">
        <v>40</v>
      </c>
      <c r="H10" s="13" t="s">
        <v>77</v>
      </c>
      <c r="I10" s="47" t="s">
        <v>56</v>
      </c>
      <c r="J10" s="48" t="s">
        <v>43</v>
      </c>
      <c r="K10" s="48" t="s">
        <v>78</v>
      </c>
      <c r="L10" s="48" t="s">
        <v>48</v>
      </c>
      <c r="M10" s="48" t="s">
        <v>44</v>
      </c>
      <c r="N10" s="48" t="s">
        <v>79</v>
      </c>
      <c r="O10" s="48" t="s">
        <v>50</v>
      </c>
      <c r="P10" s="48"/>
      <c r="Q10" s="15" t="s">
        <v>80</v>
      </c>
      <c r="R10" s="17"/>
      <c r="S10" s="17"/>
      <c r="T10" s="54"/>
      <c r="U10" s="54"/>
      <c r="V10" s="17"/>
      <c r="W10" s="17"/>
      <c r="X10" s="15"/>
      <c r="Y10" s="19"/>
      <c r="Z10" s="19"/>
      <c r="AA10" s="19"/>
      <c r="AB10" s="7" t="str">
        <f>D10&amp;E10&amp;"-"&amp;G10&amp;"-v-"&amp;H10</f>
        <v>27April-Tigers-v-Gold Diggers</v>
      </c>
      <c r="AC10" s="20"/>
      <c r="AD10" s="20"/>
      <c r="AE10" s="21"/>
      <c r="AF10" s="22"/>
      <c r="AG10" s="23"/>
      <c r="AH10" s="20"/>
      <c r="AI10" s="23"/>
      <c r="AJ10" s="23"/>
      <c r="AK10" s="24"/>
      <c r="AL10" s="25"/>
      <c r="AM10" s="26"/>
      <c r="AN10" s="26"/>
      <c r="AO10" s="26"/>
      <c r="AP10" s="26"/>
    </row>
    <row r="11">
      <c r="A11" s="37" t="s">
        <v>68</v>
      </c>
      <c r="B11" s="46">
        <v>5</v>
      </c>
      <c r="C11" s="39" t="s">
        <v>81</v>
      </c>
      <c r="D11" s="40">
        <v>2</v>
      </c>
      <c r="E11" s="39" t="s">
        <v>82</v>
      </c>
      <c r="F11" s="41">
        <v>0.791666666666667</v>
      </c>
      <c r="G11" s="13" t="s">
        <v>46</v>
      </c>
      <c r="H11" s="13" t="s">
        <v>54</v>
      </c>
      <c r="I11" s="47" t="s">
        <v>66</v>
      </c>
      <c r="J11" s="48" t="s">
        <v>56</v>
      </c>
      <c r="K11" s="48" t="s">
        <v>83</v>
      </c>
      <c r="L11" s="48" t="s">
        <v>48</v>
      </c>
      <c r="M11" s="55" t="s">
        <v>84</v>
      </c>
      <c r="N11" s="48" t="s">
        <v>65</v>
      </c>
      <c r="O11" s="48" t="s">
        <v>72</v>
      </c>
      <c r="P11" s="13"/>
      <c r="Q11" s="50"/>
      <c r="R11" s="17"/>
      <c r="S11" s="11">
        <f>COUNTIF('Status data'!$A5:$H5,"1")</f>
        <v>0</v>
      </c>
      <c r="T11" s="11">
        <f>COUNTIF('Status data'!$A5:$H5,"2")</f>
        <v>0</v>
      </c>
      <c r="U11" s="11">
        <f>COUNTIF('Status data'!$A5:$H5,"3")</f>
        <v>0</v>
      </c>
      <c r="V11" s="17"/>
      <c r="W11" s="45"/>
      <c r="X11" s="19"/>
      <c r="Y11" s="19"/>
      <c r="Z11" s="19"/>
      <c r="AA11" s="19"/>
      <c r="AB11" s="7" t="str">
        <f>D11&amp;E11&amp;"-"&amp;G11&amp;"-v-"&amp;H11</f>
        <v>2Maj-Oaks-v-Towers</v>
      </c>
      <c r="AC11" s="20"/>
      <c r="AD11" s="20"/>
      <c r="AE11" s="21"/>
      <c r="AF11" s="22"/>
      <c r="AG11" s="23"/>
      <c r="AH11" s="20"/>
      <c r="AI11" s="23"/>
      <c r="AJ11" s="23"/>
      <c r="AK11" s="24"/>
      <c r="AL11" s="25"/>
      <c r="AM11" s="26"/>
      <c r="AN11" s="26"/>
      <c r="AO11" s="26"/>
      <c r="AP11" s="26"/>
    </row>
    <row r="12">
      <c r="A12" s="10" t="s">
        <v>68</v>
      </c>
      <c r="B12" s="46">
        <v>6</v>
      </c>
      <c r="C12" s="11" t="s">
        <v>38</v>
      </c>
      <c r="D12" s="56">
        <v>10</v>
      </c>
      <c r="E12" s="11" t="s">
        <v>82</v>
      </c>
      <c r="F12" s="12">
        <v>0.541666666666667</v>
      </c>
      <c r="G12" s="13" t="s">
        <v>69</v>
      </c>
      <c r="H12" s="13" t="s">
        <v>46</v>
      </c>
      <c r="I12" s="14" t="s">
        <v>63</v>
      </c>
      <c r="J12" s="14" t="s">
        <v>43</v>
      </c>
      <c r="K12" s="57" t="s">
        <v>62</v>
      </c>
      <c r="L12" s="14" t="s">
        <v>85</v>
      </c>
      <c r="M12" s="14" t="s">
        <v>44</v>
      </c>
      <c r="N12" s="14" t="s">
        <v>79</v>
      </c>
      <c r="O12" s="14" t="s">
        <v>58</v>
      </c>
      <c r="P12" s="13"/>
      <c r="Q12" s="50"/>
      <c r="R12" s="17"/>
      <c r="S12" s="11">
        <f>COUNTIF('Status data'!$A6:$H6,"1")</f>
        <v>2</v>
      </c>
      <c r="T12" s="11">
        <f>COUNTIF('Status data'!$A6:$H6,"2")</f>
        <v>1</v>
      </c>
      <c r="U12" s="11">
        <f>COUNTIF('Status data'!$A6:$H6,"3")</f>
        <v>1</v>
      </c>
      <c r="V12" s="17"/>
      <c r="W12" s="17"/>
      <c r="X12" s="18"/>
      <c r="Y12" s="18"/>
      <c r="Z12" s="18"/>
      <c r="AA12" s="18"/>
      <c r="AB12" s="7" t="str">
        <f>D12&amp;E12&amp;"-"&amp;G12&amp;"-v-"&amp;H12</f>
        <v>10Maj-89ers-v-Oaks</v>
      </c>
      <c r="AC12" s="20"/>
      <c r="AD12" s="20"/>
      <c r="AE12" s="20"/>
      <c r="AF12" s="22"/>
      <c r="AG12" s="23"/>
      <c r="AH12" s="59"/>
      <c r="AI12" s="23"/>
      <c r="AJ12" s="23"/>
      <c r="AK12" s="24"/>
      <c r="AL12" s="25"/>
      <c r="AM12" s="26"/>
      <c r="AN12" s="26"/>
      <c r="AO12" s="26"/>
      <c r="AP12" s="26"/>
    </row>
    <row r="13">
      <c r="A13" s="10" t="s">
        <v>68</v>
      </c>
      <c r="B13" s="46">
        <v>6</v>
      </c>
      <c r="C13" s="11" t="s">
        <v>53</v>
      </c>
      <c r="D13" s="56">
        <v>11</v>
      </c>
      <c r="E13" s="11" t="s">
        <v>82</v>
      </c>
      <c r="F13" s="12">
        <v>0.541666666666667</v>
      </c>
      <c r="G13" s="13" t="s">
        <v>77</v>
      </c>
      <c r="H13" s="13" t="s">
        <v>40</v>
      </c>
      <c r="I13" s="14" t="s">
        <v>57</v>
      </c>
      <c r="J13" s="14" t="s">
        <v>56</v>
      </c>
      <c r="K13" s="14" t="s">
        <v>83</v>
      </c>
      <c r="L13" s="57" t="s">
        <v>49</v>
      </c>
      <c r="M13" s="14" t="s">
        <v>50</v>
      </c>
      <c r="N13" s="14" t="s">
        <v>65</v>
      </c>
      <c r="O13" s="14" t="s">
        <v>51</v>
      </c>
      <c r="P13" s="57"/>
      <c r="Q13" s="15" t="s">
        <v>86</v>
      </c>
      <c r="R13" s="17"/>
      <c r="S13" s="11">
        <f>COUNTIF('Status data'!$A7:$H7,"1")</f>
        <v>0</v>
      </c>
      <c r="T13" s="11">
        <f>COUNTIF('Status data'!$A7:$H7,"2")</f>
        <v>0</v>
      </c>
      <c r="U13" s="11">
        <f>COUNTIF('Status data'!$A7:$H7,"3")</f>
        <v>0</v>
      </c>
      <c r="V13" s="17"/>
      <c r="W13" s="17"/>
      <c r="X13" s="18"/>
      <c r="Y13" s="18"/>
      <c r="Z13" s="18"/>
      <c r="AA13" s="18"/>
      <c r="AB13" s="7" t="str">
        <f>D13&amp;E13&amp;"-"&amp;G13&amp;"-v-"&amp;H13</f>
        <v>11Maj-Gold Diggers-v-Tigers</v>
      </c>
      <c r="AC13" s="20"/>
      <c r="AD13" s="20"/>
      <c r="AE13" s="20"/>
      <c r="AF13" s="22"/>
      <c r="AG13" s="23"/>
      <c r="AH13" s="59"/>
      <c r="AI13" s="23"/>
      <c r="AJ13" s="23"/>
      <c r="AK13" s="24"/>
      <c r="AL13" s="25"/>
      <c r="AM13" s="26"/>
      <c r="AN13" s="26"/>
      <c r="AO13" s="26"/>
      <c r="AP13" s="26"/>
    </row>
    <row r="14">
      <c r="A14" s="10" t="s">
        <v>68</v>
      </c>
      <c r="B14" s="46">
        <v>8</v>
      </c>
      <c r="C14" s="11" t="s">
        <v>38</v>
      </c>
      <c r="D14" s="56">
        <v>24</v>
      </c>
      <c r="E14" s="11" t="s">
        <v>82</v>
      </c>
      <c r="F14" s="12">
        <v>0.541666666666667</v>
      </c>
      <c r="G14" s="13" t="s">
        <v>46</v>
      </c>
      <c r="H14" s="13" t="s">
        <v>40</v>
      </c>
      <c r="I14" s="14" t="s">
        <v>84</v>
      </c>
      <c r="J14" s="14" t="s">
        <v>56</v>
      </c>
      <c r="K14" s="14" t="s">
        <v>83</v>
      </c>
      <c r="L14" s="14" t="s">
        <v>85</v>
      </c>
      <c r="M14" s="57" t="s">
        <v>65</v>
      </c>
      <c r="N14" s="14" t="s">
        <v>87</v>
      </c>
      <c r="O14" s="57" t="s">
        <v>72</v>
      </c>
      <c r="P14" s="60"/>
      <c r="Q14" s="50"/>
      <c r="R14" s="17"/>
      <c r="S14" s="11">
        <f>COUNTIF('Status data'!$A8:$H8,"1")</f>
        <v>0</v>
      </c>
      <c r="T14" s="11">
        <f>COUNTIF('Status data'!$A8:$H8,"2")</f>
        <v>0</v>
      </c>
      <c r="U14" s="11">
        <f>COUNTIF('Status data'!$A8:$H8,"3")</f>
        <v>0</v>
      </c>
      <c r="V14" s="17"/>
      <c r="W14" s="17"/>
      <c r="X14" s="18"/>
      <c r="Y14" s="18"/>
      <c r="Z14" s="18"/>
      <c r="AA14" s="18"/>
      <c r="AB14" s="7" t="str">
        <f>D14&amp;E14&amp;"-"&amp;G14&amp;"-v-"&amp;H14</f>
        <v>24Maj-Oaks-v-Tigers</v>
      </c>
      <c r="AC14" s="21"/>
      <c r="AD14" s="20"/>
      <c r="AE14" s="61"/>
      <c r="AF14" s="22"/>
      <c r="AG14" s="62"/>
      <c r="AH14" s="63"/>
      <c r="AI14" s="62"/>
      <c r="AJ14" s="62"/>
      <c r="AK14" s="62"/>
      <c r="AL14" s="62"/>
      <c r="AM14" s="62"/>
      <c r="AN14" s="62"/>
      <c r="AO14" s="62"/>
      <c r="AP14" s="62"/>
    </row>
    <row r="15">
      <c r="A15" s="10" t="s">
        <v>68</v>
      </c>
      <c r="B15" s="46">
        <v>8</v>
      </c>
      <c r="C15" s="11" t="s">
        <v>53</v>
      </c>
      <c r="D15" s="56">
        <v>25</v>
      </c>
      <c r="E15" s="11" t="s">
        <v>82</v>
      </c>
      <c r="F15" s="12">
        <v>0.541666666666667</v>
      </c>
      <c r="G15" s="13" t="s">
        <v>55</v>
      </c>
      <c r="H15" s="13" t="s">
        <v>77</v>
      </c>
      <c r="I15" s="14" t="s">
        <v>63</v>
      </c>
      <c r="J15" s="14" t="s">
        <v>56</v>
      </c>
      <c r="K15" s="14" t="s">
        <v>62</v>
      </c>
      <c r="L15" s="14" t="s">
        <v>58</v>
      </c>
      <c r="M15" s="14" t="s">
        <v>44</v>
      </c>
      <c r="N15" s="14" t="s">
        <v>79</v>
      </c>
      <c r="O15" s="14" t="s">
        <v>48</v>
      </c>
      <c r="P15" s="60"/>
      <c r="Q15" s="50"/>
      <c r="R15" s="17"/>
      <c r="S15" s="11">
        <f>COUNTIF('Status data'!$A9:$H9,"1")</f>
        <v>0</v>
      </c>
      <c r="T15" s="11">
        <f>COUNTIF('Status data'!$A9:$H9,"2")</f>
        <v>0</v>
      </c>
      <c r="U15" s="11">
        <f>COUNTIF('Status data'!$A9:$H9,"3")</f>
        <v>0</v>
      </c>
      <c r="V15" s="17"/>
      <c r="W15" s="17"/>
      <c r="X15" s="18"/>
      <c r="Y15" s="18"/>
      <c r="Z15" s="18"/>
      <c r="AA15" s="18"/>
      <c r="AB15" s="7" t="str">
        <f>D15&amp;E15&amp;"-"&amp;G15&amp;"-v-"&amp;H15</f>
        <v>25Maj-Razorbacks-v-Gold Diggers</v>
      </c>
      <c r="AC15" s="21"/>
      <c r="AD15" s="20"/>
      <c r="AE15" s="61"/>
      <c r="AF15" s="22" t="str">
        <f>HOUR(AD15-AC15)&amp;"h"&amp;minute(AD15-AC15)&amp;"m"</f>
        <v>0h0m</v>
      </c>
      <c r="AG15" s="62"/>
      <c r="AH15" s="63"/>
      <c r="AI15" s="62"/>
      <c r="AJ15" s="62"/>
      <c r="AK15" s="62">
        <f>AE15-AD15</f>
        <v>0</v>
      </c>
      <c r="AL15" s="62"/>
      <c r="AM15" s="62"/>
      <c r="AN15" s="62"/>
      <c r="AO15" s="62"/>
      <c r="AP15" s="62"/>
    </row>
    <row r="16">
      <c r="A16" s="10" t="s">
        <v>68</v>
      </c>
      <c r="B16" s="46">
        <v>9</v>
      </c>
      <c r="C16" s="11" t="s">
        <v>38</v>
      </c>
      <c r="D16" s="56">
        <v>31</v>
      </c>
      <c r="E16" s="11" t="s">
        <v>82</v>
      </c>
      <c r="F16" s="12">
        <v>0.541666666666667</v>
      </c>
      <c r="G16" s="13" t="s">
        <v>69</v>
      </c>
      <c r="H16" s="13" t="s">
        <v>54</v>
      </c>
      <c r="I16" s="14" t="s">
        <v>63</v>
      </c>
      <c r="J16" s="14" t="s">
        <v>43</v>
      </c>
      <c r="K16" s="14" t="s">
        <v>88</v>
      </c>
      <c r="L16" s="14" t="s">
        <v>48</v>
      </c>
      <c r="M16" s="14" t="s">
        <v>44</v>
      </c>
      <c r="N16" s="14" t="s">
        <v>79</v>
      </c>
      <c r="O16" s="14" t="s">
        <v>65</v>
      </c>
      <c r="P16" s="64"/>
      <c r="Q16" s="50" t="s">
        <v>89</v>
      </c>
      <c r="R16" s="17"/>
      <c r="S16" s="11">
        <f>COUNTIF('Status data'!$A10:$H10,"1")</f>
        <v>0</v>
      </c>
      <c r="T16" s="11">
        <f>COUNTIF('Status data'!$A10:$H10,"2")</f>
        <v>0</v>
      </c>
      <c r="U16" s="11">
        <f>COUNTIF('Status data'!$A10:$H10,"3")</f>
        <v>0</v>
      </c>
      <c r="V16" s="17"/>
      <c r="W16" s="17"/>
      <c r="X16" s="18"/>
      <c r="Y16" s="18"/>
      <c r="Z16" s="18"/>
      <c r="AA16" s="18"/>
      <c r="AB16" s="7" t="str">
        <f>D16&amp;E16&amp;"-"&amp;G16&amp;"-v-"&amp;H16</f>
        <v>31Maj-89ers-v-Towers</v>
      </c>
      <c r="AC16" s="20"/>
      <c r="AD16" s="20"/>
      <c r="AE16" s="65"/>
      <c r="AF16" s="22"/>
      <c r="AG16" s="66"/>
      <c r="AH16" s="62"/>
      <c r="AI16" s="62"/>
      <c r="AJ16" s="62"/>
      <c r="AK16" s="62"/>
      <c r="AL16" s="62"/>
      <c r="AM16" s="62"/>
      <c r="AN16" s="62"/>
      <c r="AO16" s="62"/>
      <c r="AP16" s="62"/>
    </row>
    <row r="17">
      <c r="A17" s="10" t="s">
        <v>68</v>
      </c>
      <c r="B17" s="46">
        <v>10</v>
      </c>
      <c r="C17" s="11" t="s">
        <v>38</v>
      </c>
      <c r="D17" s="56">
        <v>7</v>
      </c>
      <c r="E17" s="11" t="s">
        <v>90</v>
      </c>
      <c r="F17" s="12">
        <v>0.541666666666667</v>
      </c>
      <c r="G17" s="13" t="s">
        <v>77</v>
      </c>
      <c r="H17" s="13" t="s">
        <v>69</v>
      </c>
      <c r="I17" s="14" t="s">
        <v>84</v>
      </c>
      <c r="J17" s="14" t="s">
        <v>56</v>
      </c>
      <c r="K17" s="14" t="s">
        <v>88</v>
      </c>
      <c r="L17" s="14" t="s">
        <v>58</v>
      </c>
      <c r="M17" s="14" t="s">
        <v>48</v>
      </c>
      <c r="N17" s="14" t="s">
        <v>72</v>
      </c>
      <c r="O17" s="14" t="s">
        <v>65</v>
      </c>
      <c r="P17" s="57"/>
      <c r="Q17" s="50"/>
      <c r="R17" s="17"/>
      <c r="S17" s="11">
        <f>COUNTIF('Status data'!$A11:$H11,"1")</f>
        <v>0</v>
      </c>
      <c r="T17" s="11">
        <f>COUNTIF('Status data'!$A11:$H11,"2")</f>
        <v>0</v>
      </c>
      <c r="U17" s="11">
        <f>COUNTIF('Status data'!$A11:$H11,"3")</f>
        <v>0</v>
      </c>
      <c r="V17" s="17"/>
      <c r="W17" s="17"/>
      <c r="X17" s="18"/>
      <c r="Y17" s="18"/>
      <c r="Z17" s="18"/>
      <c r="AA17" s="18"/>
      <c r="AB17" s="7" t="str">
        <f>D17&amp;E17&amp;"-"&amp;G17&amp;"-v-"&amp;H17</f>
        <v>7Juni-Gold Diggers-v-89ers</v>
      </c>
      <c r="AC17" s="20"/>
      <c r="AD17" s="20"/>
      <c r="AE17" s="65"/>
      <c r="AF17" s="22"/>
      <c r="AG17" s="66"/>
      <c r="AH17" s="62"/>
      <c r="AI17" s="62"/>
      <c r="AJ17" s="62"/>
      <c r="AK17" s="62"/>
      <c r="AL17" s="62"/>
      <c r="AM17" s="62"/>
      <c r="AN17" s="62"/>
      <c r="AO17" s="62"/>
      <c r="AP17" s="62"/>
    </row>
    <row r="18">
      <c r="A18" s="10" t="s">
        <v>68</v>
      </c>
      <c r="B18" s="46">
        <v>10</v>
      </c>
      <c r="C18" s="11" t="s">
        <v>53</v>
      </c>
      <c r="D18" s="56">
        <v>8</v>
      </c>
      <c r="E18" s="11" t="s">
        <v>90</v>
      </c>
      <c r="F18" s="12">
        <v>0.583333333333333</v>
      </c>
      <c r="G18" s="13" t="s">
        <v>55</v>
      </c>
      <c r="H18" s="13" t="s">
        <v>46</v>
      </c>
      <c r="I18" s="14" t="s">
        <v>56</v>
      </c>
      <c r="J18" s="14" t="s">
        <v>43</v>
      </c>
      <c r="K18" s="14" t="s">
        <v>42</v>
      </c>
      <c r="L18" s="14" t="s">
        <v>62</v>
      </c>
      <c r="M18" s="14" t="s">
        <v>51</v>
      </c>
      <c r="N18" s="14" t="s">
        <v>79</v>
      </c>
      <c r="O18" s="14" t="s">
        <v>87</v>
      </c>
      <c r="P18" s="57"/>
      <c r="Q18" s="50" t="s">
        <v>89</v>
      </c>
      <c r="R18" s="17"/>
      <c r="S18" s="11">
        <f>COUNTIF('Status data'!$A12:$H12,"1")</f>
        <v>0</v>
      </c>
      <c r="T18" s="11">
        <f>COUNTIF('Status data'!$A12:$H12,"2")</f>
        <v>0</v>
      </c>
      <c r="U18" s="11">
        <f>COUNTIF('Status data'!$A12:$H12,"3")</f>
        <v>0</v>
      </c>
      <c r="V18" s="17"/>
      <c r="W18" s="11"/>
      <c r="X18" s="18"/>
      <c r="Y18" s="18"/>
      <c r="Z18" s="18"/>
      <c r="AA18" s="18"/>
      <c r="AB18" s="7" t="str">
        <f>D18&amp;E18&amp;"-"&amp;G18&amp;"-v-"&amp;H18</f>
        <v>8Juni-Razorbacks-v-Oaks</v>
      </c>
      <c r="AC18" s="20"/>
      <c r="AD18" s="20"/>
      <c r="AE18" s="65"/>
      <c r="AF18" s="22"/>
      <c r="AG18" s="66"/>
      <c r="AH18" s="62"/>
      <c r="AI18" s="62"/>
      <c r="AJ18" s="62"/>
      <c r="AK18" s="62"/>
      <c r="AL18" s="62"/>
      <c r="AM18" s="62"/>
      <c r="AN18" s="62"/>
      <c r="AO18" s="62"/>
      <c r="AP18" s="62"/>
    </row>
    <row r="19">
      <c r="A19" s="10" t="s">
        <v>68</v>
      </c>
      <c r="B19" s="46">
        <v>12</v>
      </c>
      <c r="C19" s="11" t="s">
        <v>53</v>
      </c>
      <c r="D19" s="56">
        <v>22</v>
      </c>
      <c r="E19" s="11" t="s">
        <v>90</v>
      </c>
      <c r="F19" s="12">
        <v>0.541666666666667</v>
      </c>
      <c r="G19" s="13" t="s">
        <v>40</v>
      </c>
      <c r="H19" s="13" t="s">
        <v>55</v>
      </c>
      <c r="I19" s="14" t="s">
        <v>63</v>
      </c>
      <c r="J19" s="14" t="s">
        <v>43</v>
      </c>
      <c r="K19" s="14" t="s">
        <v>42</v>
      </c>
      <c r="L19" s="14" t="s">
        <v>62</v>
      </c>
      <c r="M19" s="14" t="s">
        <v>44</v>
      </c>
      <c r="N19" s="14" t="s">
        <v>79</v>
      </c>
      <c r="O19" s="14"/>
      <c r="P19" s="60"/>
      <c r="Q19" s="50" t="s">
        <v>89</v>
      </c>
      <c r="R19" s="11"/>
      <c r="S19" s="17"/>
      <c r="T19" s="11">
        <f>COUNTIF('Status data'!$A13:$H13,"1")</f>
        <v>0</v>
      </c>
      <c r="U19" s="11">
        <f>COUNTIF('Status data'!$A13:$H13,"2")</f>
        <v>0</v>
      </c>
      <c r="V19" s="11"/>
      <c r="W19" s="17"/>
      <c r="X19" s="18"/>
      <c r="Y19" s="18"/>
      <c r="Z19" s="18"/>
      <c r="AA19" s="18"/>
      <c r="AB19" s="7" t="str">
        <f>D19&amp;E19&amp;"-"&amp;G19&amp;"-v-"&amp;H19</f>
        <v>22Juni-Tigers-v-Razorbacks</v>
      </c>
      <c r="AC19" s="20"/>
      <c r="AD19" s="20"/>
      <c r="AE19" s="65"/>
      <c r="AF19" s="22"/>
      <c r="AG19" s="66"/>
      <c r="AH19" s="62"/>
      <c r="AI19" s="62"/>
      <c r="AJ19" s="62"/>
      <c r="AK19" s="62"/>
      <c r="AL19" s="62"/>
      <c r="AM19" s="62"/>
      <c r="AN19" s="62"/>
      <c r="AO19" s="62"/>
      <c r="AP19" s="62"/>
    </row>
    <row r="20">
      <c r="A20" s="67" t="s">
        <v>68</v>
      </c>
      <c r="B20" s="68">
        <v>12</v>
      </c>
      <c r="C20" s="69" t="s">
        <v>53</v>
      </c>
      <c r="D20" s="70">
        <v>22</v>
      </c>
      <c r="E20" s="69" t="s">
        <v>90</v>
      </c>
      <c r="F20" s="71">
        <v>0.541666666666667</v>
      </c>
      <c r="G20" s="32" t="s">
        <v>77</v>
      </c>
      <c r="H20" s="32" t="s">
        <v>54</v>
      </c>
      <c r="I20" s="33" t="s">
        <v>48</v>
      </c>
      <c r="J20" s="33" t="s">
        <v>56</v>
      </c>
      <c r="K20" s="33" t="s">
        <v>83</v>
      </c>
      <c r="L20" s="33" t="s">
        <v>58</v>
      </c>
      <c r="M20" s="33" t="s">
        <v>84</v>
      </c>
      <c r="N20" s="33" t="s">
        <v>72</v>
      </c>
      <c r="O20" s="33" t="s">
        <v>65</v>
      </c>
      <c r="P20" s="72"/>
      <c r="Q20" s="73"/>
      <c r="R20" s="74"/>
      <c r="S20" s="30"/>
      <c r="T20" s="30"/>
      <c r="U20" s="30"/>
      <c r="V20" s="74"/>
      <c r="W20" s="74"/>
      <c r="X20" s="75"/>
      <c r="Y20" s="75"/>
      <c r="Z20" s="75"/>
      <c r="AA20" s="75"/>
      <c r="AB20" s="7" t="str">
        <f>D20&amp;E20&amp;"-"&amp;G20&amp;"-v-"&amp;H20</f>
        <v>22Juni-Gold Diggers-v-Towers</v>
      </c>
      <c r="AC20" s="20"/>
      <c r="AD20" s="20"/>
      <c r="AE20" s="65"/>
      <c r="AF20" s="22"/>
      <c r="AG20" s="66"/>
      <c r="AH20" s="62"/>
      <c r="AI20" s="62"/>
      <c r="AJ20" s="62"/>
      <c r="AK20" s="62"/>
      <c r="AL20" s="62"/>
      <c r="AM20" s="62"/>
      <c r="AN20" s="62"/>
      <c r="AO20" s="62"/>
      <c r="AP20" s="62"/>
    </row>
    <row r="21">
      <c r="A21" s="37" t="s">
        <v>68</v>
      </c>
      <c r="B21" s="38">
        <v>17</v>
      </c>
      <c r="C21" s="39" t="s">
        <v>38</v>
      </c>
      <c r="D21" s="40">
        <v>23</v>
      </c>
      <c r="E21" s="39" t="s">
        <v>91</v>
      </c>
      <c r="F21" s="41">
        <v>0.541666666666667</v>
      </c>
      <c r="G21" s="76" t="s">
        <v>54</v>
      </c>
      <c r="H21" s="76" t="s">
        <v>40</v>
      </c>
      <c r="I21" s="77"/>
      <c r="J21" s="77"/>
      <c r="K21" s="77"/>
      <c r="L21" s="77"/>
      <c r="M21" s="78"/>
      <c r="N21" s="77"/>
      <c r="O21" s="77"/>
      <c r="P21" s="78"/>
      <c r="Q21" s="15"/>
      <c r="R21" s="79"/>
      <c r="S21" s="80"/>
      <c r="T21" s="80"/>
      <c r="U21" s="80"/>
      <c r="V21" s="79"/>
      <c r="W21" s="79"/>
      <c r="X21" s="81"/>
      <c r="Y21" s="81"/>
      <c r="Z21" s="81"/>
      <c r="AA21" s="81"/>
      <c r="AB21" s="7" t="str">
        <f>D21&amp;E21&amp;"-"&amp;G21&amp;"-v-"&amp;H21</f>
        <v>23August-Towers-v-Tigers</v>
      </c>
      <c r="AC21" s="20"/>
      <c r="AD21" s="20"/>
      <c r="AE21" s="65"/>
      <c r="AF21" s="22"/>
      <c r="AG21" s="66"/>
      <c r="AH21" s="62"/>
      <c r="AI21" s="62"/>
      <c r="AJ21" s="62"/>
      <c r="AK21" s="62"/>
      <c r="AL21" s="62"/>
      <c r="AM21" s="62"/>
      <c r="AN21" s="62"/>
      <c r="AO21" s="62"/>
      <c r="AP21" s="62"/>
    </row>
    <row r="22">
      <c r="A22" s="37" t="s">
        <v>68</v>
      </c>
      <c r="B22" s="46">
        <v>17</v>
      </c>
      <c r="C22" s="39" t="s">
        <v>53</v>
      </c>
      <c r="D22" s="40">
        <v>24</v>
      </c>
      <c r="E22" s="39" t="s">
        <v>91</v>
      </c>
      <c r="F22" s="41">
        <v>0.541666666666667</v>
      </c>
      <c r="G22" s="13" t="s">
        <v>69</v>
      </c>
      <c r="H22" s="13" t="s">
        <v>55</v>
      </c>
      <c r="I22" s="82"/>
      <c r="J22" s="82"/>
      <c r="K22" s="82"/>
      <c r="L22" s="82"/>
      <c r="M22" s="14"/>
      <c r="N22" s="82"/>
      <c r="O22" s="82"/>
      <c r="P22" s="60"/>
      <c r="Q22" s="83"/>
      <c r="R22" s="17"/>
      <c r="S22" s="11">
        <f>COUNTIF('Status data'!$A14:$H14,"1")</f>
        <v>0</v>
      </c>
      <c r="T22" s="11">
        <f>COUNTIF('Status data'!$A14:$H14,"2")</f>
        <v>0</v>
      </c>
      <c r="U22" s="11">
        <f>COUNTIF('Status data'!$A14:$H14,"3")</f>
        <v>0</v>
      </c>
      <c r="V22" s="17"/>
      <c r="W22" s="17"/>
      <c r="X22" s="18"/>
      <c r="Y22" s="18"/>
      <c r="Z22" s="18"/>
      <c r="AA22" s="18"/>
      <c r="AB22" s="7" t="str">
        <f>D22&amp;E22&amp;"-"&amp;G22&amp;"-v-"&amp;H22</f>
        <v>24August-89ers-v-Razorbacks</v>
      </c>
      <c r="AC22" s="20"/>
      <c r="AD22" s="20"/>
      <c r="AE22" s="65"/>
      <c r="AF22" s="22"/>
      <c r="AG22" s="66"/>
      <c r="AH22" s="62"/>
      <c r="AI22" s="62"/>
      <c r="AJ22" s="62"/>
      <c r="AK22" s="62"/>
      <c r="AL22" s="62"/>
      <c r="AM22" s="62"/>
      <c r="AN22" s="62"/>
      <c r="AO22" s="62"/>
      <c r="AP22" s="62"/>
    </row>
    <row r="23">
      <c r="A23" s="37" t="s">
        <v>68</v>
      </c>
      <c r="B23" s="46">
        <v>17</v>
      </c>
      <c r="C23" s="39" t="s">
        <v>53</v>
      </c>
      <c r="D23" s="40">
        <v>24</v>
      </c>
      <c r="E23" s="39" t="s">
        <v>91</v>
      </c>
      <c r="F23" s="41">
        <v>0.541666666666667</v>
      </c>
      <c r="G23" s="13" t="s">
        <v>77</v>
      </c>
      <c r="H23" s="13" t="s">
        <v>46</v>
      </c>
      <c r="I23" s="82"/>
      <c r="J23" s="82"/>
      <c r="K23" s="82"/>
      <c r="L23" s="14"/>
      <c r="M23" s="57"/>
      <c r="N23" s="82"/>
      <c r="O23" s="57"/>
      <c r="P23" s="60"/>
      <c r="Q23" s="84"/>
      <c r="R23" s="17"/>
      <c r="S23" s="11"/>
      <c r="T23" s="11"/>
      <c r="U23" s="11"/>
      <c r="V23" s="17"/>
      <c r="W23" s="17"/>
      <c r="X23" s="18"/>
      <c r="Y23" s="18"/>
      <c r="Z23" s="18"/>
      <c r="AA23" s="18"/>
      <c r="AB23" s="7" t="str">
        <f>D23&amp;E23&amp;"-"&amp;G23&amp;"-v-"&amp;H23</f>
        <v>24August-Gold Diggers-v-Oaks</v>
      </c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>
      <c r="A24" s="10" t="s">
        <v>68</v>
      </c>
      <c r="B24" s="46">
        <v>18</v>
      </c>
      <c r="C24" s="11" t="s">
        <v>38</v>
      </c>
      <c r="D24" s="56">
        <v>30</v>
      </c>
      <c r="E24" s="11" t="s">
        <v>91</v>
      </c>
      <c r="F24" s="12">
        <v>0.541666666666667</v>
      </c>
      <c r="G24" s="13" t="s">
        <v>69</v>
      </c>
      <c r="H24" s="13" t="s">
        <v>77</v>
      </c>
      <c r="I24" s="82"/>
      <c r="J24" s="82"/>
      <c r="K24" s="82"/>
      <c r="L24" s="82"/>
      <c r="M24" s="82"/>
      <c r="N24" s="82"/>
      <c r="O24" s="82"/>
      <c r="P24" s="60"/>
      <c r="Q24" s="28" t="s">
        <v>92</v>
      </c>
      <c r="R24" s="17"/>
      <c r="S24" s="11">
        <f>COUNTIF('Status data'!$A17:$H17,"1")</f>
        <v>0</v>
      </c>
      <c r="T24" s="11">
        <f>COUNTIF('Status data'!$A17:$H17,"2")</f>
        <v>0</v>
      </c>
      <c r="U24" s="11">
        <f>COUNTIF('Status data'!$A17:$H17,"3")</f>
        <v>0</v>
      </c>
      <c r="V24" s="17"/>
      <c r="W24" s="17"/>
      <c r="X24" s="18"/>
      <c r="Y24" s="18"/>
      <c r="Z24" s="18"/>
      <c r="AA24" s="18"/>
      <c r="AB24" s="7" t="str">
        <f>D24&amp;E24&amp;"-"&amp;G24&amp;"-v-"&amp;H24</f>
        <v>30August-89ers-v-Gold Diggers</v>
      </c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>
      <c r="A25" s="10" t="s">
        <v>68</v>
      </c>
      <c r="B25" s="46">
        <v>18</v>
      </c>
      <c r="C25" s="11" t="s">
        <v>53</v>
      </c>
      <c r="D25" s="56">
        <v>31</v>
      </c>
      <c r="E25" s="11" t="s">
        <v>91</v>
      </c>
      <c r="F25" s="12">
        <v>0.541666666666667</v>
      </c>
      <c r="G25" s="13" t="s">
        <v>54</v>
      </c>
      <c r="H25" s="13" t="s">
        <v>55</v>
      </c>
      <c r="I25" s="82"/>
      <c r="J25" s="14"/>
      <c r="K25" s="14"/>
      <c r="L25" s="82"/>
      <c r="M25" s="60"/>
      <c r="N25" s="82"/>
      <c r="O25" s="82"/>
      <c r="P25" s="60"/>
      <c r="Q25" s="28"/>
      <c r="R25" s="17"/>
      <c r="S25" s="11"/>
      <c r="T25" s="11"/>
      <c r="U25" s="11"/>
      <c r="V25" s="17"/>
      <c r="W25" s="17"/>
      <c r="X25" s="18"/>
      <c r="Y25" s="18"/>
      <c r="Z25" s="18"/>
      <c r="AA25" s="18"/>
      <c r="AB25" s="7" t="str">
        <f>D25&amp;E25&amp;"-"&amp;G25&amp;"-v-"&amp;H25</f>
        <v>31August-Towers-v-Razorbacks</v>
      </c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>
      <c r="A26" s="10" t="s">
        <v>68</v>
      </c>
      <c r="B26" s="46">
        <v>18</v>
      </c>
      <c r="C26" s="11" t="s">
        <v>53</v>
      </c>
      <c r="D26" s="56">
        <v>31</v>
      </c>
      <c r="E26" s="11" t="s">
        <v>91</v>
      </c>
      <c r="F26" s="12">
        <v>0.541666666666667</v>
      </c>
      <c r="G26" s="13" t="s">
        <v>40</v>
      </c>
      <c r="H26" s="13" t="s">
        <v>46</v>
      </c>
      <c r="I26" s="14"/>
      <c r="J26" s="82"/>
      <c r="K26" s="82"/>
      <c r="L26" s="82"/>
      <c r="M26" s="82"/>
      <c r="N26" s="14"/>
      <c r="O26" s="82"/>
      <c r="P26" s="60"/>
      <c r="Q26" s="28"/>
      <c r="R26" s="17"/>
      <c r="S26" s="11">
        <f>COUNTIF('Status data'!$A18:$H18,"1")</f>
        <v>0</v>
      </c>
      <c r="T26" s="11">
        <f>COUNTIF('Status data'!$A18:$H18,"2")</f>
        <v>0</v>
      </c>
      <c r="U26" s="11">
        <f>COUNTIF('Status data'!$A18:$H18,"3")</f>
        <v>0</v>
      </c>
      <c r="V26" s="17"/>
      <c r="W26" s="17"/>
      <c r="X26" s="18"/>
      <c r="Y26" s="18"/>
      <c r="Z26" s="18"/>
      <c r="AA26" s="18"/>
      <c r="AB26" s="7" t="str">
        <f>D26&amp;E26&amp;"-"&amp;G26&amp;"-v-"&amp;H26</f>
        <v>31August-Tigers-v-Oaks</v>
      </c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>
      <c r="A27" s="10" t="s">
        <v>68</v>
      </c>
      <c r="B27" s="46">
        <v>20</v>
      </c>
      <c r="C27" s="11" t="s">
        <v>81</v>
      </c>
      <c r="D27" s="56">
        <v>12</v>
      </c>
      <c r="E27" s="11" t="s">
        <v>93</v>
      </c>
      <c r="F27" s="56" t="s">
        <v>94</v>
      </c>
      <c r="G27" s="13" t="s">
        <v>54</v>
      </c>
      <c r="H27" s="13" t="s">
        <v>77</v>
      </c>
      <c r="I27" s="85"/>
      <c r="J27" s="85"/>
      <c r="K27" s="85"/>
      <c r="L27" s="85"/>
      <c r="M27" s="85"/>
      <c r="N27" s="85"/>
      <c r="O27" s="85"/>
      <c r="P27" s="85"/>
      <c r="Q27" s="50" t="s">
        <v>89</v>
      </c>
      <c r="R27" s="86"/>
      <c r="S27" s="11"/>
      <c r="T27" s="11"/>
      <c r="U27" s="11"/>
      <c r="V27" s="86"/>
      <c r="W27" s="86"/>
      <c r="X27" s="86"/>
      <c r="Y27" s="86"/>
      <c r="Z27" s="13"/>
      <c r="AA27" s="87"/>
      <c r="AB27" s="7" t="str">
        <f>D27&amp;E27&amp;"-"&amp;G27&amp;"-v-"&amp;H27</f>
        <v>12September-Towers-v-Gold Diggers</v>
      </c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>
      <c r="A28" s="10" t="s">
        <v>68</v>
      </c>
      <c r="B28" s="46">
        <v>20</v>
      </c>
      <c r="C28" s="11" t="s">
        <v>38</v>
      </c>
      <c r="D28" s="56">
        <v>13</v>
      </c>
      <c r="E28" s="11" t="s">
        <v>93</v>
      </c>
      <c r="F28" s="12">
        <v>0.541666666666667</v>
      </c>
      <c r="G28" s="13" t="s">
        <v>46</v>
      </c>
      <c r="H28" s="13" t="s">
        <v>69</v>
      </c>
      <c r="I28" s="85"/>
      <c r="J28" s="85"/>
      <c r="K28" s="85"/>
      <c r="L28" s="85"/>
      <c r="M28" s="85"/>
      <c r="N28" s="85"/>
      <c r="O28" s="85"/>
      <c r="P28" s="85"/>
      <c r="Q28" s="28"/>
      <c r="R28" s="86"/>
      <c r="S28" s="11">
        <f>COUNTIF('Status data'!$A20:$H20,"1")</f>
        <v>0</v>
      </c>
      <c r="T28" s="11">
        <f>COUNTIF('Status data'!$A20:$H20,"2")</f>
        <v>0</v>
      </c>
      <c r="U28" s="11">
        <f>COUNTIF('Status data'!$A20:$H20,"3")</f>
        <v>0</v>
      </c>
      <c r="V28" s="86"/>
      <c r="W28" s="86"/>
      <c r="X28" s="86"/>
      <c r="Y28" s="86"/>
      <c r="Z28" s="13"/>
      <c r="AA28" s="87"/>
      <c r="AB28" s="7" t="str">
        <f>D28&amp;E28&amp;"-"&amp;G28&amp;"-v-"&amp;H28</f>
        <v>13September-Oaks-v-89ers</v>
      </c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>
      <c r="A29" s="29" t="s">
        <v>68</v>
      </c>
      <c r="B29" s="88">
        <v>20</v>
      </c>
      <c r="C29" s="30" t="s">
        <v>53</v>
      </c>
      <c r="D29" s="89">
        <v>14</v>
      </c>
      <c r="E29" s="30" t="s">
        <v>93</v>
      </c>
      <c r="F29" s="31">
        <v>0.541666666666667</v>
      </c>
      <c r="G29" s="32" t="s">
        <v>55</v>
      </c>
      <c r="H29" s="32" t="s">
        <v>40</v>
      </c>
      <c r="I29" s="90"/>
      <c r="J29" s="90"/>
      <c r="K29" s="90"/>
      <c r="L29" s="90"/>
      <c r="M29" s="90"/>
      <c r="N29" s="90"/>
      <c r="O29" s="90"/>
      <c r="P29" s="90"/>
      <c r="Q29" s="91"/>
      <c r="R29" s="92"/>
      <c r="S29" s="30">
        <f>COUNTIF('Status data'!$A23:$H23,"1")</f>
        <v>0</v>
      </c>
      <c r="T29" s="30">
        <f>COUNTIF('Status data'!$A23:$H23,"2")</f>
        <v>0</v>
      </c>
      <c r="U29" s="30">
        <f>COUNTIF('Status data'!$A23:$H23,"3")</f>
        <v>0</v>
      </c>
      <c r="V29" s="92"/>
      <c r="W29" s="92"/>
      <c r="X29" s="92"/>
      <c r="Y29" s="92"/>
      <c r="Z29" s="32"/>
      <c r="AA29" s="93"/>
      <c r="AB29" s="7" t="str">
        <f>D29&amp;E29&amp;"-"&amp;G29&amp;"-v-"&amp;H29</f>
        <v>14September-Razorbacks-v-Tigers</v>
      </c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>
      <c r="A30" s="37" t="s">
        <v>68</v>
      </c>
      <c r="B30" s="80">
        <v>22</v>
      </c>
      <c r="C30" s="80" t="s">
        <v>38</v>
      </c>
      <c r="D30" s="94">
        <v>27</v>
      </c>
      <c r="E30" s="80" t="s">
        <v>93</v>
      </c>
      <c r="F30" s="95" t="s">
        <v>94</v>
      </c>
      <c r="G30" s="76" t="s">
        <v>95</v>
      </c>
      <c r="H30" s="76"/>
      <c r="I30" s="76"/>
      <c r="J30" s="47"/>
      <c r="K30" s="47"/>
      <c r="L30" s="47"/>
      <c r="M30" s="47"/>
      <c r="N30" s="47"/>
      <c r="O30" s="47"/>
      <c r="P30" s="47"/>
      <c r="Q30" s="96"/>
      <c r="R30" s="96"/>
      <c r="S30" s="96"/>
      <c r="T30" s="96"/>
      <c r="U30" s="96"/>
      <c r="V30" s="96"/>
      <c r="W30" s="96"/>
      <c r="X30" s="97"/>
      <c r="Y30" s="96"/>
      <c r="Z30" s="96"/>
      <c r="AA30" s="96"/>
      <c r="AB30" s="7" t="str">
        <f>D30&amp;E30&amp;"-"&amp;G30&amp;"-v-"&amp;H30</f>
        <v>27September-Semi-v-</v>
      </c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>
      <c r="A31" s="10" t="s">
        <v>68</v>
      </c>
      <c r="B31" s="11">
        <v>22</v>
      </c>
      <c r="C31" s="11" t="s">
        <v>38</v>
      </c>
      <c r="D31" s="56">
        <v>27</v>
      </c>
      <c r="E31" s="11" t="s">
        <v>93</v>
      </c>
      <c r="F31" s="98" t="s">
        <v>94</v>
      </c>
      <c r="G31" s="13" t="s">
        <v>95</v>
      </c>
      <c r="H31" s="13"/>
      <c r="I31" s="13"/>
      <c r="J31" s="14"/>
      <c r="K31" s="14"/>
      <c r="L31" s="14"/>
      <c r="M31" s="14"/>
      <c r="N31" s="14"/>
      <c r="O31" s="14"/>
      <c r="P31" s="14"/>
      <c r="Q31" s="99"/>
      <c r="R31" s="99"/>
      <c r="S31" s="99"/>
      <c r="T31" s="99"/>
      <c r="U31" s="99"/>
      <c r="V31" s="99"/>
      <c r="W31" s="99"/>
      <c r="X31" s="100"/>
      <c r="Y31" s="99"/>
      <c r="Z31" s="99"/>
      <c r="AA31" s="99"/>
      <c r="AB31" s="7" t="str">
        <f>D31&amp;E31&amp;"-"&amp;G31&amp;"-v-"&amp;H31</f>
        <v>27September-Semi-v-</v>
      </c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>
      <c r="A32" s="10" t="s">
        <v>68</v>
      </c>
      <c r="B32" s="11">
        <v>23</v>
      </c>
      <c r="C32" s="11" t="s">
        <v>38</v>
      </c>
      <c r="D32" s="56">
        <v>4</v>
      </c>
      <c r="E32" s="11" t="s">
        <v>96</v>
      </c>
      <c r="F32" s="98" t="s">
        <v>94</v>
      </c>
      <c r="G32" s="13" t="s">
        <v>97</v>
      </c>
      <c r="H32" s="13"/>
      <c r="I32" s="13"/>
      <c r="J32" s="14"/>
      <c r="K32" s="14"/>
      <c r="L32" s="14"/>
      <c r="M32" s="14"/>
      <c r="N32" s="14"/>
      <c r="O32" s="14"/>
      <c r="P32" s="14"/>
      <c r="Q32" s="99"/>
      <c r="R32" s="99"/>
      <c r="S32" s="99"/>
      <c r="T32" s="99"/>
      <c r="U32" s="99"/>
      <c r="V32" s="99"/>
      <c r="W32" s="99"/>
      <c r="X32" s="100"/>
      <c r="Y32" s="99"/>
      <c r="Z32" s="99"/>
      <c r="AA32" s="99"/>
      <c r="AB32" s="7" t="str">
        <f>D32&amp;E32&amp;"-"&amp;G32&amp;"-v-"&amp;H32</f>
        <v>4Oktober-Mermaid Bowl-v-</v>
      </c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>
      <c r="A33" s="101"/>
      <c r="B33" s="101"/>
      <c r="C33" s="102"/>
      <c r="D33" s="103"/>
      <c r="E33" s="103"/>
      <c r="F33" s="102"/>
      <c r="G33" s="103"/>
      <c r="H33" s="103"/>
      <c r="I33" s="103"/>
      <c r="J33" s="103"/>
      <c r="K33" s="104"/>
      <c r="L33" s="7"/>
      <c r="M33" s="7"/>
      <c r="N33" s="7"/>
      <c r="O33" s="7"/>
      <c r="P33" s="7"/>
      <c r="Q33" s="8"/>
      <c r="R33" s="7"/>
      <c r="S33" s="7"/>
      <c r="T33" s="7"/>
      <c r="U33" s="7"/>
      <c r="V33" s="105"/>
      <c r="W33" s="106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>
      <c r="A34" s="101"/>
      <c r="B34" s="101"/>
      <c r="C34" s="102"/>
      <c r="D34" s="103"/>
      <c r="E34" s="103"/>
      <c r="F34" s="102"/>
      <c r="G34" s="103"/>
      <c r="H34" s="103"/>
      <c r="I34" s="103"/>
      <c r="J34" s="103"/>
      <c r="K34" s="104"/>
      <c r="L34" s="7"/>
      <c r="M34" s="7"/>
      <c r="N34" s="7"/>
      <c r="O34" s="7"/>
      <c r="P34" s="7"/>
      <c r="Q34" s="8" t="s">
        <v>98</v>
      </c>
      <c r="R34" s="7"/>
      <c r="S34" s="7"/>
      <c r="T34" s="7"/>
      <c r="U34" s="7"/>
      <c r="V34" s="105"/>
      <c r="W34" s="106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>
      <c r="A35" s="101"/>
      <c r="B35" s="101"/>
      <c r="C35" s="102"/>
      <c r="D35" s="103"/>
      <c r="E35" s="103"/>
      <c r="F35" s="102"/>
      <c r="G35" s="103"/>
      <c r="H35" s="103"/>
      <c r="I35" s="103"/>
      <c r="J35" s="103"/>
      <c r="K35" s="104"/>
      <c r="L35" s="7"/>
      <c r="M35" s="7"/>
      <c r="N35" s="7"/>
      <c r="O35" s="7"/>
      <c r="P35" s="7"/>
      <c r="Q35" s="8"/>
      <c r="R35" s="7"/>
      <c r="S35" s="7"/>
      <c r="T35" s="7"/>
      <c r="U35" s="7"/>
      <c r="V35" s="105"/>
      <c r="W35" s="106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>
      <c r="A36" s="101" t="s">
        <v>99</v>
      </c>
      <c r="B36" s="101" t="s">
        <v>100</v>
      </c>
      <c r="C36" s="102" t="s">
        <v>101</v>
      </c>
      <c r="D36" s="103" t="s">
        <v>102</v>
      </c>
      <c r="E36" s="103" t="s">
        <v>103</v>
      </c>
      <c r="F36" s="103" t="s">
        <v>104</v>
      </c>
      <c r="G36" s="102" t="s">
        <v>105</v>
      </c>
      <c r="H36" s="103" t="s">
        <v>106</v>
      </c>
      <c r="I36" s="103" t="s">
        <v>107</v>
      </c>
      <c r="J36" s="103" t="s">
        <v>108</v>
      </c>
      <c r="K36" s="103" t="s">
        <v>109</v>
      </c>
      <c r="L36" s="104"/>
      <c r="M36" s="7"/>
      <c r="N36" s="7"/>
      <c r="O36" s="7"/>
      <c r="P36" s="7"/>
      <c r="Q36" s="7"/>
      <c r="R36" s="8"/>
      <c r="S36" s="7"/>
      <c r="T36" s="7"/>
      <c r="U36" s="7"/>
      <c r="V36" s="7"/>
      <c r="W36" s="105"/>
      <c r="X36" s="106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>
      <c r="A37" s="104" t="s">
        <v>110</v>
      </c>
      <c r="B37" s="107" t="s">
        <v>63</v>
      </c>
      <c r="C37" s="108" t="e">
        <f>IF($A37="","",SUM(($A$2:$A$32="Vedligeholdende")*($I$2:$P$32=$B37)))</f>
        <v>#VALUE!</v>
      </c>
      <c r="D37" s="108" t="e">
        <f>IF($A37="","",SUM(($A$2:$A$20="NL")*($I$2:$P$20=$B37)))</f>
        <v>#VALUE!</v>
      </c>
      <c r="E37" s="109" t="e">
        <f>IF($A37="","",SUM(($G$7:$G$20="Razorbacks")*($I$7:$P$20=$B37))+SUM(($G$7:$G$20="Tigers")*($I$7:$P$20=$B37))+SUM(($G$7:$G$20="89ers")*($I$7:$P$20=$B37)))</f>
        <v>#VALUE!</v>
      </c>
      <c r="F37" s="109" t="e">
        <f>IF($A37="","",SUM(($G$7:$G$20="Oaks")*($I$7:$P$20=$B37))+SUM(($G$7:$G$20="Gold Diggers")*($I$7:$P$20=$B37))+SUM(($G$7:$G$20="Towers")*($I$7:$P$20=$B37)))</f>
        <v>#VALUE!</v>
      </c>
      <c r="G37" s="110" t="e">
        <f>IF($A37="","",C37+D37)</f>
        <v>#VALUE!</v>
      </c>
      <c r="H37" s="108" t="e">
        <f>IF($A37="","",SUM(($A$21:$A$29="NL")*($I$21:$P$29=$B37)))</f>
        <v>#VALUE!</v>
      </c>
      <c r="I37" s="111" t="e">
        <f>IF($A37="","",COUNTIF($I$21:$P$29,$B37)-H37)</f>
        <v>#VALUE!</v>
      </c>
      <c r="J37" s="112" t="e">
        <f>IF($A37="","",SUM(($A$2:$A$29="NL")*($I$2:$P$29=$B37)))</f>
        <v>#VALUE!</v>
      </c>
      <c r="K37" s="112" t="e">
        <f>IF($A37="","",COUNTIF($I$2:$P$29,$B37)-C37)</f>
        <v>#VALUE!</v>
      </c>
      <c r="L37" s="104"/>
      <c r="M37" s="7"/>
      <c r="N37" s="7"/>
      <c r="O37" s="7"/>
      <c r="P37" s="7"/>
      <c r="Q37" s="7"/>
      <c r="R37" s="7"/>
      <c r="S37" s="113"/>
      <c r="T37" s="113"/>
      <c r="U37" s="113"/>
      <c r="V37" s="113"/>
      <c r="W37" s="114"/>
      <c r="X37" s="115"/>
      <c r="Y37" s="8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>
      <c r="A38" s="107" t="s">
        <v>111</v>
      </c>
      <c r="B38" s="107" t="s">
        <v>48</v>
      </c>
      <c r="C38" s="108" t="e">
        <f>IF($A38="","",SUM(($A$2:$A$32="Vedligeholdende")*($I$2:$P$32=$B38)))</f>
        <v>#VALUE!</v>
      </c>
      <c r="D38" s="108" t="e">
        <f>IF($A38="","",SUM(($A$2:$A$20="NL")*($I$2:$P$20=$B38)))</f>
        <v>#VALUE!</v>
      </c>
      <c r="E38" s="109" t="e">
        <f>IF($A38="","",SUM(($G$7:$G$20="Razorbacks")*($I$7:$P$20=$B38))+SUM(($G$7:$G$20="Tigers")*($I$7:$P$20=$B38))+SUM(($G$7:$G$20="89ers")*($I$7:$P$20=$B38)))</f>
        <v>#VALUE!</v>
      </c>
      <c r="F38" s="109" t="e">
        <f>IF($A38="","",SUM(($G$7:$G$20="Oaks")*($I$7:$P$20=$B38))+SUM(($G$7:$G$20="Gold Diggers")*($I$7:$P$20=$B38))+SUM(($G$7:$G$20="Towers")*($I$7:$P$20=$B38)))</f>
        <v>#VALUE!</v>
      </c>
      <c r="G38" s="110" t="e">
        <f>IF($A38="","",C38+D38)</f>
        <v>#VALUE!</v>
      </c>
      <c r="H38" s="108" t="e">
        <f>IF($A38="","",SUM(($A$21:$A$29="NL")*($I$21:$P$29=$B38)))</f>
        <v>#VALUE!</v>
      </c>
      <c r="I38" s="111" t="e">
        <f>IF($A38="","",COUNTIF($I$21:$P$29,$B38)-H38)</f>
        <v>#VALUE!</v>
      </c>
      <c r="J38" s="112" t="e">
        <f>IF($A38="","",SUM(($A$2:$A$29="NL")*($I$2:$P$29=$B38)))</f>
        <v>#VALUE!</v>
      </c>
      <c r="K38" s="112" t="e">
        <f>IF($A38="","",COUNTIF($I$2:$P$29,$B38)-C38)</f>
        <v>#VALUE!</v>
      </c>
      <c r="L38" s="104"/>
      <c r="M38" s="7"/>
      <c r="N38" s="7"/>
      <c r="O38" s="7"/>
      <c r="P38" s="7"/>
      <c r="Q38" s="7"/>
      <c r="R38" s="7" t="s">
        <f>DATA!I65</f>
      </c>
      <c r="S38" s="113"/>
      <c r="T38" s="113"/>
      <c r="U38" s="113"/>
      <c r="V38" s="116"/>
      <c r="W38" s="117">
        <f>SUM(Y1:Y28)</f>
        <v>0</v>
      </c>
      <c r="X38" s="118">
        <v>2</v>
      </c>
      <c r="Y38" s="8" t="s">
        <v>112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>
      <c r="A39" s="119" t="s">
        <v>113</v>
      </c>
      <c r="B39" s="119" t="s">
        <v>57</v>
      </c>
      <c r="C39" s="108" t="e">
        <f>IF($A39="","",SUM(($A$2:$A$32="Vedligeholdende")*($I$2:$P$32=$B39)))</f>
        <v>#VALUE!</v>
      </c>
      <c r="D39" s="108" t="e">
        <f>IF($A39="","",SUM(($A$2:$A$20="NL")*($I$2:$P$20=$B39)))</f>
        <v>#VALUE!</v>
      </c>
      <c r="E39" s="109" t="e">
        <f>IF($A39="","",SUM(($G$7:$G$20="Razorbacks")*($I$7:$P$20=$B39))+SUM(($G$7:$G$20="Tigers")*($I$7:$P$20=$B39))+SUM(($G$7:$G$20="89ers")*($I$7:$P$20=$B39)))</f>
        <v>#VALUE!</v>
      </c>
      <c r="F39" s="109" t="e">
        <f>IF($A39="","",SUM(($G$7:$G$20="Oaks")*($I$7:$P$20=$B39))+SUM(($G$7:$G$20="Gold Diggers")*($I$7:$P$20=$B39))+SUM(($G$7:$G$20="Towers")*($I$7:$P$20=$B39)))</f>
        <v>#VALUE!</v>
      </c>
      <c r="G39" s="110" t="e">
        <f>IF($A39="","",C39+D39)</f>
        <v>#VALUE!</v>
      </c>
      <c r="H39" s="108" t="e">
        <f>IF($A39="","",SUM(($A$21:$A$29="NL")*($I$21:$P$29=$B39)))</f>
        <v>#VALUE!</v>
      </c>
      <c r="I39" s="111" t="e">
        <f>IF($A39="","",COUNTIF($I$21:$P$29,$B39)-H39)</f>
        <v>#VALUE!</v>
      </c>
      <c r="J39" s="112" t="e">
        <f>IF($A39="","",SUM(($A$2:$A$29="NL")*($I$2:$P$29=$B39)))</f>
        <v>#VALUE!</v>
      </c>
      <c r="K39" s="112" t="e">
        <f>IF($A39="","",COUNTIF($I$2:$P$29,$B39)-C39)</f>
        <v>#VALUE!</v>
      </c>
      <c r="L39" s="104"/>
      <c r="M39" s="104"/>
      <c r="N39" s="104"/>
      <c r="O39" s="104"/>
      <c r="P39" s="104"/>
      <c r="Q39" s="104"/>
      <c r="R39" s="104"/>
      <c r="S39" s="7"/>
      <c r="T39" s="7"/>
      <c r="U39" s="7"/>
      <c r="V39" s="8"/>
      <c r="W39" s="7"/>
      <c r="X39" s="115"/>
      <c r="Y39" s="8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>
      <c r="A40" s="120"/>
      <c r="B40" s="120"/>
      <c r="C40" s="108" t="str">
        <f>IF($A40="","",SUM(($A$2:$A$32="Vedligeholdende")*($I$2:$P$32=$B40)))</f>
        <v/>
      </c>
      <c r="D40" s="108" t="str">
        <f>IF($A40="","",SUM(($A$2:$A$20="NL")*($I$2:$P$20=$B40)))</f>
        <v/>
      </c>
      <c r="E40" s="109" t="str">
        <f>IF($A40="","",SUM(($G$7:$G$20="Razorbacks")*($I$7:$P$20=$B40))+SUM(($G$7:$G$20="Tigers")*($I$7:$P$20=$B40))+SUM(($G$7:$G$20="89ers")*($I$7:$P$20=$B40)))</f>
        <v/>
      </c>
      <c r="F40" s="109" t="str">
        <f>IF($A40="","",SUM(($G$7:$G$20="Oaks")*($I$7:$P$20=$B40))+SUM(($G$7:$G$20="Gold Diggers")*($I$7:$P$20=$B40))+SUM(($G$7:$G$20="Towers")*($I$7:$P$20=$B40)))</f>
        <v/>
      </c>
      <c r="G40" s="110" t="str">
        <f>IF($A40="","",C40+D40)</f>
        <v/>
      </c>
      <c r="H40" s="108" t="str">
        <f>IF($A40="","",SUM(($A$21:$A$29="NL")*($I$21:$P$29=$B40)))</f>
        <v/>
      </c>
      <c r="I40" s="111" t="str">
        <f>IF($A40="","",COUNTIF($I$21:$P$29,$B40)-H40)</f>
        <v/>
      </c>
      <c r="J40" s="112" t="str">
        <f>IF($A40="","",SUM(($A$2:$A$29="NL")*($I$2:$P$29=$B40)))</f>
        <v/>
      </c>
      <c r="K40" s="112" t="str">
        <f>IF($A40="","",COUNTIF($I$2:$P$29,$B40)-C40)</f>
        <v/>
      </c>
      <c r="L40" s="104"/>
      <c r="M40" s="104"/>
      <c r="N40" s="104"/>
      <c r="O40" s="104"/>
      <c r="P40" s="104"/>
      <c r="Q40" s="104"/>
      <c r="R40" s="104"/>
      <c r="S40" s="7"/>
      <c r="T40" s="7"/>
      <c r="U40" s="7"/>
      <c r="V40" s="8"/>
      <c r="W40" s="7"/>
      <c r="X40" s="115"/>
      <c r="Y40" s="8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>
      <c r="A41" s="107" t="s">
        <v>114</v>
      </c>
      <c r="B41" s="107" t="s">
        <v>43</v>
      </c>
      <c r="C41" s="108" t="e">
        <f>IF($A41="","",SUM(($A$2:$A$32="Vedligeholdende")*($I$2:$P$32=$B41)))</f>
        <v>#VALUE!</v>
      </c>
      <c r="D41" s="108" t="e">
        <f>IF($A41="","",SUM(($A$2:$A$20="NL")*($I$2:$P$20=$B41)))</f>
        <v>#VALUE!</v>
      </c>
      <c r="E41" s="109" t="e">
        <f>IF($A41="","",SUM(($G$7:$G$20="Razorbacks")*($I$7:$P$20=$B41))+SUM(($G$7:$G$20="Tigers")*($I$7:$P$20=$B41))+SUM(($G$7:$G$20="89ers")*($I$7:$P$20=$B41)))</f>
        <v>#VALUE!</v>
      </c>
      <c r="F41" s="109" t="e">
        <f>IF($A41="","",SUM(($G$7:$G$20="Oaks")*($I$7:$P$20=$B41))+SUM(($G$7:$G$20="Gold Diggers")*($I$7:$P$20=$B41))+SUM(($G$7:$G$20="Towers")*($I$7:$P$20=$B41)))</f>
        <v>#VALUE!</v>
      </c>
      <c r="G41" s="110" t="e">
        <f>IF($A41="","",C41+D41)</f>
        <v>#VALUE!</v>
      </c>
      <c r="H41" s="108" t="e">
        <f>IF($A41="","",SUM(($A$21:$A$29="NL")*($I$21:$P$29=$B41)))</f>
        <v>#VALUE!</v>
      </c>
      <c r="I41" s="111" t="e">
        <f>IF($A41="","",COUNTIF($I$21:$P$29,$B41)-H41)</f>
        <v>#VALUE!</v>
      </c>
      <c r="J41" s="112" t="e">
        <f>IF($A41="","",SUM(($A$2:$A$29="NL")*($I$2:$P$29=$B41)))</f>
        <v>#VALUE!</v>
      </c>
      <c r="K41" s="112" t="e">
        <f>IF($A41="","",COUNTIF($I$2:$P$29,$B41)-C41)</f>
        <v>#VALUE!</v>
      </c>
      <c r="L41" s="104"/>
      <c r="M41" s="8"/>
      <c r="N41" s="7"/>
      <c r="O41" s="7"/>
      <c r="P41" s="7"/>
      <c r="Q41" s="7"/>
      <c r="R41" s="7"/>
      <c r="S41" s="7"/>
      <c r="T41" s="7"/>
      <c r="U41" s="7"/>
      <c r="V41" s="8" t="s">
        <v>115</v>
      </c>
      <c r="W41" s="7" t="e">
        <f>MEDIAN(Y12:Y29)</f>
        <v>#NUM!</v>
      </c>
      <c r="X41" s="115" t="s">
        <v>116</v>
      </c>
      <c r="Y41" s="8" t="s">
        <v>117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>
      <c r="A42" s="107" t="s">
        <v>118</v>
      </c>
      <c r="B42" s="107" t="s">
        <v>49</v>
      </c>
      <c r="C42" s="108" t="e">
        <f>IF($A42="","",SUM(($A$2:$A$32="Vedligeholdende")*($I$2:$P$32=$B42)))</f>
        <v>#VALUE!</v>
      </c>
      <c r="D42" s="108" t="e">
        <f>IF($A42="","",SUM(($A$2:$A$20="NL")*($I$2:$P$20=$B42)))</f>
        <v>#VALUE!</v>
      </c>
      <c r="E42" s="109" t="e">
        <f>IF($A42="","",SUM(($G$7:$G$20="Razorbacks")*($I$7:$P$20=$B42))+SUM(($G$7:$G$20="Tigers")*($I$7:$P$20=$B42))+SUM(($G$7:$G$20="89ers")*($I$7:$P$20=$B42)))</f>
        <v>#VALUE!</v>
      </c>
      <c r="F42" s="109" t="e">
        <f>IF($A42="","",SUM(($G$7:$G$20="Oaks")*($I$7:$P$20=$B42))+SUM(($G$7:$G$20="Gold Diggers")*($I$7:$P$20=$B42))+SUM(($G$7:$G$20="Towers")*($I$7:$P$20=$B42)))</f>
        <v>#VALUE!</v>
      </c>
      <c r="G42" s="110" t="e">
        <f>IF($A42="","",C42+D42)</f>
        <v>#VALUE!</v>
      </c>
      <c r="H42" s="108" t="e">
        <f>IF($A42="","",SUM(($A$21:$A$29="NL")*($I$21:$P$29=$B42)))</f>
        <v>#VALUE!</v>
      </c>
      <c r="I42" s="111" t="e">
        <f>IF($A42="","",COUNTIF($I$21:$P$29,$B42)-H42)</f>
        <v>#VALUE!</v>
      </c>
      <c r="J42" s="112" t="e">
        <f>IF($A42="","",SUM(($A$2:$A$29="NL")*($I$2:$P$29=$B42)))</f>
        <v>#VALUE!</v>
      </c>
      <c r="K42" s="112" t="e">
        <f>IF($A42="","",COUNTIF($I$2:$P$29,$B42)-C42)</f>
        <v>#VALUE!</v>
      </c>
      <c r="L42" s="104"/>
      <c r="M42" s="7"/>
      <c r="N42" s="121"/>
      <c r="O42" s="7"/>
      <c r="P42" s="7"/>
      <c r="Q42" s="7"/>
      <c r="R42" s="7"/>
      <c r="S42" s="7"/>
      <c r="T42" s="7"/>
      <c r="U42" s="7"/>
      <c r="V42" s="8"/>
      <c r="W42" s="7"/>
      <c r="X42" s="115"/>
      <c r="Y42" s="8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>
      <c r="A43" s="104" t="s">
        <v>119</v>
      </c>
      <c r="B43" s="104" t="s">
        <v>56</v>
      </c>
      <c r="C43" s="108" t="e">
        <f>IF($A43="","",SUM(($A$2:$A$32="Vedligeholdende")*($I$2:$P$32=$B43)))</f>
        <v>#VALUE!</v>
      </c>
      <c r="D43" s="108" t="e">
        <f>IF($A43="","",SUM(($A$2:$A$20="NL")*($I$2:$P$20=$B43)))</f>
        <v>#VALUE!</v>
      </c>
      <c r="E43" s="109" t="e">
        <f>IF($A43="","",SUM(($G$7:$G$20="Razorbacks")*($I$7:$P$20=$B43))+SUM(($G$7:$G$20="Tigers")*($I$7:$P$20=$B43))+SUM(($G$7:$G$20="89ers")*($I$7:$P$20=$B43)))</f>
        <v>#VALUE!</v>
      </c>
      <c r="F43" s="109" t="e">
        <f>IF($A43="","",SUM(($G$7:$G$20="Oaks")*($I$7:$P$20=$B43))+SUM(($G$7:$G$20="Gold Diggers")*($I$7:$P$20=$B43))+SUM(($G$7:$G$20="Towers")*($I$7:$P$20=$B43)))</f>
        <v>#VALUE!</v>
      </c>
      <c r="G43" s="110" t="e">
        <f>IF($A43="","",C43+D43)</f>
        <v>#VALUE!</v>
      </c>
      <c r="H43" s="108" t="e">
        <f>IF($A43="","",SUM(($A$21:$A$29="NL")*($I$21:$P$29=$B43)))</f>
        <v>#VALUE!</v>
      </c>
      <c r="I43" s="111" t="e">
        <f>IF($A43="","",COUNTIF($I$21:$P$29,$B43)-H43)</f>
        <v>#VALUE!</v>
      </c>
      <c r="J43" s="112" t="e">
        <f>IF($A43="","",SUM(($A$2:$A$29="NL")*($I$2:$P$29=$B43)))</f>
        <v>#VALUE!</v>
      </c>
      <c r="K43" s="112" t="e">
        <f>IF($A43="","",COUNTIF($I$2:$P$29,$B43)-C43)</f>
        <v>#VALUE!</v>
      </c>
      <c r="L43" s="104"/>
      <c r="M43" s="7"/>
      <c r="N43" s="7"/>
      <c r="O43" s="7"/>
      <c r="P43" s="7"/>
      <c r="Q43" s="8"/>
      <c r="R43" s="7"/>
      <c r="S43" s="7"/>
      <c r="T43" s="7"/>
      <c r="U43" s="7"/>
      <c r="V43" s="8" t="s">
        <v>120</v>
      </c>
      <c r="W43" s="7">
        <f>SUM(Y12:Y29)/23*40</f>
        <v>0</v>
      </c>
      <c r="X43" s="115" t="s">
        <v>121</v>
      </c>
      <c r="Y43" s="8" t="s">
        <v>122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>
      <c r="A44" s="120"/>
      <c r="B44" s="120"/>
      <c r="C44" s="108" t="str">
        <f>IF($A44="","",SUM(($A$2:$A$32="Vedligeholdende")*($I$2:$P$32=$B44)))</f>
        <v/>
      </c>
      <c r="D44" s="108" t="str">
        <f>IF($A44="","",SUM(($A$2:$A$20="NL")*($I$2:$P$20=$B44)))</f>
        <v/>
      </c>
      <c r="E44" s="109" t="str">
        <f>IF($A44="","",SUM(($G$7:$G$20="Razorbacks")*($I$7:$P$20=$B44))+SUM(($G$7:$G$20="Tigers")*($I$7:$P$20=$B44))+SUM(($G$7:$G$20="89ers")*($I$7:$P$20=$B44)))</f>
        <v/>
      </c>
      <c r="F44" s="109" t="str">
        <f>IF($A44="","",SUM(($G$7:$G$20="Oaks")*($I$7:$P$20=$B44))+SUM(($G$7:$G$20="Gold Diggers")*($I$7:$P$20=$B44))+SUM(($G$7:$G$20="Towers")*($I$7:$P$20=$B44)))</f>
        <v/>
      </c>
      <c r="G44" s="110" t="str">
        <f>IF($A44="","",C44+D44)</f>
        <v/>
      </c>
      <c r="H44" s="108" t="str">
        <f>IF($A44="","",SUM(($A$21:$A$29="NL")*($I$21:$P$29=$B44)))</f>
        <v/>
      </c>
      <c r="I44" s="111" t="str">
        <f>IF($A44="","",COUNTIF($I$21:$P$29,$B44)-H44)</f>
        <v/>
      </c>
      <c r="J44" s="112" t="str">
        <f>IF($A44="","",SUM(($A$2:$A$29="NL")*($I$2:$P$29=$B44)))</f>
        <v/>
      </c>
      <c r="K44" s="112" t="str">
        <f>IF($A44="","",COUNTIF($I$2:$P$29,$B44)-C44)</f>
        <v/>
      </c>
      <c r="L44" s="104"/>
      <c r="M44" s="104"/>
      <c r="N44" s="104"/>
      <c r="O44" s="104"/>
      <c r="P44" s="104"/>
      <c r="Q44" s="104"/>
      <c r="R44" s="104"/>
      <c r="S44" s="7"/>
      <c r="T44" s="7"/>
      <c r="U44" s="7"/>
      <c r="V44" s="7"/>
      <c r="W44" s="7"/>
      <c r="X44" s="106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>
      <c r="A45" s="104" t="s">
        <v>123</v>
      </c>
      <c r="B45" s="104" t="s">
        <v>42</v>
      </c>
      <c r="C45" s="108" t="e">
        <f>IF($A45="","",SUM(($A$2:$A$32="Vedligeholdende")*($I$2:$P$32=$B45)))</f>
        <v>#VALUE!</v>
      </c>
      <c r="D45" s="108" t="e">
        <f>IF($A45="","",SUM(($A$2:$A$20="NL")*($I$2:$P$20=$B45)))</f>
        <v>#VALUE!</v>
      </c>
      <c r="E45" s="109" t="e">
        <f>IF($A45="","",SUM(($G$7:$G$20="Razorbacks")*($I$7:$P$20=$B45))+SUM(($G$7:$G$20="Tigers")*($I$7:$P$20=$B45))+SUM(($G$7:$G$20="89ers")*($I$7:$P$20=$B45)))</f>
        <v>#VALUE!</v>
      </c>
      <c r="F45" s="109" t="e">
        <f>IF($A45="","",SUM(($G$7:$G$20="Oaks")*($I$7:$P$20=$B45))+SUM(($G$7:$G$20="Gold Diggers")*($I$7:$P$20=$B45))+SUM(($G$7:$G$20="Towers")*($I$7:$P$20=$B45)))</f>
        <v>#VALUE!</v>
      </c>
      <c r="G45" s="110" t="e">
        <f>IF($A45="","",C45+D45)</f>
        <v>#VALUE!</v>
      </c>
      <c r="H45" s="108" t="e">
        <f>IF($A45="","",SUM(($A$21:$A$29="NL")*($I$21:$P$29=$B45)))</f>
        <v>#VALUE!</v>
      </c>
      <c r="I45" s="111" t="e">
        <f>IF($A45="","",COUNTIF($I$21:$P$29,$B45)-H45)</f>
        <v>#VALUE!</v>
      </c>
      <c r="J45" s="112" t="e">
        <f>IF($A45="","",SUM(($A$2:$A$29="NL")*($I$2:$P$29=$B45)))</f>
        <v>#VALUE!</v>
      </c>
      <c r="K45" s="112" t="e">
        <f>IF($A45="","",COUNTIF($I$2:$P$29,$B45)-C45)</f>
        <v>#VALUE!</v>
      </c>
      <c r="L45" s="104"/>
      <c r="M45" s="7"/>
      <c r="N45" s="7"/>
      <c r="O45" s="7"/>
      <c r="P45" s="7"/>
      <c r="Q45" s="8"/>
      <c r="R45" s="7"/>
      <c r="S45" s="7"/>
      <c r="T45" s="7"/>
      <c r="U45" s="7"/>
      <c r="V45" s="7"/>
      <c r="W45" s="7"/>
      <c r="X45" s="106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>
      <c r="A46" s="104" t="s">
        <v>124</v>
      </c>
      <c r="B46" s="104" t="s">
        <v>62</v>
      </c>
      <c r="C46" s="108" t="e">
        <f>IF($A46="","",SUM(($A$2:$A$32="Vedligeholdende")*($I$2:$P$32=$B46)))</f>
        <v>#VALUE!</v>
      </c>
      <c r="D46" s="108" t="e">
        <f>IF($A46="","",SUM(($A$2:$A$20="NL")*($I$2:$P$20=$B46)))</f>
        <v>#VALUE!</v>
      </c>
      <c r="E46" s="109" t="e">
        <f>IF($A46="","",SUM(($G$7:$G$20="Razorbacks")*($I$7:$P$20=$B46))+SUM(($G$7:$G$20="Tigers")*($I$7:$P$20=$B46))+SUM(($G$7:$G$20="89ers")*($I$7:$P$20=$B46)))</f>
        <v>#VALUE!</v>
      </c>
      <c r="F46" s="109" t="e">
        <f>IF($A46="","",SUM(($G$7:$G$20="Oaks")*($I$7:$P$20=$B46))+SUM(($G$7:$G$20="Gold Diggers")*($I$7:$P$20=$B46))+SUM(($G$7:$G$20="Towers")*($I$7:$P$20=$B46)))</f>
        <v>#VALUE!</v>
      </c>
      <c r="G46" s="110" t="e">
        <f>IF($A46="","",C46+D46)</f>
        <v>#VALUE!</v>
      </c>
      <c r="H46" s="108" t="e">
        <f>IF($A46="","",SUM(($A$21:$A$29="NL")*($I$21:$P$29=$B46)))</f>
        <v>#VALUE!</v>
      </c>
      <c r="I46" s="111" t="e">
        <f>IF($A46="","",COUNTIF($I$21:$P$29,$B46)-H46)</f>
        <v>#VALUE!</v>
      </c>
      <c r="J46" s="112" t="e">
        <f>IF($A46="","",SUM(($A$2:$A$29="NL")*($I$2:$P$29=$B46)))</f>
        <v>#VALUE!</v>
      </c>
      <c r="K46" s="112" t="e">
        <f>IF($A46="","",COUNTIF($I$2:$P$29,$B46)-C46)</f>
        <v>#VALUE!</v>
      </c>
      <c r="L46" s="104"/>
      <c r="M46" s="8"/>
      <c r="N46" s="8"/>
      <c r="O46" s="7"/>
      <c r="P46" s="7"/>
      <c r="Q46" s="7"/>
      <c r="R46" s="7"/>
      <c r="S46" s="7"/>
      <c r="T46" s="7"/>
      <c r="U46" s="7"/>
      <c r="V46" s="7"/>
      <c r="W46" s="7"/>
      <c r="X46" s="106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>
      <c r="A47" s="104" t="s">
        <v>125</v>
      </c>
      <c r="B47" s="104" t="s">
        <v>88</v>
      </c>
      <c r="C47" s="108" t="e">
        <f>IF($A47="","",SUM(($A$2:$A$32="Vedligeholdende")*($I$2:$P$32=$B47)))</f>
        <v>#VALUE!</v>
      </c>
      <c r="D47" s="108" t="e">
        <f>IF($A47="","",SUM(($A$2:$A$20="NL")*($I$2:$P$20=$B47)))</f>
        <v>#VALUE!</v>
      </c>
      <c r="E47" s="109" t="e">
        <f>IF($A47="","",SUM(($G$7:$G$20="Razorbacks")*($I$7:$P$20=$B47))+SUM(($G$7:$G$20="Tigers")*($I$7:$P$20=$B47))+SUM(($G$7:$G$20="89ers")*($I$7:$P$20=$B47)))</f>
        <v>#VALUE!</v>
      </c>
      <c r="F47" s="109" t="e">
        <f>IF($A47="","",SUM(($G$7:$G$20="Oaks")*($I$7:$P$20=$B47))+SUM(($G$7:$G$20="Gold Diggers")*($I$7:$P$20=$B47))+SUM(($G$7:$G$20="Towers")*($I$7:$P$20=$B47)))</f>
        <v>#VALUE!</v>
      </c>
      <c r="G47" s="110" t="e">
        <f>IF($A47="","",C47+D47)</f>
        <v>#VALUE!</v>
      </c>
      <c r="H47" s="108" t="e">
        <f>IF($A47="","",SUM(($A$21:$A$29="NL")*($I$21:$P$29=$B47)))</f>
        <v>#VALUE!</v>
      </c>
      <c r="I47" s="111" t="e">
        <f>IF($A47="","",COUNTIF($I$21:$P$29,$B47)-H47)</f>
        <v>#VALUE!</v>
      </c>
      <c r="J47" s="112" t="e">
        <f>IF($A47="","",SUM(($A$2:$A$29="NL")*($I$2:$P$29=$B47)))</f>
        <v>#VALUE!</v>
      </c>
      <c r="K47" s="112" t="e">
        <f>IF($A47="","",COUNTIF($I$2:$P$29,$B47)-C47)</f>
        <v>#VALUE!</v>
      </c>
      <c r="L47" s="104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106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>
      <c r="A48" s="107" t="s">
        <v>126</v>
      </c>
      <c r="B48" s="107" t="s">
        <v>127</v>
      </c>
      <c r="C48" s="108" t="e">
        <f>IF($A48="","",SUM(($A$2:$A$32="Vedligeholdende")*($I$2:$P$32=$B48)))</f>
        <v>#VALUE!</v>
      </c>
      <c r="D48" s="108" t="e">
        <f>IF($A48="","",SUM(($A$2:$A$20="NL")*($I$2:$P$20=$B48)))</f>
        <v>#VALUE!</v>
      </c>
      <c r="E48" s="109" t="e">
        <f>IF($A48="","",SUM(($G$7:$G$20="Razorbacks")*($I$7:$P$20=$B48))+SUM(($G$7:$G$20="Tigers")*($I$7:$P$20=$B48))+SUM(($G$7:$G$20="89ers")*($I$7:$P$20=$B48)))</f>
        <v>#VALUE!</v>
      </c>
      <c r="F48" s="109" t="e">
        <f>IF($A48="","",SUM(($G$7:$G$20="Oaks")*($I$7:$P$20=$B48))+SUM(($G$7:$G$20="Gold Diggers")*($I$7:$P$20=$B48))+SUM(($G$7:$G$20="Towers")*($I$7:$P$20=$B48)))</f>
        <v>#VALUE!</v>
      </c>
      <c r="G48" s="110" t="e">
        <f>IF($A48="","",C48+D48)</f>
        <v>#VALUE!</v>
      </c>
      <c r="H48" s="108" t="e">
        <f>IF($A48="","",SUM(($A$21:$A$29="NL")*($I$21:$P$29=$B48)))</f>
        <v>#VALUE!</v>
      </c>
      <c r="I48" s="111" t="e">
        <f>IF($A48="","",COUNTIF($I$21:$P$29,$B48)-H48)</f>
        <v>#VALUE!</v>
      </c>
      <c r="J48" s="112" t="e">
        <f>IF($A48="","",SUM(($A$2:$A$29="NL")*($I$2:$P$29=$B48)))</f>
        <v>#VALUE!</v>
      </c>
      <c r="K48" s="112" t="e">
        <f>IF($A48="","",COUNTIF($I$2:$P$29,$B48)-C48)</f>
        <v>#VALUE!</v>
      </c>
      <c r="L48" s="104"/>
      <c r="M48" s="7"/>
      <c r="N48" s="7"/>
      <c r="O48" s="7"/>
      <c r="P48" s="7"/>
      <c r="Q48" s="66"/>
      <c r="R48" s="7"/>
      <c r="S48" s="7"/>
      <c r="T48" s="7"/>
      <c r="U48" s="7"/>
      <c r="V48" s="7"/>
      <c r="W48" s="7"/>
      <c r="X48" s="7"/>
      <c r="Y48" s="106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>
      <c r="A49" s="107" t="s">
        <v>128</v>
      </c>
      <c r="B49" s="107" t="s">
        <v>66</v>
      </c>
      <c r="C49" s="108" t="e">
        <f>IF($A49="","",SUM(($A$2:$A$32="Vedligeholdende")*($I$2:$P$32=$B49)))</f>
        <v>#VALUE!</v>
      </c>
      <c r="D49" s="108" t="e">
        <f>IF($A49="","",SUM(($A$2:$A$20="NL")*($I$2:$P$20=$B49)))</f>
        <v>#VALUE!</v>
      </c>
      <c r="E49" s="109" t="e">
        <f>IF($A49="","",SUM(($G$7:$G$20="Razorbacks")*($I$7:$P$20=$B49))+SUM(($G$7:$G$20="Tigers")*($I$7:$P$20=$B49))+SUM(($G$7:$G$20="89ers")*($I$7:$P$20=$B49)))</f>
        <v>#VALUE!</v>
      </c>
      <c r="F49" s="109" t="e">
        <f>IF($A49="","",SUM(($G$7:$G$20="Oaks")*($I$7:$P$20=$B49))+SUM(($G$7:$G$20="Gold Diggers")*($I$7:$P$20=$B49))+SUM(($G$7:$G$20="Towers")*($I$7:$P$20=$B49)))</f>
        <v>#VALUE!</v>
      </c>
      <c r="G49" s="110" t="e">
        <f>IF($A49="","",C49+D49)</f>
        <v>#VALUE!</v>
      </c>
      <c r="H49" s="108" t="e">
        <f>IF($A49="","",SUM(($A$21:$A$29="NL")*($I$21:$P$29=$B49)))</f>
        <v>#VALUE!</v>
      </c>
      <c r="I49" s="111" t="e">
        <f>IF($A49="","",COUNTIF($I$21:$P$29,$B49)-H49)</f>
        <v>#VALUE!</v>
      </c>
      <c r="J49" s="112" t="e">
        <f>IF($A49="","",SUM(($A$2:$A$29="NL")*($I$2:$P$29=$B49)))</f>
        <v>#VALUE!</v>
      </c>
      <c r="K49" s="112" t="e">
        <f>IF($A49="","",COUNTIF($I$2:$P$29,$B49)-C49)</f>
        <v>#VALUE!</v>
      </c>
      <c r="L49" s="104"/>
      <c r="M49" s="7"/>
      <c r="N49" s="7"/>
      <c r="O49" s="7"/>
      <c r="P49" s="7"/>
      <c r="Q49" s="7"/>
      <c r="R49" s="7" t="s">
        <f>DATA!I66</f>
      </c>
      <c r="S49" s="7"/>
      <c r="T49" s="7"/>
      <c r="U49" s="7">
        <f>SUMIF(G$12:G$32,Q51,Y$12:Y$29)</f>
        <v>0</v>
      </c>
      <c r="V49" s="7" t="e">
        <f>U49/R51</f>
        <v>#DIV/0!</v>
      </c>
      <c r="W49" s="7"/>
      <c r="X49" s="7"/>
      <c r="Y49" s="106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>
      <c r="A50" s="104" t="s">
        <v>129</v>
      </c>
      <c r="B50" s="104" t="s">
        <v>83</v>
      </c>
      <c r="C50" s="108" t="e">
        <f>IF($A50="","",SUM(($A$2:$A$32="Vedligeholdende")*($I$2:$P$32=$B50)))</f>
        <v>#VALUE!</v>
      </c>
      <c r="D50" s="108" t="e">
        <f>IF($A50="","",SUM(($A$2:$A$20="NL")*($I$2:$P$20=$B50)))</f>
        <v>#VALUE!</v>
      </c>
      <c r="E50" s="109" t="e">
        <f>IF($A50="","",SUM(($G$7:$G$20="Razorbacks")*($I$7:$P$20=$B50))+SUM(($G$7:$G$20="Tigers")*($I$7:$P$20=$B50))+SUM(($G$7:$G$20="89ers")*($I$7:$P$20=$B50)))</f>
        <v>#VALUE!</v>
      </c>
      <c r="F50" s="109" t="e">
        <f>IF($A50="","",SUM(($G$7:$G$20="Oaks")*($I$7:$P$20=$B50))+SUM(($G$7:$G$20="Gold Diggers")*($I$7:$P$20=$B50))+SUM(($G$7:$G$20="Towers")*($I$7:$P$20=$B50)))</f>
        <v>#VALUE!</v>
      </c>
      <c r="G50" s="110" t="e">
        <f>IF($A50="","",C50+D50)</f>
        <v>#VALUE!</v>
      </c>
      <c r="H50" s="108" t="e">
        <f>IF($A50="","",SUM(($A$21:$A$29="NL")*($I$21:$P$29=$B50)))</f>
        <v>#VALUE!</v>
      </c>
      <c r="I50" s="111" t="e">
        <f>IF($A50="","",COUNTIF($I$21:$P$29,$B50)-H50)</f>
        <v>#VALUE!</v>
      </c>
      <c r="J50" s="112" t="e">
        <f>IF($A50="","",SUM(($A$2:$A$29="NL")*($I$2:$P$29=$B50)))</f>
        <v>#VALUE!</v>
      </c>
      <c r="K50" s="112" t="e">
        <f>IF($A50="","",COUNTIF($I$2:$P$29,$B50)-C50)</f>
        <v>#VALUE!</v>
      </c>
      <c r="L50" s="104"/>
      <c r="M50" s="7"/>
      <c r="N50" s="7"/>
      <c r="O50" s="7"/>
      <c r="P50" s="7"/>
      <c r="Q50" s="7"/>
      <c r="R50" s="7" t="s">
        <f>DATA!I67</f>
      </c>
      <c r="S50" s="113"/>
      <c r="T50" s="7"/>
      <c r="U50" s="7"/>
      <c r="V50" s="7"/>
      <c r="W50" s="7"/>
      <c r="X50" s="7"/>
      <c r="Y50" s="106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>
      <c r="A51" s="107" t="s">
        <v>130</v>
      </c>
      <c r="B51" s="107" t="s">
        <v>58</v>
      </c>
      <c r="C51" s="108" t="e">
        <f>IF($A51="","",SUM(($A$2:$A$32="Vedligeholdende")*($I$2:$P$32=$B51)))</f>
        <v>#VALUE!</v>
      </c>
      <c r="D51" s="108" t="e">
        <f>IF($A51="","",SUM(($A$2:$A$20="NL")*($I$2:$P$20=$B51)))</f>
        <v>#VALUE!</v>
      </c>
      <c r="E51" s="109" t="e">
        <f>IF($A51="","",SUM(($G$7:$G$20="Razorbacks")*($I$7:$P$20=$B51))+SUM(($G$7:$G$20="Tigers")*($I$7:$P$20=$B51))+SUM(($G$7:$G$20="89ers")*($I$7:$P$20=$B51)))</f>
        <v>#VALUE!</v>
      </c>
      <c r="F51" s="109" t="e">
        <f>IF($A51="","",SUM(($G$7:$G$20="Oaks")*($I$7:$P$20=$B51))+SUM(($G$7:$G$20="Gold Diggers")*($I$7:$P$20=$B51))+SUM(($G$7:$G$20="Towers")*($I$7:$P$20=$B51)))</f>
        <v>#VALUE!</v>
      </c>
      <c r="G51" s="110" t="e">
        <f>IF($A51="","",C51+D51)</f>
        <v>#VALUE!</v>
      </c>
      <c r="H51" s="108" t="e">
        <f>IF($A51="","",SUM(($A$21:$A$29="NL")*($I$21:$P$29=$B51)))</f>
        <v>#VALUE!</v>
      </c>
      <c r="I51" s="111" t="e">
        <f>IF($A51="","",COUNTIF($I$21:$P$29,$B51)-H51)</f>
        <v>#VALUE!</v>
      </c>
      <c r="J51" s="112" t="e">
        <f>IF($A51="","",SUM(($A$2:$A$29="NL")*($I$2:$P$29=$B51)))</f>
        <v>#VALUE!</v>
      </c>
      <c r="K51" s="112" t="e">
        <f>IF($A51="","",COUNTIF($I$2:$P$29,$B51)-C51)</f>
        <v>#VALUE!</v>
      </c>
      <c r="L51" s="104"/>
      <c r="M51" s="7"/>
      <c r="N51" s="7"/>
      <c r="O51" s="7"/>
      <c r="P51" s="7"/>
      <c r="Q51" s="66"/>
      <c r="R51" s="7"/>
      <c r="S51" s="7"/>
      <c r="T51" s="7"/>
      <c r="U51" s="7"/>
      <c r="V51" s="7"/>
      <c r="W51" s="7"/>
      <c r="X51" s="7"/>
      <c r="Y51" s="106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>
      <c r="A52" s="120" t="s">
        <v>131</v>
      </c>
      <c r="B52" s="120" t="s">
        <v>132</v>
      </c>
      <c r="C52" s="108" t="e">
        <f>IF($A52="","",SUM(($A$2:$A$32="Vedligeholdende")*($I$2:$P$32=$B52)))</f>
        <v>#VALUE!</v>
      </c>
      <c r="D52" s="108" t="e">
        <f>IF($A52="","",SUM(($A$2:$A$20="NL")*($I$2:$P$20=$B52)))</f>
        <v>#VALUE!</v>
      </c>
      <c r="E52" s="109" t="e">
        <f>IF($A52="","",SUM(($G$7:$G$20="Razorbacks")*($I$7:$P$20=$B52))+SUM(($G$7:$G$20="Tigers")*($I$7:$P$20=$B52))+SUM(($G$7:$G$20="89ers")*($I$7:$P$20=$B52)))</f>
        <v>#VALUE!</v>
      </c>
      <c r="F52" s="109" t="e">
        <f>IF($A52="","",SUM(($G$7:$G$20="Oaks")*($I$7:$P$20=$B52))+SUM(($G$7:$G$20="Gold Diggers")*($I$7:$P$20=$B52))+SUM(($G$7:$G$20="Towers")*($I$7:$P$20=$B52)))</f>
        <v>#VALUE!</v>
      </c>
      <c r="G52" s="110" t="e">
        <f>IF($A52="","",C52+D52)</f>
        <v>#VALUE!</v>
      </c>
      <c r="H52" s="108" t="e">
        <f>IF($A52="","",SUM(($A$21:$A$29="NL")*($I$21:$P$29=$B52)))</f>
        <v>#VALUE!</v>
      </c>
      <c r="I52" s="111" t="e">
        <f>IF($A52="","",COUNTIF($I$21:$P$29,$B52)-H52)</f>
        <v>#VALUE!</v>
      </c>
      <c r="J52" s="112" t="e">
        <f>IF($A52="","",SUM(($A$2:$A$29="NL")*($I$2:$P$29=$B52)))</f>
        <v>#VALUE!</v>
      </c>
      <c r="K52" s="112" t="e">
        <f>IF($A52="","",COUNTIF($I$2:$P$29,$B52)-C52)</f>
        <v>#VALUE!</v>
      </c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</row>
    <row r="53">
      <c r="A53" s="120" t="s">
        <v>133</v>
      </c>
      <c r="B53" s="120" t="s">
        <v>134</v>
      </c>
      <c r="C53" s="108" t="e">
        <f>IF($A53="","",SUM(($A$2:$A$32="Vedligeholdende")*($I$2:$P$32=$B53)))</f>
        <v>#VALUE!</v>
      </c>
      <c r="D53" s="108" t="e">
        <f>IF($A53="","",SUM(($A$2:$A$20="NL")*($I$2:$P$20=$B53)))</f>
        <v>#VALUE!</v>
      </c>
      <c r="E53" s="109" t="e">
        <f>IF($A53="","",SUM(($G$7:$G$20="Razorbacks")*($I$7:$P$20=$B53))+SUM(($G$7:$G$20="Tigers")*($I$7:$P$20=$B53))+SUM(($G$7:$G$20="89ers")*($I$7:$P$20=$B53)))</f>
        <v>#VALUE!</v>
      </c>
      <c r="F53" s="109" t="e">
        <f>IF($A53="","",SUM(($G$7:$G$20="Oaks")*($I$7:$P$20=$B53))+SUM(($G$7:$G$20="Gold Diggers")*($I$7:$P$20=$B53))+SUM(($G$7:$G$20="Towers")*($I$7:$P$20=$B53)))</f>
        <v>#VALUE!</v>
      </c>
      <c r="G53" s="110" t="e">
        <f>IF($A53="","",C53+D53)</f>
        <v>#VALUE!</v>
      </c>
      <c r="H53" s="108" t="e">
        <f>IF($A53="","",SUM(($A$21:$A$29="NL")*($I$21:$P$29=$B53)))</f>
        <v>#VALUE!</v>
      </c>
      <c r="I53" s="111" t="e">
        <f>IF($A53="","",COUNTIF($I$21:$P$29,$B53)-H53)</f>
        <v>#VALUE!</v>
      </c>
      <c r="J53" s="112" t="e">
        <f>IF($A53="","",SUM(($A$2:$A$29="NL")*($I$2:$P$29=$B53)))</f>
        <v>#VALUE!</v>
      </c>
      <c r="K53" s="112" t="e">
        <f>IF($A53="","",COUNTIF($I$2:$P$29,$B53)-C53)</f>
        <v>#VALUE!</v>
      </c>
      <c r="L53" s="104"/>
      <c r="M53" s="7"/>
      <c r="N53" s="7"/>
      <c r="O53" s="7"/>
      <c r="P53" s="7"/>
      <c r="Q53" s="66"/>
      <c r="R53" s="7"/>
      <c r="S53" s="7"/>
      <c r="T53" s="7"/>
      <c r="U53" s="7"/>
      <c r="V53" s="7"/>
      <c r="W53" s="7"/>
      <c r="X53" s="7"/>
      <c r="Y53" s="106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>
      <c r="A54" s="122" t="s">
        <v>135</v>
      </c>
      <c r="B54" s="122" t="s">
        <v>85</v>
      </c>
      <c r="C54" s="108" t="e">
        <f>IF($A54="","",SUM(($A$2:$A$32="Vedligeholdende")*($I$2:$P$32=$B54)))</f>
        <v>#VALUE!</v>
      </c>
      <c r="D54" s="108" t="e">
        <f>IF($A54="","",SUM(($A$2:$A$20="NL")*($I$2:$P$20=$B54)))</f>
        <v>#VALUE!</v>
      </c>
      <c r="E54" s="109" t="e">
        <f>IF($A54="","",SUM(($G$7:$G$20="Razorbacks")*($I$7:$P$20=$B54))+SUM(($G$7:$G$20="Tigers")*($I$7:$P$20=$B54))+SUM(($G$7:$G$20="89ers")*($I$7:$P$20=$B54)))</f>
        <v>#VALUE!</v>
      </c>
      <c r="F54" s="109" t="e">
        <f>IF($A54="","",SUM(($G$7:$G$20="Oaks")*($I$7:$P$20=$B54))+SUM(($G$7:$G$20="Gold Diggers")*($I$7:$P$20=$B54))+SUM(($G$7:$G$20="Towers")*($I$7:$P$20=$B54)))</f>
        <v>#VALUE!</v>
      </c>
      <c r="G54" s="110" t="e">
        <f>IF($A54="","",C54+D54)</f>
        <v>#VALUE!</v>
      </c>
      <c r="H54" s="108" t="e">
        <f>IF($A54="","",SUM(($A$21:$A$29="NL")*($I$21:$P$29=$B54)))</f>
        <v>#VALUE!</v>
      </c>
      <c r="I54" s="111" t="e">
        <f>IF($A54="","",COUNTIF($I$21:$P$29,$B54)-H54)</f>
        <v>#VALUE!</v>
      </c>
      <c r="J54" s="112" t="e">
        <f>IF($A54="","",SUM(($A$2:$A$29="NL")*($I$2:$P$29=$B54)))</f>
        <v>#VALUE!</v>
      </c>
      <c r="K54" s="112" t="e">
        <f>IF($A54="","",COUNTIF($I$2:$P$29,$B54)-C54)</f>
        <v>#VALUE!</v>
      </c>
      <c r="L54" s="104"/>
      <c r="M54" s="7"/>
      <c r="N54" s="7"/>
      <c r="O54" s="7"/>
      <c r="P54" s="7"/>
      <c r="Q54" s="66"/>
      <c r="R54" s="7"/>
      <c r="S54" s="7"/>
      <c r="T54" s="7"/>
      <c r="U54" s="7"/>
      <c r="V54" s="7"/>
      <c r="W54" s="7"/>
      <c r="X54" s="7"/>
      <c r="Y54" s="106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>
      <c r="A55" s="120"/>
      <c r="B55" s="120"/>
      <c r="C55" s="108" t="str">
        <f>IF($A55="","",SUM(($A$2:$A$32="Vedligeholdende")*($I$2:$P$32=$B55)))</f>
        <v/>
      </c>
      <c r="D55" s="108" t="str">
        <f>IF($A55="","",SUM(($A$2:$A$20="NL")*($I$2:$P$20=$B55)))</f>
        <v/>
      </c>
      <c r="E55" s="109" t="str">
        <f>IF($A55="","",SUM(($G$7:$G$20="Razorbacks")*($I$7:$P$20=$B55))+SUM(($G$7:$G$20="Tigers")*($I$7:$P$20=$B55))+SUM(($G$7:$G$20="89ers")*($I$7:$P$20=$B55)))</f>
        <v/>
      </c>
      <c r="F55" s="109" t="str">
        <f>IF($A55="","",SUM(($G$7:$G$20="Oaks")*($I$7:$P$20=$B55))+SUM(($G$7:$G$20="Gold Diggers")*($I$7:$P$20=$B55))+SUM(($G$7:$G$20="Towers")*($I$7:$P$20=$B55)))</f>
        <v/>
      </c>
      <c r="G55" s="110" t="str">
        <f>IF($A55="","",C55+D55)</f>
        <v/>
      </c>
      <c r="H55" s="108" t="str">
        <f>IF($A55="","",SUM(($A$21:$A$29="NL")*($I$21:$P$29=$B55)))</f>
        <v/>
      </c>
      <c r="I55" s="111" t="str">
        <f>IF($A55="","",COUNTIF($I$21:$P$29,$B55)-H55)</f>
        <v/>
      </c>
      <c r="J55" s="112" t="str">
        <f>IF($A55="","",SUM(($A$2:$A$29="NL")*($I$2:$P$29=$B55)))</f>
        <v/>
      </c>
      <c r="K55" s="112" t="str">
        <f>IF($A55="","",COUNTIF($I$2:$P$29,$B55)-C55)</f>
        <v/>
      </c>
      <c r="L55" s="104"/>
      <c r="M55" s="7"/>
      <c r="N55" s="7"/>
      <c r="O55" s="7"/>
      <c r="P55" s="7"/>
      <c r="Q55" s="66"/>
      <c r="R55" s="7"/>
      <c r="S55" s="7"/>
      <c r="T55" s="7"/>
      <c r="U55" s="7"/>
      <c r="V55" s="7"/>
      <c r="W55" s="7"/>
      <c r="X55" s="7"/>
      <c r="Y55" s="106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>
      <c r="A56" s="107" t="s">
        <v>136</v>
      </c>
      <c r="B56" s="107" t="s">
        <v>79</v>
      </c>
      <c r="C56" s="108" t="e">
        <f>IF($A56="","",SUM(($A$2:$A$32="Vedligeholdende")*($I$2:$P$32=$B56)))</f>
        <v>#VALUE!</v>
      </c>
      <c r="D56" s="108" t="e">
        <f>IF($A56="","",SUM(($A$2:$A$20="NL")*($I$2:$P$20=$B56)))</f>
        <v>#VALUE!</v>
      </c>
      <c r="E56" s="109" t="e">
        <f>IF($A56="","",SUM(($G$7:$G$20="Razorbacks")*($I$7:$P$20=$B56))+SUM(($G$7:$G$20="Tigers")*($I$7:$P$20=$B56))+SUM(($G$7:$G$20="89ers")*($I$7:$P$20=$B56)))</f>
        <v>#VALUE!</v>
      </c>
      <c r="F56" s="109" t="e">
        <f>IF($A56="","",SUM(($G$7:$G$20="Oaks")*($I$7:$P$20=$B56))+SUM(($G$7:$G$20="Gold Diggers")*($I$7:$P$20=$B56))+SUM(($G$7:$G$20="Towers")*($I$7:$P$20=$B56)))</f>
        <v>#VALUE!</v>
      </c>
      <c r="G56" s="110" t="e">
        <f>IF($A56="","",C56+D56)</f>
        <v>#VALUE!</v>
      </c>
      <c r="H56" s="108" t="e">
        <f>IF($A56="","",SUM(($A$21:$A$29="NL")*($I$21:$P$29=$B56)))</f>
        <v>#VALUE!</v>
      </c>
      <c r="I56" s="111" t="e">
        <f>IF($A56="","",COUNTIF($I$21:$P$29,$B56)-H56)</f>
        <v>#VALUE!</v>
      </c>
      <c r="J56" s="112" t="e">
        <f>IF($A56="","",SUM(($A$2:$A$29="NL")*($I$2:$P$29=$B56)))</f>
        <v>#VALUE!</v>
      </c>
      <c r="K56" s="112" t="e">
        <f>IF($A56="","",COUNTIF($I$2:$P$29,$B56)-C56)</f>
        <v>#VALUE!</v>
      </c>
      <c r="L56" s="104"/>
      <c r="M56" s="8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106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>
      <c r="A57" s="104" t="s">
        <v>137</v>
      </c>
      <c r="B57" s="104" t="s">
        <v>138</v>
      </c>
      <c r="C57" s="108" t="e">
        <f>IF($A57="","",SUM(($A$2:$A$32="Vedligeholdende")*($I$2:$P$32=$B57)))</f>
        <v>#VALUE!</v>
      </c>
      <c r="D57" s="108" t="e">
        <f>IF($A57="","",SUM(($A$2:$A$20="NL")*($I$2:$P$20=$B57)))</f>
        <v>#VALUE!</v>
      </c>
      <c r="E57" s="109" t="e">
        <f>IF($A57="","",SUM(($G$7:$G$20="Razorbacks")*($I$7:$P$20=$B57))+SUM(($G$7:$G$20="Tigers")*($I$7:$P$20=$B57))+SUM(($G$7:$G$20="89ers")*($I$7:$P$20=$B57)))</f>
        <v>#VALUE!</v>
      </c>
      <c r="F57" s="109" t="e">
        <f>IF($A57="","",SUM(($G$7:$G$20="Oaks")*($I$7:$P$20=$B57))+SUM(($G$7:$G$20="Gold Diggers")*($I$7:$P$20=$B57))+SUM(($G$7:$G$20="Towers")*($I$7:$P$20=$B57)))</f>
        <v>#VALUE!</v>
      </c>
      <c r="G57" s="110" t="e">
        <f>IF($A57="","",C57+D57)</f>
        <v>#VALUE!</v>
      </c>
      <c r="H57" s="108" t="e">
        <f>IF($A57="","",SUM(($A$21:$A$29="NL")*($I$21:$P$29=$B57)))</f>
        <v>#VALUE!</v>
      </c>
      <c r="I57" s="111" t="e">
        <f>IF($A57="","",COUNTIF($I$21:$P$29,$B57)-H57)</f>
        <v>#VALUE!</v>
      </c>
      <c r="J57" s="112" t="e">
        <f>IF($A57="","",SUM(($A$2:$A$29="NL")*($I$2:$P$29=$B57)))</f>
        <v>#VALUE!</v>
      </c>
      <c r="K57" s="112" t="e">
        <f>IF($A57="","",COUNTIF($I$2:$P$29,$B57)-C57)</f>
        <v>#VALUE!</v>
      </c>
      <c r="L57" s="104"/>
      <c r="M57" s="7"/>
      <c r="N57" s="7"/>
      <c r="O57" s="7"/>
      <c r="P57" s="7"/>
      <c r="Q57" s="66"/>
      <c r="R57" s="7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</row>
    <row r="58">
      <c r="A58" s="104" t="s">
        <v>139</v>
      </c>
      <c r="B58" s="104" t="s">
        <v>140</v>
      </c>
      <c r="C58" s="108" t="e">
        <f>IF($A58="","",SUM(($A$2:$A$32="Vedligeholdende")*($I$2:$P$32=$B58)))</f>
        <v>#VALUE!</v>
      </c>
      <c r="D58" s="108" t="e">
        <f>IF($A58="","",SUM(($A$2:$A$20="NL")*($I$2:$P$20=$B58)))</f>
        <v>#VALUE!</v>
      </c>
      <c r="E58" s="109" t="e">
        <f>IF($A58="","",SUM(($G$7:$G$20="Razorbacks")*($I$7:$P$20=$B58))+SUM(($G$7:$G$20="Tigers")*($I$7:$P$20=$B58))+SUM(($G$7:$G$20="89ers")*($I$7:$P$20=$B58)))</f>
        <v>#VALUE!</v>
      </c>
      <c r="F58" s="109" t="e">
        <f>IF($A58="","",SUM(($G$7:$G$20="Oaks")*($I$7:$P$20=$B58))+SUM(($G$7:$G$20="Gold Diggers")*($I$7:$P$20=$B58))+SUM(($G$7:$G$20="Towers")*($I$7:$P$20=$B58)))</f>
        <v>#VALUE!</v>
      </c>
      <c r="G58" s="110" t="e">
        <f>IF($A58="","",C58+D58)</f>
        <v>#VALUE!</v>
      </c>
      <c r="H58" s="108" t="e">
        <f>IF($A58="","",SUM(($A$21:$A$29="NL")*($I$21:$P$29=$B58)))</f>
        <v>#VALUE!</v>
      </c>
      <c r="I58" s="111" t="e">
        <f>IF($A58="","",COUNTIF($I$21:$P$29,$B58)-H58)</f>
        <v>#VALUE!</v>
      </c>
      <c r="J58" s="112" t="e">
        <f>IF($A58="","",SUM(($A$2:$A$29="NL")*($I$2:$P$29=$B58)))</f>
        <v>#VALUE!</v>
      </c>
      <c r="K58" s="112" t="e">
        <f>IF($A58="","",COUNTIF($I$2:$P$29,$B58)-C58)</f>
        <v>#VALUE!</v>
      </c>
      <c r="L58" s="104"/>
      <c r="M58" s="7"/>
      <c r="N58" s="7"/>
      <c r="O58" s="7"/>
      <c r="P58" s="7"/>
      <c r="Q58" s="66"/>
      <c r="R58" s="7"/>
      <c r="S58" s="7"/>
      <c r="T58" s="113"/>
      <c r="U58" s="113"/>
      <c r="V58" s="113"/>
      <c r="W58" s="113"/>
      <c r="X58" s="113"/>
      <c r="Y58" s="106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>
      <c r="A59" s="104" t="s">
        <v>141</v>
      </c>
      <c r="B59" s="104" t="s">
        <v>65</v>
      </c>
      <c r="C59" s="108" t="e">
        <f>IF($A59="","",SUM(($A$2:$A$32="Vedligeholdende")*($I$2:$P$32=$B59)))</f>
        <v>#VALUE!</v>
      </c>
      <c r="D59" s="108" t="e">
        <f>IF($A59="","",SUM(($A$2:$A$20="NL")*($I$2:$P$20=$B59)))</f>
        <v>#VALUE!</v>
      </c>
      <c r="E59" s="109" t="e">
        <f>IF($A59="","",SUM(($G$7:$G$20="Razorbacks")*($I$7:$P$20=$B59))+SUM(($G$7:$G$20="Tigers")*($I$7:$P$20=$B59))+SUM(($G$7:$G$20="89ers")*($I$7:$P$20=$B59)))</f>
        <v>#VALUE!</v>
      </c>
      <c r="F59" s="109" t="e">
        <f>IF($A59="","",SUM(($G$7:$G$20="Oaks")*($I$7:$P$20=$B59))+SUM(($G$7:$G$20="Gold Diggers")*($I$7:$P$20=$B59))+SUM(($G$7:$G$20="Towers")*($I$7:$P$20=$B59)))</f>
        <v>#VALUE!</v>
      </c>
      <c r="G59" s="110" t="e">
        <f>IF($A59="","",C59+D59)</f>
        <v>#VALUE!</v>
      </c>
      <c r="H59" s="108" t="e">
        <f>IF($A59="","",SUM(($A$21:$A$29="NL")*($I$21:$P$29=$B59)))</f>
        <v>#VALUE!</v>
      </c>
      <c r="I59" s="111" t="e">
        <f>IF($A59="","",COUNTIF($I$21:$P$29,$B59)-H59)</f>
        <v>#VALUE!</v>
      </c>
      <c r="J59" s="112" t="e">
        <f>IF($A59="","",SUM(($A$2:$A$29="NL")*($I$2:$P$29=$B59)))</f>
        <v>#VALUE!</v>
      </c>
      <c r="K59" s="112" t="e">
        <f>IF($A59="","",COUNTIF($I$2:$P$29,$B59)-C59)</f>
        <v>#VALUE!</v>
      </c>
      <c r="L59" s="104"/>
      <c r="M59" s="7"/>
      <c r="N59" s="7"/>
      <c r="O59" s="7"/>
      <c r="P59" s="7"/>
      <c r="Q59" s="66"/>
      <c r="R59" s="7"/>
      <c r="S59" s="7"/>
      <c r="T59" s="7"/>
      <c r="U59" s="7">
        <f>SUMIF(G$12:G$32,Q57,Y$12:Y$29)</f>
        <v>0</v>
      </c>
      <c r="V59" s="7" t="e">
        <f>U59/R57</f>
        <v>#DIV/0!</v>
      </c>
      <c r="W59" s="7"/>
      <c r="X59" s="7"/>
      <c r="Y59" s="106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>
      <c r="A60" s="107" t="s">
        <v>142</v>
      </c>
      <c r="B60" s="107" t="s">
        <v>72</v>
      </c>
      <c r="C60" s="108" t="e">
        <f>IF($A60="","",SUM(($A$2:$A$32="Vedligeholdende")*($I$2:$P$32=$B60)))</f>
        <v>#VALUE!</v>
      </c>
      <c r="D60" s="108" t="e">
        <f>IF($A60="","",SUM(($A$2:$A$20="NL")*($I$2:$P$20=$B60)))</f>
        <v>#VALUE!</v>
      </c>
      <c r="E60" s="109" t="e">
        <f>IF($A60="","",SUM(($G$7:$G$20="Razorbacks")*($I$7:$P$20=$B60))+SUM(($G$7:$G$20="Tigers")*($I$7:$P$20=$B60))+SUM(($G$7:$G$20="89ers")*($I$7:$P$20=$B60)))</f>
        <v>#VALUE!</v>
      </c>
      <c r="F60" s="109" t="e">
        <f>IF($A60="","",SUM(($G$7:$G$20="Oaks")*($I$7:$P$20=$B60))+SUM(($G$7:$G$20="Gold Diggers")*($I$7:$P$20=$B60))+SUM(($G$7:$G$20="Towers")*($I$7:$P$20=$B60)))</f>
        <v>#VALUE!</v>
      </c>
      <c r="G60" s="110" t="e">
        <f>IF($A60="","",C60+D60)</f>
        <v>#VALUE!</v>
      </c>
      <c r="H60" s="108" t="e">
        <f>IF($A60="","",SUM(($A$21:$A$29="NL")*($I$21:$P$29=$B60)))</f>
        <v>#VALUE!</v>
      </c>
      <c r="I60" s="111" t="e">
        <f>IF($A60="","",COUNTIF($I$21:$P$29,$B60)-H60)</f>
        <v>#VALUE!</v>
      </c>
      <c r="J60" s="112" t="e">
        <f>IF($A60="","",SUM(($A$2:$A$29="NL")*($I$2:$P$29=$B60)))</f>
        <v>#VALUE!</v>
      </c>
      <c r="K60" s="112" t="e">
        <f>IF($A60="","",COUNTIF($I$2:$P$29,$B60)-C60)</f>
        <v>#VALUE!</v>
      </c>
      <c r="L60" s="104"/>
      <c r="M60" s="7"/>
      <c r="N60" s="7"/>
      <c r="O60" s="7"/>
      <c r="P60" s="7"/>
      <c r="Q60" s="66"/>
      <c r="R60" s="7"/>
      <c r="S60" s="7"/>
      <c r="T60" s="7"/>
      <c r="U60" s="7"/>
      <c r="V60" s="7"/>
      <c r="W60" s="7"/>
      <c r="X60" s="7"/>
      <c r="Y60" s="106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>
      <c r="A61" s="120"/>
      <c r="B61" s="120"/>
      <c r="C61" s="108" t="str">
        <f>IF($A61="","",SUM(($A$2:$A$32="Vedligeholdende")*($I$2:$P$32=$B61)))</f>
        <v/>
      </c>
      <c r="D61" s="108" t="str">
        <f>IF($A61="","",SUM(($A$2:$A$20="NL")*($I$2:$P$20=$B61)))</f>
        <v/>
      </c>
      <c r="E61" s="109" t="str">
        <f>IF($A61="","",SUM(($G$7:$G$20="Razorbacks")*($I$7:$P$20=$B61))+SUM(($G$7:$G$20="Tigers")*($I$7:$P$20=$B61))+SUM(($G$7:$G$20="89ers")*($I$7:$P$20=$B61)))</f>
        <v/>
      </c>
      <c r="F61" s="109" t="str">
        <f>IF($A61="","",SUM(($G$7:$G$20="Oaks")*($I$7:$P$20=$B61))+SUM(($G$7:$G$20="Gold Diggers")*($I$7:$P$20=$B61))+SUM(($G$7:$G$20="Towers")*($I$7:$P$20=$B61)))</f>
        <v/>
      </c>
      <c r="G61" s="110" t="str">
        <f>IF($A61="","",C61+D61)</f>
        <v/>
      </c>
      <c r="H61" s="108" t="str">
        <f>IF($A61="","",SUM(($A$21:$A$29="NL")*($I$21:$P$29=$B61)))</f>
        <v/>
      </c>
      <c r="I61" s="111" t="str">
        <f>IF($A61="","",COUNTIF($I$21:$P$29,$B61)-H61)</f>
        <v/>
      </c>
      <c r="J61" s="112" t="str">
        <f>IF($A61="","",SUM(($A$2:$A$29="NL")*($I$2:$P$29=$B61)))</f>
        <v/>
      </c>
      <c r="K61" s="112" t="str">
        <f>IF($A61="","",COUNTIF($I$2:$P$29,$B61)-C61)</f>
        <v/>
      </c>
      <c r="L61" s="104"/>
      <c r="M61" s="7"/>
      <c r="N61" s="7"/>
      <c r="O61" s="7"/>
      <c r="P61" s="7"/>
      <c r="Q61" s="66"/>
      <c r="R61" s="7"/>
      <c r="S61" s="7"/>
      <c r="T61" s="7"/>
      <c r="U61" s="7"/>
      <c r="V61" s="7"/>
      <c r="W61" s="7"/>
      <c r="X61" s="7"/>
      <c r="Y61" s="106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>
      <c r="A62" s="104" t="s">
        <v>143</v>
      </c>
      <c r="B62" s="104" t="s">
        <v>84</v>
      </c>
      <c r="C62" s="108" t="e">
        <f>IF($A62="","",SUM(($A$2:$A$32="Vedligeholdende")*($I$2:$P$32=$B62)))</f>
        <v>#VALUE!</v>
      </c>
      <c r="D62" s="108" t="e">
        <f>IF($A62="","",SUM(($A$2:$A$20="NL")*($I$2:$P$20=$B62)))+1</f>
        <v>#VALUE!</v>
      </c>
      <c r="E62" s="109" t="e">
        <f>IF($A62="","",SUM(($G$7:$G$20="Razorbacks")*($I$7:$P$20=$B62))+SUM(($G$7:$G$20="Tigers")*($I$7:$P$20=$B62))+SUM(($G$7:$G$20="89ers")*($I$7:$P$20=$B62)))</f>
        <v>#VALUE!</v>
      </c>
      <c r="F62" s="109" t="e">
        <f>IF($A62="","",SUM(($G$7:$G$20="Oaks")*($I$7:$P$20=$B62))+SUM(($G$7:$G$20="Gold Diggers")*($I$7:$P$20=$B62))+SUM(($G$7:$G$20="Towers")*($I$7:$P$20=$B62)))+1</f>
        <v>#VALUE!</v>
      </c>
      <c r="G62" s="110" t="e">
        <f>IF($A62="","",C62+D62)</f>
        <v>#VALUE!</v>
      </c>
      <c r="H62" s="108" t="e">
        <f>IF($A62="","",SUM(($A$21:$A$29="NL")*($I$21:$P$29=$B62)))</f>
        <v>#VALUE!</v>
      </c>
      <c r="I62" s="111" t="e">
        <f>IF($A62="","",COUNTIF($I$21:$P$29,$B62)-H62)</f>
        <v>#VALUE!</v>
      </c>
      <c r="J62" s="112" t="e">
        <f>IF($A62="","",SUM(($A$2:$A$29="NL")*($I$2:$P$29=$B62)))+1</f>
        <v>#VALUE!</v>
      </c>
      <c r="K62" s="112" t="e">
        <f>IF($A62="","",COUNTIF($I$2:$P$29,$B62)-C62)+1</f>
        <v>#VALUE!</v>
      </c>
      <c r="L62" s="104"/>
      <c r="M62" s="7"/>
      <c r="N62" s="7"/>
      <c r="O62" s="7"/>
      <c r="P62" s="7"/>
      <c r="Q62" s="66"/>
      <c r="R62" s="7"/>
      <c r="S62" s="7"/>
      <c r="T62" s="7"/>
      <c r="U62" s="7"/>
      <c r="V62" s="7"/>
      <c r="W62" s="7"/>
      <c r="X62" s="7"/>
      <c r="Y62" s="106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>
      <c r="A63" s="107" t="s">
        <v>144</v>
      </c>
      <c r="B63" s="107" t="s">
        <v>145</v>
      </c>
      <c r="C63" s="108" t="e">
        <f>IF($A63="","",SUM(($A$2:$A$32="Vedligeholdende")*($I$2:$P$32=$B63)))</f>
        <v>#VALUE!</v>
      </c>
      <c r="D63" s="108" t="e">
        <f>IF($A63="","",SUM(($A$2:$A$20="NL")*($I$2:$P$20=$B63)))</f>
        <v>#VALUE!</v>
      </c>
      <c r="E63" s="109" t="e">
        <f>IF($A63="","",SUM(($G$7:$G$20="Razorbacks")*($I$7:$P$20=$B63))+SUM(($G$7:$G$20="Tigers")*($I$7:$P$20=$B63))+SUM(($G$7:$G$20="89ers")*($I$7:$P$20=$B63)))</f>
        <v>#VALUE!</v>
      </c>
      <c r="F63" s="109" t="e">
        <f>IF($A63="","",SUM(($G$7:$G$20="Oaks")*($I$7:$P$20=$B63))+SUM(($G$7:$G$20="Gold Diggers")*($I$7:$P$20=$B63))+SUM(($G$7:$G$20="Towers")*($I$7:$P$20=$B63)))</f>
        <v>#VALUE!</v>
      </c>
      <c r="G63" s="110" t="e">
        <f>IF($A63="","",C63+D63)</f>
        <v>#VALUE!</v>
      </c>
      <c r="H63" s="108" t="e">
        <f>IF($A63="","",SUM(($A$21:$A$29="NL")*($I$21:$P$29=$B63)))</f>
        <v>#VALUE!</v>
      </c>
      <c r="I63" s="111" t="e">
        <f>IF($A63="","",COUNTIF($I$21:$P$29,$B63)-H63)</f>
        <v>#VALUE!</v>
      </c>
      <c r="J63" s="112" t="e">
        <f>IF($A63="","",SUM(($A$2:$A$29="NL")*($I$2:$P$29=$B63)))</f>
        <v>#VALUE!</v>
      </c>
      <c r="K63" s="112" t="e">
        <f>IF($A63="","",COUNTIF($I$2:$P$29,$B63)-C63)</f>
        <v>#VALUE!</v>
      </c>
      <c r="L63" s="104"/>
      <c r="M63" s="7"/>
      <c r="N63" s="7"/>
      <c r="O63" s="7"/>
      <c r="P63" s="7"/>
      <c r="Q63" s="66"/>
      <c r="R63" s="7"/>
      <c r="S63" s="7"/>
      <c r="T63" s="7"/>
      <c r="U63" s="7">
        <f>SUMIF(G$12:G$32,#REF!,Y$12:Y$29)</f>
        <v>0</v>
      </c>
      <c r="V63" s="7" t="e">
        <f>U63/#REF!</f>
        <v>#REF!</v>
      </c>
      <c r="W63" s="7"/>
      <c r="X63" s="7"/>
      <c r="Y63" s="106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>
      <c r="A64" s="104" t="s">
        <v>146</v>
      </c>
      <c r="B64" s="104" t="s">
        <v>147</v>
      </c>
      <c r="C64" s="108" t="e">
        <f>IF($A64="","",SUM(($A$2:$A$32="Vedligeholdende")*($I$2:$P$32=$B64)))</f>
        <v>#VALUE!</v>
      </c>
      <c r="D64" s="108" t="e">
        <f>IF($A64="","",SUM(($A$2:$A$20="NL")*($I$2:$P$20=$B64)))</f>
        <v>#VALUE!</v>
      </c>
      <c r="E64" s="109" t="e">
        <f>IF($A64="","",SUM(($G$7:$G$20="Razorbacks")*($I$7:$P$20=$B64))+SUM(($G$7:$G$20="Tigers")*($I$7:$P$20=$B64))+SUM(($G$7:$G$20="89ers")*($I$7:$P$20=$B64)))</f>
        <v>#VALUE!</v>
      </c>
      <c r="F64" s="109" t="e">
        <f>IF($A64="","",SUM(($G$7:$G$20="Oaks")*($I$7:$P$20=$B64))+SUM(($G$7:$G$20="Gold Diggers")*($I$7:$P$20=$B64))+SUM(($G$7:$G$20="Towers")*($I$7:$P$20=$B64)))</f>
        <v>#VALUE!</v>
      </c>
      <c r="G64" s="110" t="e">
        <f>IF($A64="","",C64+D64)</f>
        <v>#VALUE!</v>
      </c>
      <c r="H64" s="108" t="e">
        <f>IF($A64="","",SUM(($A$21:$A$29="NL")*($I$21:$P$29=$B64)))</f>
        <v>#VALUE!</v>
      </c>
      <c r="I64" s="111" t="e">
        <f>IF($A64="","",COUNTIF($I$21:$P$29,$B64)-H64)</f>
        <v>#VALUE!</v>
      </c>
      <c r="J64" s="112" t="e">
        <f>IF($A64="","",SUM(($A$2:$A$29="NL")*($I$2:$P$29=$B64)))</f>
        <v>#VALUE!</v>
      </c>
      <c r="K64" s="112" t="e">
        <f>IF($A64="","",COUNTIF($I$2:$P$29,$B64)-C64)</f>
        <v>#VALUE!</v>
      </c>
      <c r="L64" s="104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106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>
      <c r="A65" s="123" t="s">
        <v>148</v>
      </c>
      <c r="B65" s="123" t="s">
        <v>149</v>
      </c>
      <c r="C65" s="108" t="e">
        <f>IF($A65="","",SUM(($A$2:$A$32="Vedligeholdende")*($I$2:$P$32=$B65)))</f>
        <v>#VALUE!</v>
      </c>
      <c r="D65" s="108" t="e">
        <f>IF($A65="","",SUM(($A$2:$A$20="NL")*($I$2:$P$20=$B65)))</f>
        <v>#VALUE!</v>
      </c>
      <c r="E65" s="109" t="e">
        <f>IF($A65="","",SUM(($G$7:$G$20="Razorbacks")*($I$7:$P$20=$B65))+SUM(($G$7:$G$20="Tigers")*($I$7:$P$20=$B65))+SUM(($G$7:$G$20="89ers")*($I$7:$P$20=$B65)))</f>
        <v>#VALUE!</v>
      </c>
      <c r="F65" s="109" t="e">
        <f>IF($A65="","",SUM(($G$7:$G$20="Oaks")*($I$7:$P$20=$B65))+SUM(($G$7:$G$20="Gold Diggers")*($I$7:$P$20=$B65))+SUM(($G$7:$G$20="Towers")*($I$7:$P$20=$B65)))</f>
        <v>#VALUE!</v>
      </c>
      <c r="G65" s="110" t="e">
        <f>IF($A65="","",C65+D65)</f>
        <v>#VALUE!</v>
      </c>
      <c r="H65" s="108" t="e">
        <f>IF($A65="","",SUM(($A$21:$A$29="NL")*($I$21:$P$29=$B65)))</f>
        <v>#VALUE!</v>
      </c>
      <c r="I65" s="111" t="e">
        <f>IF($A65="","",COUNTIF($I$21:$P$29,$B65)-H65)</f>
        <v>#VALUE!</v>
      </c>
      <c r="J65" s="112" t="e">
        <f>IF($A65="","",SUM(($A$2:$A$29="NL")*($I$2:$P$29=$B65)))</f>
        <v>#VALUE!</v>
      </c>
      <c r="K65" s="112" t="e">
        <f>IF($A65="","",COUNTIF($I$2:$P$29,$B65)-C65)</f>
        <v>#VALUE!</v>
      </c>
      <c r="L65" s="7"/>
      <c r="M65" s="7"/>
      <c r="N65" s="7"/>
      <c r="O65" s="7"/>
      <c r="P65" s="66"/>
      <c r="Q65" s="7"/>
      <c r="R65" s="7"/>
      <c r="S65" s="7"/>
      <c r="T65" s="7"/>
      <c r="U65" s="7"/>
      <c r="V65" s="7"/>
      <c r="W65" s="7"/>
      <c r="X65" s="7"/>
      <c r="Y65" s="106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>
      <c r="A66" s="104" t="s">
        <v>150</v>
      </c>
      <c r="B66" s="104" t="s">
        <v>50</v>
      </c>
      <c r="C66" s="108" t="e">
        <f>IF($A66="","",SUM(($A$2:$A$32="Vedligeholdende")*($I$2:$P$32=$B66)))</f>
        <v>#VALUE!</v>
      </c>
      <c r="D66" s="108" t="e">
        <f>IF($A66="","",SUM(($A$2:$A$20="NL")*($I$2:$P$20=$B66)))</f>
        <v>#VALUE!</v>
      </c>
      <c r="E66" s="109" t="e">
        <f>IF($A66="","",SUM(($G$7:$G$20="Razorbacks")*($I$7:$P$20=$B66))+SUM(($G$7:$G$20="Tigers")*($I$7:$P$20=$B66))+SUM(($G$7:$G$20="89ers")*($I$7:$P$20=$B66)))</f>
        <v>#VALUE!</v>
      </c>
      <c r="F66" s="109" t="e">
        <f>IF($A66="","",SUM(($G$7:$G$20="Oaks")*($I$7:$P$20=$B66))+SUM(($G$7:$G$20="Gold Diggers")*($I$7:$P$20=$B66))+SUM(($G$7:$G$20="Towers")*($I$7:$P$20=$B66)))</f>
        <v>#VALUE!</v>
      </c>
      <c r="G66" s="110" t="e">
        <f>IF($A66="","",C66+D66)</f>
        <v>#VALUE!</v>
      </c>
      <c r="H66" s="108" t="e">
        <f>IF($A66="","",SUM(($A$21:$A$29="NL")*($I$21:$P$29=$B66)))</f>
        <v>#VALUE!</v>
      </c>
      <c r="I66" s="111" t="e">
        <f>IF($A66="","",COUNTIF($I$21:$P$29,$B66)-H66)</f>
        <v>#VALUE!</v>
      </c>
      <c r="J66" s="112" t="e">
        <f>IF($A66="","",SUM(($A$2:$A$29="NL")*($I$2:$P$29=$B66)))</f>
        <v>#VALUE!</v>
      </c>
      <c r="K66" s="112" t="e">
        <f>IF($A66="","",COUNTIF($I$2:$P$29,$B66)-C66)</f>
        <v>#VALUE!</v>
      </c>
      <c r="L66" s="7"/>
      <c r="M66" s="7"/>
      <c r="N66" s="7"/>
      <c r="O66" s="7"/>
      <c r="P66" s="66"/>
      <c r="Q66" s="7"/>
      <c r="R66" s="7"/>
      <c r="S66" s="7"/>
      <c r="T66" s="7"/>
      <c r="U66" s="7"/>
      <c r="V66" s="7"/>
      <c r="W66" s="7"/>
      <c r="X66" s="7"/>
      <c r="Y66" s="106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>
      <c r="A67" s="120" t="s">
        <v>151</v>
      </c>
      <c r="B67" s="120" t="s">
        <v>87</v>
      </c>
      <c r="C67" s="108" t="e">
        <f>IF($A67="","",SUM(($A$2:$A$32="Vedligeholdende")*($I$2:$P$32=$B67)))</f>
        <v>#VALUE!</v>
      </c>
      <c r="D67" s="108" t="e">
        <f>IF($A67="","",SUM(($A$2:$A$20="NL")*($I$2:$P$20=$B67)))</f>
        <v>#VALUE!</v>
      </c>
      <c r="E67" s="109" t="e">
        <f>IF($A67="","",SUM(($G$7:$G$20="Razorbacks")*($I$7:$P$20=$B67))+SUM(($G$7:$G$20="Tigers")*($I$7:$P$20=$B67))+SUM(($G$7:$G$20="89ers")*($I$7:$P$20=$B67)))</f>
        <v>#VALUE!</v>
      </c>
      <c r="F67" s="109" t="e">
        <f>IF($A67="","",SUM(($G$7:$G$20="Oaks")*($I$7:$P$20=$B67))+SUM(($G$7:$G$20="Gold Diggers")*($I$7:$P$20=$B67))+SUM(($G$7:$G$20="Towers")*($I$7:$P$20=$B67)))</f>
        <v>#VALUE!</v>
      </c>
      <c r="G67" s="110" t="e">
        <f>IF($A67="","",C67+D67)</f>
        <v>#VALUE!</v>
      </c>
      <c r="H67" s="108" t="e">
        <f>IF($A67="","",SUM(($A$21:$A$29="NL")*($I$21:$P$29=$B67)))</f>
        <v>#VALUE!</v>
      </c>
      <c r="I67" s="111" t="e">
        <f>IF($A67="","",COUNTIF($I$21:$P$29,$B67)-H67)</f>
        <v>#VALUE!</v>
      </c>
      <c r="J67" s="112" t="e">
        <f>IF($A67="","",SUM(($A$2:$A$29="NL")*($I$2:$P$29=$B67)))</f>
        <v>#VALUE!</v>
      </c>
      <c r="K67" s="112" t="e">
        <f>IF($A67="","",COUNTIF($I$2:$P$29,$B67)-C67)</f>
        <v>#VALUE!</v>
      </c>
      <c r="L67" s="7"/>
      <c r="M67" s="7"/>
      <c r="N67" s="7"/>
      <c r="O67" s="7"/>
      <c r="P67" s="66"/>
      <c r="Q67" s="7"/>
      <c r="R67" s="113"/>
      <c r="S67" s="7"/>
      <c r="T67" s="7"/>
      <c r="U67" s="7"/>
      <c r="V67" s="7"/>
      <c r="W67" s="7"/>
      <c r="X67" s="7"/>
      <c r="Y67" s="106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>
      <c r="A68" s="8" t="s">
        <v>152</v>
      </c>
      <c r="B68" s="8" t="s">
        <v>51</v>
      </c>
      <c r="C68" s="108" t="e">
        <f>IF($A68="","",SUM(($A$2:$A$32="Vedligeholdende")*($I$2:$P$32=$B68)))</f>
        <v>#VALUE!</v>
      </c>
      <c r="D68" s="108" t="e">
        <f>IF($A68="","",SUM(($A$2:$A$20="NL")*($I$2:$P$20=$B68)))</f>
        <v>#VALUE!</v>
      </c>
      <c r="E68" s="109" t="e">
        <f>IF($A68="","",SUM(($G$7:$G$20="Razorbacks")*($I$7:$P$20=$B68))+SUM(($G$7:$G$20="Tigers")*($I$7:$P$20=$B68))+SUM(($G$7:$G$20="89ers")*($I$7:$P$20=$B68)))</f>
        <v>#VALUE!</v>
      </c>
      <c r="F68" s="109" t="e">
        <f>IF($A68="","",SUM(($G$7:$G$20="Oaks")*($I$7:$P$20=$B68))+SUM(($G$7:$G$20="Gold Diggers")*($I$7:$P$20=$B68))+SUM(($G$7:$G$20="Towers")*($I$7:$P$20=$B68)))</f>
        <v>#VALUE!</v>
      </c>
      <c r="G68" s="110" t="e">
        <f>IF($A68="","",C68+D68)</f>
        <v>#VALUE!</v>
      </c>
      <c r="H68" s="108" t="e">
        <f>IF($A68="","",SUM(($A$21:$A$29="NL")*($I$21:$P$29=$B68)))</f>
        <v>#VALUE!</v>
      </c>
      <c r="I68" s="111" t="e">
        <f>IF($A68="","",COUNTIF($I$21:$P$29,$B68)-H68)</f>
        <v>#VALUE!</v>
      </c>
      <c r="J68" s="112" t="e">
        <f>IF($A68="","",SUM(($A$2:$A$29="NL")*($I$2:$P$29=$B68)))</f>
        <v>#VALUE!</v>
      </c>
      <c r="K68" s="112" t="e">
        <f>IF($A68="","",COUNTIF($I$2:$P$29,$B68)-C68)</f>
        <v>#VALUE!</v>
      </c>
      <c r="L68" s="7"/>
      <c r="M68" s="7"/>
      <c r="N68" s="7"/>
      <c r="O68" s="7"/>
      <c r="P68" s="8"/>
      <c r="Q68" s="7"/>
      <c r="R68" s="113"/>
      <c r="S68" s="7"/>
      <c r="T68" s="7"/>
      <c r="U68" s="7"/>
      <c r="V68" s="7"/>
      <c r="W68" s="7"/>
      <c r="X68" s="7"/>
      <c r="Y68" s="106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>
      <c r="A69" s="8" t="s">
        <v>153</v>
      </c>
      <c r="B69" s="8" t="s">
        <v>154</v>
      </c>
      <c r="C69" s="108" t="e">
        <f>IF($A69="","",SUM(($A$2:$A$32="Vedligeholdende")*($I$2:$P$32=$B69)))</f>
        <v>#VALUE!</v>
      </c>
      <c r="D69" s="108" t="e">
        <f>IF($A69="","",SUM(($A$2:$A$20="NL")*($I$2:$P$20=$B69)))+1</f>
        <v>#VALUE!</v>
      </c>
      <c r="E69" s="109" t="e">
        <f>IF($A69="","",SUM(($G$7:$G$20="Razorbacks")*($I$7:$P$20=$B69))+SUM(($G$7:$G$20="Tigers")*($I$7:$P$20=$B69))+SUM(($G$7:$G$20="89ers")*($I$7:$P$20=$B69)))</f>
        <v>#VALUE!</v>
      </c>
      <c r="F69" s="109" t="e">
        <f>IF($A69="","",SUM(($G$7:$G$20="Oaks")*($I$7:$P$20=$B69))+SUM(($G$7:$G$20="Gold Diggers")*($I$7:$P$20=$B69))+SUM(($G$7:$G$20="Towers")*($I$7:$P$20=$B69)))+1</f>
        <v>#VALUE!</v>
      </c>
      <c r="G69" s="110" t="e">
        <f>IF($A69="","",C69+D69)</f>
        <v>#VALUE!</v>
      </c>
      <c r="H69" s="108" t="e">
        <f>IF($A69="","",SUM(($A$21:$A$29="NL")*($I$21:$P$29=$B69)))</f>
        <v>#VALUE!</v>
      </c>
      <c r="I69" s="111" t="e">
        <f>IF($A69="","",COUNTIF($I$21:$P$29,$B69)-H69)</f>
        <v>#VALUE!</v>
      </c>
      <c r="J69" s="112" t="e">
        <f>IF($A69="","",SUM(($A$2:$A$29="NL")*($I$2:$P$29=$B69)))+1</f>
        <v>#VALUE!</v>
      </c>
      <c r="K69" s="112" t="e">
        <f>IF($A69="","",COUNTIF($I$2:$P$29,$B69)-C69)+1</f>
        <v>#VALUE!</v>
      </c>
      <c r="L69" s="7"/>
      <c r="M69" s="7"/>
      <c r="N69" s="7"/>
      <c r="O69" s="7"/>
      <c r="P69" s="8"/>
      <c r="Q69" s="7"/>
      <c r="R69" s="113"/>
      <c r="S69" s="7"/>
      <c r="T69" s="7"/>
      <c r="U69" s="7"/>
      <c r="V69" s="7"/>
      <c r="W69" s="7"/>
      <c r="X69" s="7"/>
      <c r="Y69" s="106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>
      <c r="A70" s="8" t="s">
        <v>155</v>
      </c>
      <c r="B70" s="8" t="s">
        <v>78</v>
      </c>
      <c r="C70" s="108" t="e">
        <f>IF($A70="","",SUM(($A$2:$A$32="Vedligeholdende")*($I$2:$P$32=$B70)))</f>
        <v>#VALUE!</v>
      </c>
      <c r="D70" s="108" t="e">
        <f>IF($A70="","",SUM(($A$2:$A$20="NL")*($I$2:$P$20=$B70)))</f>
        <v>#VALUE!</v>
      </c>
      <c r="E70" s="109" t="e">
        <f>IF($A70="","",SUM(($G$7:$G$20="Razorbacks")*($I$7:$P$20=$B70))+SUM(($G$7:$G$20="Tigers")*($I$7:$P$20=$B70))+SUM(($G$7:$G$20="89ers")*($I$7:$P$20=$B70)))</f>
        <v>#VALUE!</v>
      </c>
      <c r="F70" s="109" t="e">
        <f>IF($A70="","",SUM(($G$7:$G$20="Oaks")*($I$7:$P$20=$B70))+SUM(($G$7:$G$20="Gold Diggers")*($I$7:$P$20=$B70))+SUM(($G$7:$G$20="Towers")*($I$7:$P$20=$B70)))</f>
        <v>#VALUE!</v>
      </c>
      <c r="G70" s="110" t="e">
        <f>IF($A70="","",C70+D70)</f>
        <v>#VALUE!</v>
      </c>
      <c r="H70" s="108" t="e">
        <f>IF($A70="","",SUM(($A$21:$A$29="NL")*($I$21:$P$29=$B70)))</f>
        <v>#VALUE!</v>
      </c>
      <c r="I70" s="111" t="e">
        <f>IF($A70="","",COUNTIF($I$21:$P$29,$B70)-H70)</f>
        <v>#VALUE!</v>
      </c>
      <c r="J70" s="112" t="e">
        <f>IF($A70="","",SUM(($A$2:$A$29="NL")*($I$2:$P$29=$B70)))</f>
        <v>#VALUE!</v>
      </c>
      <c r="K70" s="112" t="e">
        <f>IF($A70="","",COUNTIF($I$2:$P$29,$B70)-C70)</f>
        <v>#VALUE!</v>
      </c>
      <c r="L70" s="7"/>
      <c r="M70" s="7"/>
      <c r="N70" s="7"/>
      <c r="O70" s="8"/>
      <c r="P70" s="7"/>
      <c r="Q70" s="113"/>
      <c r="R70" s="7"/>
      <c r="S70" s="7"/>
      <c r="T70" s="7"/>
      <c r="U70" s="7"/>
      <c r="V70" s="7"/>
      <c r="W70" s="7"/>
      <c r="X70" s="106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8"/>
      <c r="P71" s="7"/>
      <c r="Q71" s="113"/>
      <c r="R71" s="7"/>
      <c r="S71" s="7"/>
      <c r="T71" s="7"/>
      <c r="U71" s="7"/>
      <c r="V71" s="7"/>
      <c r="W71" s="7"/>
      <c r="X71" s="106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8"/>
      <c r="P72" s="7"/>
      <c r="Q72" s="113"/>
      <c r="R72" s="7"/>
      <c r="S72" s="7"/>
      <c r="T72" s="7"/>
      <c r="U72" s="7"/>
      <c r="V72" s="7"/>
      <c r="W72" s="7"/>
      <c r="X72" s="106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>
      <c r="A73" s="124" t="s">
        <v>156</v>
      </c>
      <c r="B73" s="124" t="s">
        <v>157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66"/>
      <c r="P73" s="7" t="s">
        <f>DATA!I64</f>
      </c>
      <c r="Q73" s="113"/>
      <c r="R73" s="7"/>
      <c r="S73" s="7"/>
      <c r="T73" s="7"/>
      <c r="U73" s="7"/>
      <c r="V73" s="7"/>
      <c r="W73" s="7"/>
      <c r="X73" s="106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>
      <c r="A74" s="125" t="s">
        <v>158</v>
      </c>
      <c r="B74" s="124" t="s">
        <v>159</v>
      </c>
      <c r="C74" s="7"/>
      <c r="D74" s="7"/>
      <c r="E74" s="7"/>
      <c r="F74" s="7"/>
      <c r="G74" s="7"/>
      <c r="H74" s="9"/>
      <c r="I74" s="7"/>
      <c r="J74" s="7"/>
      <c r="K74" s="7"/>
      <c r="L74" s="7"/>
      <c r="M74" s="7"/>
      <c r="N74" s="7"/>
      <c r="O74" s="66"/>
      <c r="P74" s="7"/>
      <c r="Q74" s="7"/>
      <c r="R74" s="7"/>
      <c r="S74" s="7"/>
      <c r="T74" s="7"/>
      <c r="U74" s="7"/>
      <c r="V74" s="7"/>
      <c r="W74" s="7"/>
      <c r="X74" s="106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>
      <c r="A75" s="124" t="s">
        <v>160</v>
      </c>
      <c r="B75" s="124" t="s">
        <v>161</v>
      </c>
      <c r="C75" s="7"/>
      <c r="D75" s="7"/>
      <c r="E75" s="7"/>
      <c r="F75" s="7"/>
      <c r="G75" s="7"/>
      <c r="H75" s="9"/>
      <c r="I75" s="7"/>
      <c r="J75" s="7"/>
      <c r="K75" s="7"/>
      <c r="L75" s="7"/>
      <c r="M75" s="7"/>
      <c r="N75" s="7"/>
      <c r="O75" s="66"/>
      <c r="P75" s="7"/>
      <c r="Q75" s="7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</row>
    <row r="76">
      <c r="A76" s="125" t="s">
        <v>162</v>
      </c>
      <c r="B76" s="125" t="s">
        <v>163</v>
      </c>
      <c r="C76" s="7"/>
      <c r="D76" s="7"/>
      <c r="E76" s="7"/>
      <c r="F76" s="7"/>
      <c r="G76" s="7"/>
      <c r="H76" s="9"/>
      <c r="I76" s="7"/>
      <c r="J76" s="7"/>
      <c r="K76" s="7"/>
      <c r="L76" s="7"/>
      <c r="M76" s="7"/>
      <c r="N76" s="7"/>
      <c r="O76" s="66"/>
      <c r="P76" s="7"/>
      <c r="Q76" s="7"/>
      <c r="R76" s="7"/>
      <c r="S76" s="113"/>
      <c r="T76" s="113"/>
      <c r="U76" s="113"/>
      <c r="V76" s="113"/>
      <c r="W76" s="113" t="e">
        <f>AVERAGE(#REF!)</f>
        <v>#REF!</v>
      </c>
      <c r="X76" s="115">
        <v>3</v>
      </c>
      <c r="Y76" s="8" t="s">
        <v>164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>
      <c r="A77" s="124" t="s">
        <v>165</v>
      </c>
      <c r="B77" s="124" t="s">
        <v>166</v>
      </c>
      <c r="C77" s="7"/>
      <c r="D77" s="7"/>
      <c r="E77" s="7"/>
      <c r="F77" s="7"/>
      <c r="G77" s="7"/>
      <c r="H77" s="9"/>
      <c r="I77" s="7"/>
      <c r="J77" s="7"/>
      <c r="K77" s="7"/>
      <c r="L77" s="7"/>
      <c r="M77" s="7"/>
      <c r="N77" s="7"/>
      <c r="O77" s="66"/>
      <c r="P77" s="7"/>
      <c r="Q77" s="7"/>
      <c r="R77" s="7"/>
      <c r="S77" s="7"/>
      <c r="T77" s="7"/>
      <c r="U77" s="7"/>
      <c r="V77" s="7"/>
      <c r="W77" s="7"/>
      <c r="X77" s="106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>
      <c r="A78" s="124" t="s">
        <v>167</v>
      </c>
      <c r="B78" s="124" t="s">
        <v>168</v>
      </c>
      <c r="C78" s="7"/>
      <c r="D78" s="7"/>
      <c r="E78" s="7"/>
      <c r="F78" s="7"/>
      <c r="G78" s="7"/>
      <c r="H78" s="9"/>
      <c r="I78" s="7"/>
      <c r="J78" s="7"/>
      <c r="K78" s="7"/>
      <c r="L78" s="7"/>
      <c r="M78" s="7"/>
      <c r="N78" s="7"/>
      <c r="O78" s="66"/>
      <c r="P78" s="7"/>
      <c r="Q78" s="7"/>
      <c r="R78" s="7"/>
      <c r="S78" s="7"/>
      <c r="T78" s="7"/>
      <c r="U78" s="7"/>
      <c r="V78" s="7"/>
      <c r="W78" s="7"/>
      <c r="X78" s="106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>
      <c r="A79" s="125" t="s">
        <v>169</v>
      </c>
      <c r="B79" s="125" t="s">
        <v>170</v>
      </c>
      <c r="C79" s="7"/>
      <c r="D79" s="7"/>
      <c r="E79" s="7"/>
      <c r="F79" s="7"/>
      <c r="G79" s="7"/>
      <c r="H79" s="9"/>
      <c r="I79" s="7"/>
      <c r="J79" s="7"/>
      <c r="K79" s="7"/>
      <c r="L79" s="7"/>
      <c r="M79" s="7"/>
      <c r="N79" s="7"/>
      <c r="O79" s="66"/>
      <c r="P79" s="7"/>
      <c r="Q79" s="7"/>
      <c r="R79" s="7"/>
      <c r="S79" s="7"/>
      <c r="T79" s="7"/>
      <c r="U79" s="7"/>
      <c r="V79" s="7"/>
      <c r="W79" s="7"/>
      <c r="X79" s="106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>
      <c r="A80" s="125" t="s">
        <v>171</v>
      </c>
      <c r="B80" s="124" t="s">
        <v>172</v>
      </c>
      <c r="C80" s="7"/>
      <c r="D80" s="7"/>
      <c r="E80" s="7"/>
      <c r="F80" s="7"/>
      <c r="G80" s="7"/>
      <c r="H80" s="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106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>
      <c r="A81" s="125" t="s">
        <v>173</v>
      </c>
      <c r="B81" s="125" t="s">
        <v>174</v>
      </c>
      <c r="C81" s="7"/>
      <c r="D81" s="7"/>
      <c r="E81" s="7"/>
      <c r="F81" s="7"/>
      <c r="G81" s="7"/>
      <c r="H81" s="9"/>
      <c r="I81" s="7"/>
      <c r="J81" s="7"/>
      <c r="K81" s="7"/>
      <c r="L81" s="7"/>
      <c r="M81" s="7"/>
      <c r="N81" s="7"/>
      <c r="O81" s="66"/>
      <c r="P81" s="7"/>
      <c r="Q81" s="7"/>
      <c r="R81" s="7"/>
      <c r="S81" s="7"/>
      <c r="T81" s="7"/>
      <c r="U81" s="7"/>
      <c r="V81" s="7"/>
      <c r="W81" s="7"/>
      <c r="X81" s="106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>
      <c r="A82" s="124" t="s">
        <v>175</v>
      </c>
      <c r="B82" s="124" t="s">
        <v>176</v>
      </c>
      <c r="C82" s="7"/>
      <c r="D82" s="7"/>
      <c r="E82" s="7"/>
      <c r="F82" s="7"/>
      <c r="G82" s="7"/>
      <c r="H82" s="9"/>
      <c r="I82" s="7"/>
      <c r="J82" s="7"/>
      <c r="K82" s="7"/>
      <c r="L82" s="7"/>
      <c r="M82" s="7"/>
      <c r="N82" s="7"/>
      <c r="O82" s="66"/>
      <c r="P82" s="7"/>
      <c r="Q82" s="7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  <c r="AN82" s="104"/>
      <c r="AO82" s="104"/>
      <c r="AP82" s="104"/>
    </row>
    <row r="83">
      <c r="A83" s="124" t="s">
        <v>177</v>
      </c>
      <c r="B83" s="124" t="s">
        <v>178</v>
      </c>
      <c r="C83" s="7"/>
      <c r="D83" s="7"/>
      <c r="E83" s="7"/>
      <c r="F83" s="7"/>
      <c r="G83" s="7"/>
      <c r="H83" s="9"/>
      <c r="I83" s="7"/>
      <c r="J83" s="7"/>
      <c r="K83" s="7"/>
      <c r="L83" s="7"/>
      <c r="M83" s="7"/>
      <c r="N83" s="7"/>
      <c r="O83" s="66"/>
      <c r="P83" s="7"/>
      <c r="Q83" s="7"/>
      <c r="R83" s="7"/>
      <c r="S83" s="7"/>
      <c r="T83" s="7"/>
      <c r="U83" s="7"/>
      <c r="V83" s="7"/>
      <c r="W83" s="106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>
      <c r="A84" s="124" t="s">
        <v>179</v>
      </c>
      <c r="B84" s="124" t="s">
        <v>180</v>
      </c>
      <c r="C84" s="7"/>
      <c r="D84" s="7"/>
      <c r="E84" s="7"/>
      <c r="F84" s="7"/>
      <c r="G84" s="7"/>
      <c r="H84" s="9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106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>
      <c r="A85" s="125" t="s">
        <v>181</v>
      </c>
      <c r="B85" s="125" t="s">
        <v>182</v>
      </c>
      <c r="C85" s="7"/>
      <c r="D85" s="7"/>
      <c r="E85" s="7"/>
      <c r="F85" s="7"/>
      <c r="G85" s="7"/>
      <c r="H85" s="9"/>
      <c r="I85" s="7"/>
      <c r="J85" s="7"/>
      <c r="K85" s="7"/>
      <c r="L85" s="7"/>
      <c r="M85" s="7"/>
      <c r="N85" s="7"/>
      <c r="O85" s="7"/>
      <c r="P85" s="7"/>
      <c r="Q85" s="7"/>
      <c r="R85" s="7"/>
      <c r="S85" s="7">
        <f>SUMIF(G$12:G$32,O81,Y$12:Y$29)</f>
        <v>0</v>
      </c>
      <c r="T85" s="7" t="e">
        <f>S85/P81</f>
        <v>#DIV/0!</v>
      </c>
      <c r="U85" s="7"/>
      <c r="V85" s="7"/>
      <c r="W85" s="106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>
      <c r="A86" s="124" t="s">
        <v>183</v>
      </c>
      <c r="B86" s="124" t="s">
        <v>44</v>
      </c>
      <c r="C86" s="7"/>
      <c r="D86" s="7"/>
      <c r="E86" s="7"/>
      <c r="F86" s="7"/>
      <c r="G86" s="7"/>
      <c r="H86" s="9"/>
      <c r="I86" s="7"/>
      <c r="J86" s="7"/>
      <c r="K86" s="7"/>
      <c r="L86" s="7"/>
      <c r="M86" s="7"/>
      <c r="N86" s="7"/>
      <c r="O86" s="66"/>
      <c r="P86" s="7"/>
      <c r="Q86" s="7"/>
      <c r="R86" s="7"/>
      <c r="S86" s="7">
        <f>SUMIF(G$12:G$32,O82,Y$12:Y$29)</f>
        <v>0</v>
      </c>
      <c r="T86" s="7" t="e">
        <f>S86/P82</f>
        <v>#DIV/0!</v>
      </c>
      <c r="U86" s="7"/>
      <c r="V86" s="7"/>
      <c r="W86" s="106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>
      <c r="A87" s="124" t="s">
        <v>184</v>
      </c>
      <c r="B87" s="124" t="s">
        <v>185</v>
      </c>
      <c r="C87" s="7"/>
      <c r="D87" s="7"/>
      <c r="E87" s="7"/>
      <c r="F87" s="7"/>
      <c r="G87" s="7"/>
      <c r="H87" s="7"/>
      <c r="I87" s="9"/>
      <c r="J87" s="7"/>
      <c r="K87" s="7"/>
      <c r="L87" s="7"/>
      <c r="M87" s="7"/>
      <c r="N87" s="7"/>
      <c r="O87" s="7"/>
      <c r="P87" s="7"/>
      <c r="Q87" s="7"/>
      <c r="R87" s="7"/>
      <c r="S87" s="7">
        <f>SUMIF(G$12:G$32,O83,Y$12:Y$29)</f>
        <v>0</v>
      </c>
      <c r="T87" s="7" t="e">
        <f>S87/P83</f>
        <v>#DIV/0!</v>
      </c>
      <c r="U87" s="7"/>
      <c r="V87" s="7"/>
      <c r="W87" s="106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>
      <c r="A88" s="126" t="s">
        <v>186</v>
      </c>
      <c r="B88" s="126" t="s">
        <v>187</v>
      </c>
      <c r="C88" s="7"/>
      <c r="D88" s="7"/>
      <c r="E88" s="7"/>
      <c r="F88" s="7"/>
      <c r="G88" s="7"/>
      <c r="H88" s="7"/>
      <c r="I88" s="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106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>
      <c r="A89" s="124" t="s">
        <v>188</v>
      </c>
      <c r="B89" s="124" t="s">
        <v>189</v>
      </c>
      <c r="C89" s="7"/>
      <c r="D89" s="7"/>
      <c r="E89" s="7"/>
      <c r="F89" s="7"/>
      <c r="G89" s="7"/>
      <c r="H89" s="7"/>
      <c r="I89" s="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106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>
      <c r="A90" s="126" t="s">
        <v>190</v>
      </c>
      <c r="B90" s="126" t="s">
        <v>191</v>
      </c>
      <c r="C90" s="7"/>
      <c r="D90" s="7"/>
      <c r="E90" s="7"/>
      <c r="F90" s="7"/>
      <c r="G90" s="7"/>
      <c r="H90" s="7"/>
      <c r="I90" s="9"/>
      <c r="J90" s="7"/>
      <c r="K90" s="7"/>
      <c r="L90" s="7"/>
      <c r="M90" s="7"/>
      <c r="N90" s="7"/>
      <c r="O90" s="7"/>
      <c r="P90" s="7"/>
      <c r="Q90" s="7"/>
      <c r="R90" s="7"/>
      <c r="S90" s="7">
        <f>SUMIF(G$12:G$32,O86,Y$12:Y$29)</f>
        <v>0</v>
      </c>
      <c r="T90" s="7" t="e">
        <f>S90/P86</f>
        <v>#DIV/0!</v>
      </c>
      <c r="U90" s="7"/>
      <c r="V90" s="7"/>
      <c r="W90" s="106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>
      <c r="A91" s="124" t="s">
        <v>192</v>
      </c>
      <c r="B91" s="125" t="s">
        <v>193</v>
      </c>
      <c r="C91" s="7"/>
      <c r="D91" s="7"/>
      <c r="E91" s="7"/>
      <c r="F91" s="7"/>
      <c r="G91" s="7"/>
      <c r="H91" s="7"/>
      <c r="I91" s="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106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>
      <c r="A92" s="107" t="s">
        <v>194</v>
      </c>
      <c r="B92" s="107" t="s">
        <v>195</v>
      </c>
      <c r="C92" s="7"/>
      <c r="D92" s="7"/>
      <c r="E92" s="7"/>
      <c r="F92" s="7"/>
      <c r="G92" s="7"/>
      <c r="H92" s="7"/>
      <c r="I92" s="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106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>
      <c r="A93" s="7"/>
      <c r="B93" s="7"/>
      <c r="C93" s="7"/>
      <c r="D93" s="7"/>
      <c r="E93" s="7"/>
      <c r="F93" s="7"/>
      <c r="G93" s="7"/>
      <c r="H93" s="7"/>
      <c r="I93" s="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106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>
      <c r="A94" s="7"/>
      <c r="B94" s="7"/>
      <c r="C94" s="7"/>
      <c r="D94" s="7"/>
      <c r="E94" s="7"/>
      <c r="F94" s="7"/>
      <c r="G94" s="7"/>
      <c r="H94" s="7"/>
      <c r="I94" s="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106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>
      <c r="A95" s="7"/>
      <c r="B95" s="7"/>
      <c r="C95" s="7"/>
      <c r="D95" s="7"/>
      <c r="E95" s="7"/>
      <c r="F95" s="7"/>
      <c r="G95" s="7"/>
      <c r="H95" s="7"/>
      <c r="I95" s="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106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>
      <c r="A96" s="7"/>
      <c r="B96" s="7"/>
      <c r="C96" s="7"/>
      <c r="D96" s="7"/>
      <c r="E96" s="7"/>
      <c r="F96" s="7"/>
      <c r="G96" s="7"/>
      <c r="H96" s="7"/>
      <c r="I96" s="9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106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106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7"/>
      <c r="S98" s="7"/>
      <c r="T98" s="7"/>
      <c r="U98" s="7"/>
      <c r="V98" s="7"/>
      <c r="W98" s="7"/>
      <c r="X98" s="106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7"/>
      <c r="S99" s="7"/>
      <c r="T99" s="7"/>
      <c r="U99" s="7"/>
      <c r="V99" s="7"/>
      <c r="W99" s="7"/>
      <c r="X99" s="106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7"/>
      <c r="S100" s="7"/>
      <c r="T100" s="7"/>
      <c r="U100" s="7"/>
      <c r="V100" s="7"/>
      <c r="W100" s="7"/>
      <c r="X100" s="106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7"/>
      <c r="S101" s="7"/>
      <c r="T101" s="7"/>
      <c r="U101" s="7"/>
      <c r="V101" s="7"/>
      <c r="W101" s="7"/>
      <c r="X101" s="106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7"/>
      <c r="S102" s="7"/>
      <c r="T102" s="7"/>
      <c r="U102" s="7"/>
      <c r="V102" s="7"/>
      <c r="W102" s="7"/>
      <c r="X102" s="106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7"/>
      <c r="S103" s="7"/>
      <c r="T103" s="7"/>
      <c r="U103" s="7"/>
      <c r="V103" s="7"/>
      <c r="W103" s="7"/>
      <c r="X103" s="106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7"/>
      <c r="S104" s="7"/>
      <c r="T104" s="7"/>
      <c r="U104" s="7"/>
      <c r="V104" s="7"/>
      <c r="W104" s="7"/>
      <c r="X104" s="106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7"/>
      <c r="S105" s="7"/>
      <c r="T105" s="7"/>
      <c r="U105" s="7"/>
      <c r="V105" s="7"/>
      <c r="W105" s="7"/>
      <c r="X105" s="106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7"/>
      <c r="S106" s="7"/>
      <c r="T106" s="7"/>
      <c r="U106" s="7"/>
      <c r="V106" s="7"/>
      <c r="W106" s="7"/>
      <c r="X106" s="106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7"/>
      <c r="S107" s="7"/>
      <c r="T107" s="7"/>
      <c r="U107" s="7"/>
      <c r="V107" s="7"/>
      <c r="W107" s="7"/>
      <c r="X107" s="106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7"/>
      <c r="S108" s="7"/>
      <c r="T108" s="7"/>
      <c r="U108" s="7"/>
      <c r="V108" s="7"/>
      <c r="W108" s="7"/>
      <c r="X108" s="106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7"/>
      <c r="S109" s="7"/>
      <c r="T109" s="7"/>
      <c r="U109" s="7"/>
      <c r="V109" s="7"/>
      <c r="W109" s="7"/>
      <c r="X109" s="106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7"/>
      <c r="S110" s="7"/>
      <c r="T110" s="7"/>
      <c r="U110" s="7"/>
      <c r="V110" s="7"/>
      <c r="W110" s="7"/>
      <c r="X110" s="106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</sheetData>
  <conditionalFormatting sqref="I2:P32">
    <cfRule type="containsBlanks" dxfId="0" priority="1">
      <formula>LEN(TRIM(I2))=0</formula>
    </cfRule>
  </conditionalFormatting>
  <conditionalFormatting sqref="I2:P32">
    <cfRule type="notContainsText" dxfId="1" priority="2" operator="notContains" text="(">
      <formula>ISERROR(SEARCH(("("),(I2)))</formula>
    </cfRule>
  </conditionalFormatting>
  <conditionalFormatting sqref="I2:P32">
    <cfRule type="containsText" dxfId="2" priority="3" operator="containsText" text="(">
      <formula>NOT(ISERROR(SEARCH(("("),(I2))))</formula>
    </cfRule>
  </conditionalFormatting>
  <conditionalFormatting sqref="F2:F32">
    <cfRule type="notContainsText" dxfId="3" priority="4" operator="notContains" text="13.00">
      <formula>ISERROR(SEARCH(("13.00"),(F2)))</formula>
    </cfRule>
  </conditionalFormatting>
  <conditionalFormatting sqref="C34">
    <cfRule type="notContainsBlanks" dxfId="4" priority="5">
      <formula>LEN(TRIM(C34))&gt;0</formula>
    </cfRule>
  </conditionalFormatting>
  <printOptions gridLines="1" horizontalCentered="1"/>
  <pageMargins bottom="0.75" footer="0.0" header="0.0" left="0.7" right="0.7" top="0.75"/>
  <pageSetup paperSize="9" scale="73" cellComments="atEnd" orientation="landscape" pageOrder="overThenDown"/>
  <drawing r:id="rId1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</sheetPr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5.13" defaultRowHeight="15"/>
  <cols>
    <col min="1" max="1" width="6.75" customWidth="1"/>
    <col min="2" max="2" width="21" customWidth="1"/>
    <col min="3" max="3" width="12.5" customWidth="1"/>
    <col min="4" max="5" width="9.88" customWidth="1"/>
    <col min="6" max="6" width="14.25" customWidth="1"/>
    <col min="7" max="8" width="8.63" customWidth="1"/>
    <col min="9" max="9" width="10.63" customWidth="1"/>
    <col min="10" max="10" width="9.63" customWidth="1"/>
    <col min="11" max="11" width="6.75" customWidth="1"/>
    <col min="12" max="12" width="9.13" customWidth="1"/>
    <col min="13" max="13" width="16.63" customWidth="1"/>
    <col min="14" max="14" width="7.25" customWidth="1"/>
    <col min="15" max="15" width="9.88" customWidth="1"/>
    <col min="16" max="16" width="21.38" customWidth="1"/>
    <col min="17" max="17" width="16" customWidth="1"/>
  </cols>
  <sheetData>
    <row r="1">
      <c r="A1" s="127"/>
      <c r="B1" s="127"/>
      <c r="C1" s="128"/>
      <c r="D1" s="128"/>
      <c r="E1" s="128"/>
      <c r="F1" s="128"/>
      <c r="G1" s="127"/>
      <c r="H1" s="127"/>
      <c r="I1" s="128"/>
      <c r="J1" s="128"/>
      <c r="K1" s="128"/>
      <c r="L1" s="127"/>
      <c r="M1" s="127"/>
      <c r="N1" s="129" t="s">
        <v>196</v>
      </c>
      <c r="R1" s="130"/>
      <c r="S1" s="127"/>
      <c r="T1" s="131"/>
      <c r="U1" s="131"/>
      <c r="V1" s="131"/>
    </row>
    <row r="2">
      <c r="A2" s="127" t="s">
        <v>100</v>
      </c>
      <c r="B2" s="127" t="s">
        <v>99</v>
      </c>
      <c r="C2" s="128" t="s">
        <v>197</v>
      </c>
      <c r="D2" s="128" t="s">
        <v>198</v>
      </c>
      <c r="E2" s="128" t="s">
        <v>199</v>
      </c>
      <c r="F2" s="128" t="s">
        <v>200</v>
      </c>
      <c r="G2" s="127" t="s">
        <v>201</v>
      </c>
      <c r="H2" s="127" t="s">
        <v>202</v>
      </c>
      <c r="I2" s="128" t="s">
        <v>203</v>
      </c>
      <c r="J2" s="128" t="s">
        <v>204</v>
      </c>
      <c r="K2" s="128" t="s">
        <v>205</v>
      </c>
      <c r="L2" s="127" t="s">
        <v>206</v>
      </c>
      <c r="M2" s="132" t="s">
        <v>207</v>
      </c>
      <c r="N2" s="133" t="s">
        <v>208</v>
      </c>
      <c r="O2" s="134" t="s">
        <v>209</v>
      </c>
      <c r="P2" s="134" t="s">
        <v>210</v>
      </c>
      <c r="Q2" s="134" t="s">
        <v>211</v>
      </c>
      <c r="R2" s="130"/>
      <c r="S2" s="127"/>
      <c r="T2" s="131"/>
      <c r="U2" s="131"/>
      <c r="V2" s="131"/>
    </row>
    <row r="3">
      <c r="A3" s="127" t="s">
        <v>50</v>
      </c>
      <c r="B3" s="127" t="s">
        <v>212</v>
      </c>
      <c r="C3" s="128" t="s">
        <v>68</v>
      </c>
      <c r="D3" s="128"/>
      <c r="E3" s="128" t="s">
        <v>12</v>
      </c>
      <c r="F3" s="128"/>
      <c r="G3" s="135" t="s">
        <v>68</v>
      </c>
      <c r="I3" s="128" t="s">
        <v>213</v>
      </c>
      <c r="J3" s="128" t="s">
        <v>214</v>
      </c>
      <c r="K3" s="128"/>
      <c r="M3" s="136" t="s">
        <v>215</v>
      </c>
      <c r="N3" s="137">
        <f>CountIF('Plan - NL'!$I$11:$P$32,$A3)</f>
        <v>1</v>
      </c>
      <c r="O3" s="137">
        <f>COUNTIFS('Plan - NL'!$M$11:$M$32,$A3)</f>
        <v>1</v>
      </c>
      <c r="P3" s="137">
        <f>COUNTIFS('Plan - NL'!$N$11:$O$32,$A3)</f>
        <v>0</v>
      </c>
      <c r="Q3" s="137">
        <f>COUNTIFS('Plan - NL'!$I$11:$L$32,$A3)+COUNTIFS('Plan - NL'!$P$11:$P$32,$A3)</f>
        <v>0</v>
      </c>
      <c r="R3" s="137"/>
      <c r="S3" s="131"/>
      <c r="T3" s="131"/>
      <c r="U3" s="131"/>
      <c r="V3" s="131"/>
    </row>
    <row r="4">
      <c r="A4" s="127" t="s">
        <v>84</v>
      </c>
      <c r="B4" s="128" t="s">
        <v>216</v>
      </c>
      <c r="C4" s="128" t="s">
        <v>68</v>
      </c>
      <c r="D4" s="128" t="s">
        <v>217</v>
      </c>
      <c r="E4" s="128" t="s">
        <v>12</v>
      </c>
      <c r="F4" s="128" t="s">
        <v>218</v>
      </c>
      <c r="G4" s="135" t="s">
        <v>219</v>
      </c>
      <c r="H4" s="127">
        <v>6406</v>
      </c>
      <c r="I4" s="128" t="s">
        <v>213</v>
      </c>
      <c r="J4" s="128" t="s">
        <v>214</v>
      </c>
      <c r="K4" s="128"/>
      <c r="L4" s="128">
        <v>28711070</v>
      </c>
      <c r="M4" s="138" t="s">
        <v>220</v>
      </c>
      <c r="N4" s="137">
        <f>CountIF('Plan - NL'!$I$11:$P$32,$A4)</f>
        <v>4</v>
      </c>
      <c r="O4" s="137">
        <f>COUNTIFS('Plan - NL'!$N$11:$N$32,$A4)</f>
        <v>0</v>
      </c>
      <c r="P4" s="137">
        <f>COUNTIFS('Plan - NL'!$M$11:$M$32,$A4) + COUNTIFS('Plan - NL'!$O$11:$O$32,$A4)</f>
        <v>2</v>
      </c>
      <c r="Q4" s="137">
        <f>COUNTIFS('Plan - NL'!$I$11:$L$32,$A4)+COUNTIFS('Plan - NL'!$P$11:$P$32,$A4)</f>
        <v>2</v>
      </c>
      <c r="R4" s="137"/>
      <c r="S4" s="131"/>
      <c r="T4" s="131"/>
      <c r="U4" s="131"/>
      <c r="V4" s="131"/>
    </row>
    <row r="5">
      <c r="A5" s="128" t="s">
        <v>145</v>
      </c>
      <c r="B5" s="128" t="s">
        <v>221</v>
      </c>
      <c r="C5" s="128" t="s">
        <v>222</v>
      </c>
      <c r="D5" s="128" t="s">
        <v>223</v>
      </c>
      <c r="E5" s="128" t="s">
        <v>12</v>
      </c>
      <c r="F5" s="128" t="s">
        <v>224</v>
      </c>
      <c r="G5" s="128" t="s">
        <v>68</v>
      </c>
      <c r="I5" s="128" t="s">
        <v>225</v>
      </c>
      <c r="J5" s="128" t="s">
        <v>226</v>
      </c>
      <c r="M5" s="139"/>
      <c r="N5" s="137">
        <f>CountIF('Plan - NL'!$I$11:$P$32,$A5)</f>
        <v>0</v>
      </c>
      <c r="O5" s="137">
        <f>COUNTIFS('Plan - NL'!$M$11:$M$32,$A5)</f>
        <v>0</v>
      </c>
      <c r="P5" s="137">
        <f>COUNTIFS('Plan - NL'!$N$11:$O$32,$A5)</f>
        <v>0</v>
      </c>
      <c r="Q5" s="137">
        <f>COUNTIFS('Plan - NL'!$I$11:$L$32,$A5)+COUNTIFS('Plan - NL'!$P$11:$P$32,$A5)</f>
        <v>0</v>
      </c>
      <c r="R5" s="137"/>
      <c r="S5" s="131"/>
      <c r="T5" s="131"/>
      <c r="U5" s="131"/>
      <c r="V5" s="131"/>
    </row>
    <row r="6">
      <c r="A6" s="127" t="s">
        <v>138</v>
      </c>
      <c r="B6" s="127" t="s">
        <v>227</v>
      </c>
      <c r="C6" s="128" t="s">
        <v>228</v>
      </c>
      <c r="D6" s="128" t="s">
        <v>223</v>
      </c>
      <c r="E6" s="128" t="s">
        <v>14</v>
      </c>
      <c r="F6" s="128" t="s">
        <v>12</v>
      </c>
      <c r="G6" s="128" t="s">
        <v>68</v>
      </c>
      <c r="H6" s="127">
        <v>3539</v>
      </c>
      <c r="I6" s="128" t="s">
        <v>225</v>
      </c>
      <c r="J6" s="128" t="s">
        <v>214</v>
      </c>
      <c r="K6" s="128"/>
      <c r="L6" s="127">
        <v>41817432</v>
      </c>
      <c r="M6" s="138" t="s">
        <v>229</v>
      </c>
      <c r="N6" s="137">
        <f>CountIF('Plan - NL'!$I$11:$P$32,$A6)</f>
        <v>0</v>
      </c>
      <c r="O6" s="137">
        <f>COUNTIFS('Plan - NL'!$O$11:$O$32,$A6)</f>
        <v>0</v>
      </c>
      <c r="P6" s="137">
        <f>COUNTIFS('Plan - NL'!$M$11:$N$32,$A6)</f>
        <v>0</v>
      </c>
      <c r="Q6" s="137">
        <f>COUNTIFS('Plan - NL'!$I$11:$L$32,$A6)+COUNTIFS('Plan - NL'!$P$11:$P$32,$A6)</f>
        <v>0</v>
      </c>
      <c r="R6" s="137"/>
      <c r="S6" s="131"/>
      <c r="T6" s="131"/>
      <c r="U6" s="131"/>
      <c r="V6" s="131"/>
    </row>
    <row r="7">
      <c r="A7" s="127" t="s">
        <v>147</v>
      </c>
      <c r="B7" s="127" t="s">
        <v>146</v>
      </c>
      <c r="C7" s="128" t="s">
        <v>95</v>
      </c>
      <c r="D7" s="128" t="s">
        <v>223</v>
      </c>
      <c r="E7" s="128" t="s">
        <v>12</v>
      </c>
      <c r="F7" s="128"/>
      <c r="G7" s="127" t="s">
        <v>15</v>
      </c>
      <c r="I7" s="128" t="s">
        <v>213</v>
      </c>
      <c r="J7" s="128" t="s">
        <v>214</v>
      </c>
      <c r="K7" s="128"/>
      <c r="L7" s="127">
        <v>30481382</v>
      </c>
      <c r="M7" s="138" t="s">
        <v>230</v>
      </c>
      <c r="N7" s="137">
        <f>CountIF('Plan - NL'!$I$11:$P$32,$A7)</f>
        <v>0</v>
      </c>
      <c r="O7" s="137">
        <f>COUNTIFS('Plan - NL'!$M$11:$M$32,$A7)</f>
        <v>0</v>
      </c>
      <c r="P7" s="137">
        <f>COUNTIFS('Plan - NL'!$N$11:$O$32,$A7)</f>
        <v>0</v>
      </c>
      <c r="Q7" s="137">
        <f>COUNTIFS('Plan - NL'!$I$11:$L$32,$A7)+COUNTIFS('Plan - NL'!$P$11:$P$32,$A7)</f>
        <v>0</v>
      </c>
      <c r="R7" s="137"/>
      <c r="S7" s="131"/>
      <c r="T7" s="131"/>
      <c r="U7" s="131"/>
      <c r="V7" s="131"/>
    </row>
    <row r="8">
      <c r="A8" s="127" t="s">
        <v>72</v>
      </c>
      <c r="B8" s="127" t="s">
        <v>142</v>
      </c>
      <c r="C8" s="128" t="s">
        <v>68</v>
      </c>
      <c r="D8" s="128" t="s">
        <v>217</v>
      </c>
      <c r="E8" s="128" t="s">
        <v>13</v>
      </c>
      <c r="F8" s="128" t="s">
        <v>231</v>
      </c>
      <c r="G8" s="135" t="s">
        <v>68</v>
      </c>
      <c r="H8" s="127">
        <v>711</v>
      </c>
      <c r="I8" s="128" t="s">
        <v>213</v>
      </c>
      <c r="J8" s="128" t="s">
        <v>214</v>
      </c>
      <c r="K8" s="128"/>
      <c r="L8" s="127">
        <v>40824426</v>
      </c>
      <c r="M8" s="138" t="s">
        <v>232</v>
      </c>
      <c r="N8" s="137">
        <f>CountIF('Plan - NL'!$I$11:$P$32,$A8)</f>
        <v>4</v>
      </c>
      <c r="O8" s="137">
        <f>COUNTIFS('Plan - NL'!$N$11:$N$32,$A8)</f>
        <v>2</v>
      </c>
      <c r="P8" s="137">
        <f>COUNTIFS('Plan - NL'!$M$11:$M$32,$A8) + COUNTIFS('Plan - NL'!$O$11:$O$32,$A8)</f>
        <v>2</v>
      </c>
      <c r="Q8" s="137">
        <f>COUNTIFS('Plan - NL'!$I$11:$L$32,$A8)+COUNTIFS('Plan - NL'!$P$11:$P$32,$A8)</f>
        <v>0</v>
      </c>
      <c r="R8" s="137"/>
      <c r="S8" s="131"/>
      <c r="T8" s="131"/>
      <c r="U8" s="131"/>
      <c r="V8" s="131"/>
    </row>
    <row r="9">
      <c r="A9" s="127" t="s">
        <v>57</v>
      </c>
      <c r="B9" s="127" t="s">
        <v>113</v>
      </c>
      <c r="C9" s="128" t="s">
        <v>233</v>
      </c>
      <c r="D9" s="128" t="s">
        <v>217</v>
      </c>
      <c r="E9" s="128" t="s">
        <v>12</v>
      </c>
      <c r="F9" s="128"/>
      <c r="G9" s="127" t="s">
        <v>219</v>
      </c>
      <c r="H9" s="127">
        <v>5</v>
      </c>
      <c r="I9" s="128" t="s">
        <v>213</v>
      </c>
      <c r="J9" s="128" t="s">
        <v>214</v>
      </c>
      <c r="K9" s="128"/>
      <c r="L9" s="127">
        <v>60607240</v>
      </c>
      <c r="M9" s="138" t="s">
        <v>234</v>
      </c>
      <c r="N9" s="137">
        <f>CountIF('Plan - NL'!$I$11:$P$32,$A9)</f>
        <v>1</v>
      </c>
      <c r="O9" s="137">
        <f>COUNTIFS('Plan - NL'!$M$11:$M$32,$A9)</f>
        <v>0</v>
      </c>
      <c r="P9" s="137">
        <f>COUNTIFS('Plan - NL'!$N$11:$O$32,$A9)</f>
        <v>0</v>
      </c>
      <c r="Q9" s="137">
        <f>COUNTIFS('Plan - NL'!$I$11:$L$32,$A9)+COUNTIFS('Plan - NL'!$P$11:$P$32,$A9)</f>
        <v>1</v>
      </c>
      <c r="R9" s="131"/>
      <c r="S9" s="131"/>
      <c r="T9" s="131"/>
      <c r="U9" s="131"/>
      <c r="V9" s="131"/>
    </row>
    <row r="10">
      <c r="A10" s="127" t="s">
        <v>79</v>
      </c>
      <c r="B10" s="127" t="s">
        <v>136</v>
      </c>
      <c r="C10" s="128" t="s">
        <v>68</v>
      </c>
      <c r="D10" s="128" t="s">
        <v>217</v>
      </c>
      <c r="E10" s="128" t="s">
        <v>13</v>
      </c>
      <c r="F10" s="128" t="s">
        <v>14</v>
      </c>
      <c r="G10" s="140" t="s">
        <v>219</v>
      </c>
      <c r="H10" s="127">
        <v>3274</v>
      </c>
      <c r="I10" s="128" t="s">
        <v>225</v>
      </c>
      <c r="J10" s="128" t="s">
        <v>214</v>
      </c>
      <c r="K10" s="128"/>
      <c r="L10" s="127">
        <v>23255155</v>
      </c>
      <c r="M10" s="138" t="s">
        <v>235</v>
      </c>
      <c r="N10" s="137">
        <f>CountIF('Plan - NL'!$I$11:$P$32,$A10)</f>
        <v>5</v>
      </c>
      <c r="O10" s="137">
        <f>COUNTIFS('Plan - NL'!$N$11:$N$32,$A10)</f>
        <v>5</v>
      </c>
      <c r="P10" s="137">
        <f>COUNTIFS('Plan - NL'!$M$11:$M$32,$A10) + COUNTIFS('Plan - NL'!$O$11:$O$32,$A10)</f>
        <v>0</v>
      </c>
      <c r="Q10" s="137">
        <f>COUNTIFS('Plan - NL'!$I$11:$L$32,$A10)+COUNTIFS('Plan - NL'!$P$11:$P$32,$A10)</f>
        <v>0</v>
      </c>
      <c r="R10" s="137"/>
      <c r="S10" s="131"/>
      <c r="T10" s="131"/>
      <c r="U10" s="131"/>
      <c r="V10" s="131"/>
    </row>
    <row r="11">
      <c r="A11" s="127" t="s">
        <v>65</v>
      </c>
      <c r="B11" s="127" t="s">
        <v>141</v>
      </c>
      <c r="C11" s="128" t="s">
        <v>68</v>
      </c>
      <c r="D11" s="128" t="s">
        <v>217</v>
      </c>
      <c r="E11" s="128" t="s">
        <v>236</v>
      </c>
      <c r="F11" s="128" t="s">
        <v>11</v>
      </c>
      <c r="G11" s="135" t="s">
        <v>219</v>
      </c>
      <c r="H11" s="127">
        <v>2269</v>
      </c>
      <c r="I11" s="128" t="s">
        <v>213</v>
      </c>
      <c r="J11" s="128" t="s">
        <v>214</v>
      </c>
      <c r="K11" s="128"/>
      <c r="L11" s="127">
        <v>22754529</v>
      </c>
      <c r="M11" s="138" t="s">
        <v>237</v>
      </c>
      <c r="N11" s="137">
        <f>CountIF('Plan - NL'!$I$11:$P$32,$A11)</f>
        <v>6</v>
      </c>
      <c r="O11" s="137">
        <f>COUNTIFS('Plan - NL'!$N$11:$N$32,$A11)</f>
        <v>2</v>
      </c>
      <c r="P11" s="137">
        <f>COUNTIFS('Plan - NL'!$M$11:$M$32,$A11) + COUNTIFS('Plan - NL'!$O$11:$O$32,$A11)</f>
        <v>4</v>
      </c>
      <c r="Q11" s="137">
        <f>COUNTIFS('Plan - NL'!$I$11:$L$32,$A11)+COUNTIFS('Plan - NL'!$P$11:$P$32,$A11)</f>
        <v>0</v>
      </c>
      <c r="R11" s="137"/>
      <c r="S11" s="131"/>
      <c r="T11" s="131"/>
      <c r="U11" s="131"/>
      <c r="V11" s="131"/>
    </row>
    <row r="12">
      <c r="A12" s="127" t="s">
        <v>83</v>
      </c>
      <c r="B12" s="127" t="s">
        <v>129</v>
      </c>
      <c r="C12" s="128" t="s">
        <v>68</v>
      </c>
      <c r="D12" s="128" t="s">
        <v>223</v>
      </c>
      <c r="E12" s="128" t="s">
        <v>238</v>
      </c>
      <c r="F12" s="128" t="s">
        <v>239</v>
      </c>
      <c r="G12" s="135" t="s">
        <v>68</v>
      </c>
      <c r="H12" s="127">
        <v>628</v>
      </c>
      <c r="I12" s="128" t="s">
        <v>213</v>
      </c>
      <c r="J12" s="128" t="s">
        <v>214</v>
      </c>
      <c r="K12" s="128"/>
      <c r="L12" s="127">
        <v>26807765</v>
      </c>
      <c r="M12" s="138" t="s">
        <v>240</v>
      </c>
      <c r="N12" s="137">
        <f>CountIF('Plan - NL'!$I$11:$P$32,$A12)</f>
        <v>4</v>
      </c>
      <c r="O12" s="137">
        <f>COUNTIFS('Plan - NL'!$K$11:$K$32,$A12)</f>
        <v>4</v>
      </c>
      <c r="P12" s="137">
        <f>COUNTIFS('Plan - NL'!$L$11:$L$32,$A12)</f>
        <v>0</v>
      </c>
      <c r="Q12" s="137">
        <f>COUNTIFS('Plan - NL'!$I$11:$J$32,$A12)+COUNTIFS('Plan - NL'!$M$11:$P$32,$A12)</f>
        <v>0</v>
      </c>
      <c r="R12" s="137"/>
      <c r="S12" s="131"/>
      <c r="T12" s="131"/>
      <c r="U12" s="131"/>
      <c r="V12" s="131"/>
    </row>
    <row r="13">
      <c r="A13" s="127" t="s">
        <v>62</v>
      </c>
      <c r="B13" s="127" t="s">
        <v>124</v>
      </c>
      <c r="C13" s="128" t="s">
        <v>68</v>
      </c>
      <c r="D13" s="128" t="s">
        <v>217</v>
      </c>
      <c r="E13" s="128" t="s">
        <v>11</v>
      </c>
      <c r="F13" s="128" t="s">
        <v>241</v>
      </c>
      <c r="G13" s="135" t="s">
        <v>68</v>
      </c>
      <c r="H13" s="127">
        <v>16327</v>
      </c>
      <c r="I13" s="128" t="s">
        <v>225</v>
      </c>
      <c r="J13" s="128" t="s">
        <v>214</v>
      </c>
      <c r="K13" s="128"/>
      <c r="L13" s="127">
        <v>22614222</v>
      </c>
      <c r="M13" s="136" t="s">
        <v>242</v>
      </c>
      <c r="N13" s="137">
        <f>CountIF('Plan - NL'!$I$11:$P$32,$A13)</f>
        <v>4</v>
      </c>
      <c r="O13" s="137">
        <f>COUNTIFS('Plan - NL'!$L$11:$L$32,$A13)</f>
        <v>2</v>
      </c>
      <c r="P13" s="137">
        <f>COUNTIFS('Plan - NL'!$K$11:$K$32,$A13)</f>
        <v>2</v>
      </c>
      <c r="Q13" s="137">
        <f>COUNTIFS('Plan - NL'!$I$11:$J$32,$A13)+COUNTIFS('Plan - NL'!$M$11:$P$32,$A13)</f>
        <v>0</v>
      </c>
      <c r="R13" s="137"/>
      <c r="S13" s="131"/>
      <c r="T13" s="131"/>
      <c r="U13" s="131"/>
      <c r="V13" s="131"/>
    </row>
    <row r="14">
      <c r="A14" s="127" t="s">
        <v>66</v>
      </c>
      <c r="B14" s="127" t="s">
        <v>128</v>
      </c>
      <c r="C14" s="128" t="s">
        <v>68</v>
      </c>
      <c r="D14" s="128" t="s">
        <v>223</v>
      </c>
      <c r="E14" s="128" t="s">
        <v>11</v>
      </c>
      <c r="F14" s="128"/>
      <c r="G14" s="135" t="s">
        <v>68</v>
      </c>
      <c r="H14" s="127">
        <v>3536</v>
      </c>
      <c r="I14" s="128" t="s">
        <v>213</v>
      </c>
      <c r="J14" s="128" t="s">
        <v>214</v>
      </c>
      <c r="K14" s="128"/>
      <c r="L14" s="127">
        <v>53390568</v>
      </c>
      <c r="M14" s="138" t="s">
        <v>243</v>
      </c>
      <c r="N14" s="137">
        <f>CountIF('Plan - NL'!$I$11:$P$32,$A14)</f>
        <v>1</v>
      </c>
      <c r="O14" s="137">
        <f>COUNTIFS('Plan - NL'!$L$11:$L$32,$A14)</f>
        <v>0</v>
      </c>
      <c r="P14" s="137">
        <f>COUNTIFS('Plan - NL'!$K$11:$K$32,$A14)</f>
        <v>0</v>
      </c>
      <c r="Q14" s="137">
        <f>COUNTIFS('Plan - NL'!$I$11:$J$32,$A14)+COUNTIFS('Plan - NL'!$M$11:$P$32,$A14)</f>
        <v>1</v>
      </c>
      <c r="R14" s="131"/>
      <c r="S14" s="131"/>
      <c r="T14" s="131"/>
      <c r="U14" s="131"/>
      <c r="V14" s="131"/>
    </row>
    <row r="15">
      <c r="A15" s="128" t="s">
        <v>58</v>
      </c>
      <c r="B15" s="141" t="s">
        <v>130</v>
      </c>
      <c r="C15" s="128" t="s">
        <v>68</v>
      </c>
      <c r="D15" s="128" t="s">
        <v>217</v>
      </c>
      <c r="E15" s="128" t="s">
        <v>11</v>
      </c>
      <c r="G15" s="135" t="s">
        <v>68</v>
      </c>
      <c r="H15" s="142"/>
      <c r="M15" s="139"/>
      <c r="N15" s="143"/>
      <c r="O15" s="131"/>
      <c r="P15" s="131"/>
      <c r="Q15" s="131"/>
      <c r="R15" s="137"/>
      <c r="S15" s="131"/>
      <c r="T15" s="131"/>
      <c r="U15" s="131"/>
      <c r="V15" s="131"/>
    </row>
    <row r="16">
      <c r="A16" s="127" t="s">
        <v>140</v>
      </c>
      <c r="B16" s="127" t="s">
        <v>139</v>
      </c>
      <c r="C16" s="128" t="s">
        <v>233</v>
      </c>
      <c r="D16" s="128" t="s">
        <v>223</v>
      </c>
      <c r="E16" s="128" t="s">
        <v>14</v>
      </c>
      <c r="F16" s="128" t="s">
        <v>8</v>
      </c>
      <c r="G16" s="135" t="s">
        <v>68</v>
      </c>
      <c r="H16" s="127">
        <v>10257</v>
      </c>
      <c r="I16" s="128" t="s">
        <v>213</v>
      </c>
      <c r="J16" s="128" t="s">
        <v>214</v>
      </c>
      <c r="L16" s="127">
        <v>51844821</v>
      </c>
      <c r="M16" s="138" t="s">
        <v>244</v>
      </c>
      <c r="N16" s="137">
        <f>CountIF('Plan - NL'!$I$11:$P$32,$A16)</f>
        <v>0</v>
      </c>
      <c r="O16" s="137">
        <f>COUNTIFS('Plan - NL'!$O$11:$O$32,$A16)</f>
        <v>0</v>
      </c>
      <c r="P16" s="137">
        <f>COUNTIFS('Plan - NL'!$M$11:$N$32,$A16)</f>
        <v>0</v>
      </c>
      <c r="Q16" s="137">
        <f>COUNTIFS('Plan - NL'!$I$11:$L$32,$A16)+COUNTIFS('Plan - NL'!$P$11:$P$32,$A16)</f>
        <v>0</v>
      </c>
      <c r="R16" s="137"/>
      <c r="S16" s="131"/>
      <c r="T16" s="131"/>
      <c r="U16" s="131"/>
      <c r="V16" s="131"/>
    </row>
    <row r="17">
      <c r="A17" s="127" t="s">
        <v>42</v>
      </c>
      <c r="B17" s="127" t="s">
        <v>123</v>
      </c>
      <c r="C17" s="128" t="s">
        <v>68</v>
      </c>
      <c r="D17" s="128" t="s">
        <v>223</v>
      </c>
      <c r="E17" s="128" t="s">
        <v>245</v>
      </c>
      <c r="F17" s="128" t="s">
        <v>9</v>
      </c>
      <c r="G17" s="140" t="s">
        <v>219</v>
      </c>
      <c r="H17" s="127">
        <v>1133</v>
      </c>
      <c r="I17" s="128" t="s">
        <v>225</v>
      </c>
      <c r="J17" s="128" t="s">
        <v>214</v>
      </c>
      <c r="K17" s="128"/>
      <c r="L17" s="127">
        <v>29870710</v>
      </c>
      <c r="M17" s="138" t="s">
        <v>246</v>
      </c>
      <c r="N17" s="137">
        <f>CountIF('Plan - NL'!$I$11:$P$32,$A17)</f>
        <v>2</v>
      </c>
      <c r="O17" s="137">
        <f>COUNTIFS('Plan - NL'!$L$11:$L$32,$A17)</f>
        <v>0</v>
      </c>
      <c r="P17" s="137">
        <f>COUNTIFS('Plan - NL'!$K$11:$K$32,$A17)</f>
        <v>2</v>
      </c>
      <c r="Q17" s="137">
        <f>COUNTIFS('Plan - NL'!$I$11:$J$32,$A17)+COUNTIFS('Plan - NL'!$M$11:$P$32,$A17)</f>
        <v>0</v>
      </c>
      <c r="R17" s="137"/>
      <c r="S17" s="131"/>
      <c r="T17" s="131"/>
      <c r="U17" s="131"/>
      <c r="V17" s="131"/>
    </row>
    <row r="18">
      <c r="A18" s="127" t="s">
        <v>48</v>
      </c>
      <c r="B18" s="127" t="s">
        <v>111</v>
      </c>
      <c r="C18" s="128" t="s">
        <v>68</v>
      </c>
      <c r="D18" s="128" t="s">
        <v>223</v>
      </c>
      <c r="E18" s="128" t="s">
        <v>8</v>
      </c>
      <c r="F18" s="128" t="s">
        <v>218</v>
      </c>
      <c r="G18" s="140" t="s">
        <v>219</v>
      </c>
      <c r="H18" s="127">
        <v>484</v>
      </c>
      <c r="I18" s="128" t="s">
        <v>213</v>
      </c>
      <c r="J18" s="128" t="s">
        <v>214</v>
      </c>
      <c r="K18" s="128"/>
      <c r="L18" s="127">
        <v>20342617</v>
      </c>
      <c r="M18" s="138" t="s">
        <v>247</v>
      </c>
      <c r="N18" s="137">
        <f>CountIF('Plan - NL'!$I$11:$P$32,$A18)</f>
        <v>5</v>
      </c>
      <c r="O18" s="137">
        <f>COUNTIFS('Plan - NL'!$I$11:$I$32,$A18)</f>
        <v>1</v>
      </c>
      <c r="P18" s="137">
        <f>COUNTIFS('Plan - NL'!$J$11:$J$32,$A18)</f>
        <v>0</v>
      </c>
      <c r="Q18" s="137">
        <f>COUNTIFS('Plan - NL'!$K$11:$P$32,$A18)</f>
        <v>4</v>
      </c>
      <c r="R18" s="131"/>
      <c r="S18" s="131"/>
      <c r="T18" s="131"/>
      <c r="U18" s="131"/>
      <c r="V18" s="131"/>
    </row>
    <row r="19">
      <c r="A19" s="128" t="s">
        <v>195</v>
      </c>
      <c r="B19" s="128" t="s">
        <v>194</v>
      </c>
      <c r="C19" s="128" t="s">
        <v>7</v>
      </c>
      <c r="D19" s="128" t="s">
        <v>223</v>
      </c>
      <c r="E19" s="128" t="s">
        <v>9</v>
      </c>
      <c r="F19" s="128" t="s">
        <v>12</v>
      </c>
      <c r="G19" s="135" t="s">
        <v>68</v>
      </c>
      <c r="H19" s="127">
        <v>9074</v>
      </c>
      <c r="I19" s="128" t="s">
        <v>225</v>
      </c>
      <c r="J19" s="128" t="s">
        <v>40</v>
      </c>
      <c r="L19" s="128">
        <v>51542401</v>
      </c>
      <c r="M19" s="138" t="s">
        <v>248</v>
      </c>
      <c r="N19" s="137">
        <f>CountIF('Plan - NL'!$I$11:$P$32,$A19)</f>
        <v>0</v>
      </c>
      <c r="O19" s="137">
        <f>COUNTIFS('Plan - NL'!$M$11:$M$32,$A19)</f>
        <v>0</v>
      </c>
      <c r="P19" s="137">
        <f>COUNTIFS('Plan - NL'!$N$11:$O$32,$A19)</f>
        <v>0</v>
      </c>
      <c r="Q19" s="137">
        <f>COUNTIFS('Plan - NL'!$I$11:$L$32,$A19)+COUNTIFS('Plan - NL'!$P$11:$P$32,$A19)</f>
        <v>0</v>
      </c>
      <c r="R19" s="137"/>
      <c r="S19" s="131"/>
      <c r="T19" s="131"/>
      <c r="U19" s="131"/>
      <c r="V19" s="131"/>
    </row>
    <row r="20">
      <c r="A20" s="127" t="s">
        <v>63</v>
      </c>
      <c r="B20" s="127" t="s">
        <v>110</v>
      </c>
      <c r="C20" s="128" t="s">
        <v>68</v>
      </c>
      <c r="D20" s="128" t="s">
        <v>217</v>
      </c>
      <c r="E20" s="128" t="s">
        <v>8</v>
      </c>
      <c r="F20" s="128" t="s">
        <v>14</v>
      </c>
      <c r="G20" s="135" t="s">
        <v>219</v>
      </c>
      <c r="H20" s="127">
        <v>7255</v>
      </c>
      <c r="I20" s="128" t="s">
        <v>225</v>
      </c>
      <c r="J20" s="128" t="s">
        <v>214</v>
      </c>
      <c r="K20" s="128"/>
      <c r="L20" s="127">
        <v>60507214</v>
      </c>
      <c r="M20" s="138" t="s">
        <v>249</v>
      </c>
      <c r="N20" s="137">
        <f>CountIF('Plan - NL'!$I$11:$P$32,$A20)</f>
        <v>4</v>
      </c>
      <c r="O20" s="137">
        <f>COUNTIFS('Plan - NL'!$I$11:$I$32,$A20)</f>
        <v>4</v>
      </c>
      <c r="P20" s="137">
        <f>COUNTIFS('Plan - NL'!$J$11:$J$32,$A20)</f>
        <v>0</v>
      </c>
      <c r="Q20" s="137">
        <f>COUNTIFS('Plan - NL'!$K$11:$P$32,$A20)</f>
        <v>0</v>
      </c>
      <c r="R20" s="137"/>
      <c r="S20" s="131"/>
      <c r="T20" s="131"/>
      <c r="U20" s="131"/>
      <c r="V20" s="131"/>
    </row>
    <row r="21">
      <c r="A21" s="127" t="s">
        <v>127</v>
      </c>
      <c r="B21" s="127" t="s">
        <v>250</v>
      </c>
      <c r="C21" s="128" t="s">
        <v>251</v>
      </c>
      <c r="D21" s="128" t="s">
        <v>223</v>
      </c>
      <c r="E21" s="128" t="s">
        <v>10</v>
      </c>
      <c r="F21" s="128" t="s">
        <v>11</v>
      </c>
      <c r="G21" s="144"/>
      <c r="H21" s="127">
        <v>10624</v>
      </c>
      <c r="I21" s="128" t="s">
        <v>213</v>
      </c>
      <c r="J21" s="128" t="s">
        <v>214</v>
      </c>
      <c r="L21" s="127">
        <v>51501389</v>
      </c>
      <c r="M21" s="136" t="s">
        <v>252</v>
      </c>
      <c r="N21" s="137">
        <f>CountIF('Plan - NL'!$I$11:$P$32,$A21)</f>
        <v>0</v>
      </c>
      <c r="O21" s="137">
        <f>COUNTIFS('Plan - NL'!$K$11:$K$32,$A21)</f>
        <v>0</v>
      </c>
      <c r="P21" s="137">
        <f>COUNTIFS('Plan - NL'!$L$11:$L$32,$A21)</f>
        <v>0</v>
      </c>
      <c r="Q21" s="137">
        <f>COUNTIFS('Plan - NL'!$I$11:$J$32,$A21)+COUNTIFS('Plan - NL'!$M$11:$P$32,$A21)</f>
        <v>0</v>
      </c>
      <c r="R21" s="137"/>
      <c r="S21" s="131"/>
      <c r="T21" s="131"/>
      <c r="U21" s="131"/>
      <c r="V21" s="131"/>
    </row>
    <row r="22">
      <c r="A22" s="127" t="s">
        <v>189</v>
      </c>
      <c r="B22" s="127" t="s">
        <v>188</v>
      </c>
      <c r="C22" s="128" t="s">
        <v>253</v>
      </c>
      <c r="D22" s="128" t="s">
        <v>217</v>
      </c>
      <c r="E22" s="128" t="s">
        <v>12</v>
      </c>
      <c r="F22" s="128" t="s">
        <v>236</v>
      </c>
      <c r="G22" s="135" t="s">
        <v>68</v>
      </c>
      <c r="H22" s="127">
        <v>9063</v>
      </c>
      <c r="I22" s="128" t="s">
        <v>225</v>
      </c>
      <c r="J22" s="128" t="s">
        <v>40</v>
      </c>
      <c r="K22" s="128"/>
      <c r="M22" s="145" t="s">
        <v>254</v>
      </c>
      <c r="N22" s="137">
        <f>CountIF('Plan - NL'!$I$11:$P$32,$A22)</f>
        <v>0</v>
      </c>
      <c r="O22" s="137">
        <f>COUNTIFS('Plan - NL'!$O$11:$O$32,$A22)</f>
        <v>0</v>
      </c>
      <c r="P22" s="137">
        <f>COUNTIFS('Plan - NL'!$M$11:$N$32,$A22)</f>
        <v>0</v>
      </c>
      <c r="Q22" s="137">
        <f>COUNTIFS('Plan - NL'!$I$11:$L$32,$A22)+COUNTIFS('Plan - NL'!$P$11:$P$32,$A22)</f>
        <v>0</v>
      </c>
      <c r="R22" s="137"/>
      <c r="S22" s="131"/>
      <c r="T22" s="131"/>
      <c r="U22" s="131"/>
      <c r="V22" s="131"/>
    </row>
    <row r="23">
      <c r="A23" s="127" t="s">
        <v>88</v>
      </c>
      <c r="B23" s="127" t="s">
        <v>125</v>
      </c>
      <c r="C23" s="128" t="s">
        <v>233</v>
      </c>
      <c r="D23" s="128" t="s">
        <v>217</v>
      </c>
      <c r="E23" s="128" t="s">
        <v>238</v>
      </c>
      <c r="F23" s="128" t="s">
        <v>9</v>
      </c>
      <c r="G23" s="140" t="s">
        <v>219</v>
      </c>
      <c r="H23" s="127">
        <v>41</v>
      </c>
      <c r="I23" s="128" t="s">
        <v>213</v>
      </c>
      <c r="J23" s="128" t="s">
        <v>214</v>
      </c>
      <c r="K23" s="128"/>
      <c r="L23" s="127">
        <v>51618450</v>
      </c>
      <c r="M23" s="146" t="s">
        <v>255</v>
      </c>
      <c r="N23" s="137">
        <f>CountIF('Plan - NL'!$I$11:$P$32,$A23)</f>
        <v>2</v>
      </c>
      <c r="O23" s="137">
        <f>COUNTIFS('Plan - NL'!$K$11:$K$32,$A23)</f>
        <v>2</v>
      </c>
      <c r="P23" s="137">
        <f>COUNTIFS('Plan - NL'!$L$11:$L$32,$A23)</f>
        <v>0</v>
      </c>
      <c r="Q23" s="137">
        <f>COUNTIFS('Plan - NL'!$I$11:$J$32,$A23)+COUNTIFS('Plan - NL'!$M$11:$P$32,$A23)</f>
        <v>0</v>
      </c>
      <c r="R23" s="137"/>
      <c r="S23" s="131"/>
      <c r="T23" s="131"/>
      <c r="U23" s="131"/>
      <c r="V23" s="131"/>
    </row>
    <row r="24">
      <c r="A24" s="127" t="s">
        <v>49</v>
      </c>
      <c r="B24" s="127" t="s">
        <v>118</v>
      </c>
      <c r="C24" s="128" t="s">
        <v>233</v>
      </c>
      <c r="D24" s="128" t="s">
        <v>217</v>
      </c>
      <c r="E24" s="128" t="s">
        <v>9</v>
      </c>
      <c r="F24" s="128"/>
      <c r="G24" s="135" t="s">
        <v>68</v>
      </c>
      <c r="I24" s="128" t="s">
        <v>213</v>
      </c>
      <c r="J24" s="128" t="s">
        <v>214</v>
      </c>
      <c r="K24" s="128"/>
      <c r="L24" s="127">
        <v>60677402</v>
      </c>
      <c r="M24" s="146" t="s">
        <v>256</v>
      </c>
      <c r="N24" s="137">
        <f>CountIF('Plan - NL'!$I$11:$P$32,$A24)</f>
        <v>1</v>
      </c>
      <c r="O24" s="137">
        <f>COUNTIFS('Plan - NL'!$J$11:$J$32,$A24)</f>
        <v>0</v>
      </c>
      <c r="P24" s="137">
        <f>COUNTIFS('Plan - NL'!$I$11:$I$32,$A24)</f>
        <v>0</v>
      </c>
      <c r="Q24" s="137">
        <f>COUNTIFS('Plan - NL'!$K$11:$P$32,$A24)</f>
        <v>1</v>
      </c>
      <c r="R24" s="137"/>
      <c r="S24" s="131"/>
      <c r="T24" s="131"/>
      <c r="U24" s="131"/>
      <c r="V24" s="131"/>
    </row>
    <row r="25">
      <c r="A25" s="128" t="s">
        <v>43</v>
      </c>
      <c r="B25" s="128" t="s">
        <v>114</v>
      </c>
      <c r="C25" s="128" t="s">
        <v>68</v>
      </c>
      <c r="D25" s="128" t="s">
        <v>223</v>
      </c>
      <c r="E25" s="128" t="s">
        <v>9</v>
      </c>
      <c r="F25" s="128" t="s">
        <v>8</v>
      </c>
      <c r="G25" s="135" t="s">
        <v>68</v>
      </c>
      <c r="I25" s="128" t="s">
        <v>225</v>
      </c>
      <c r="J25" s="128" t="s">
        <v>40</v>
      </c>
      <c r="N25" s="137">
        <f>CountIF('Plan - NL'!$I$11:$P$32,$A25)</f>
        <v>4</v>
      </c>
      <c r="O25" s="137">
        <f>COUNTIFS('Plan - NL'!$L$11:$L$32,$A25)</f>
        <v>0</v>
      </c>
      <c r="P25" s="137">
        <f>COUNTIFS('Plan - NL'!$K$11:$K$32,$A25)</f>
        <v>0</v>
      </c>
      <c r="Q25" s="137">
        <f>COUNTIFS('Plan - NL'!$I$11:$J$32,$A25)+COUNTIFS('Plan - NL'!$M$11:$P$32,$A25)</f>
        <v>4</v>
      </c>
      <c r="R25" s="131"/>
      <c r="S25" s="131"/>
      <c r="T25" s="131"/>
      <c r="U25" s="131"/>
      <c r="V25" s="131"/>
    </row>
    <row r="26">
      <c r="A26" s="128" t="s">
        <v>193</v>
      </c>
      <c r="B26" s="147" t="s">
        <v>192</v>
      </c>
      <c r="C26" s="128" t="s">
        <v>251</v>
      </c>
      <c r="G26" s="148"/>
      <c r="H26" s="142"/>
      <c r="N26" s="149"/>
      <c r="O26" s="131"/>
      <c r="P26" s="131"/>
      <c r="Q26" s="131"/>
      <c r="R26" s="131"/>
      <c r="S26" s="131"/>
      <c r="T26" s="131"/>
      <c r="U26" s="131"/>
      <c r="V26" s="131"/>
    </row>
    <row r="27">
      <c r="A27" s="128" t="s">
        <v>56</v>
      </c>
      <c r="B27" s="128" t="s">
        <v>119</v>
      </c>
      <c r="C27" s="128" t="s">
        <v>68</v>
      </c>
      <c r="D27" s="128" t="s">
        <v>217</v>
      </c>
      <c r="E27" s="128" t="s">
        <v>9</v>
      </c>
      <c r="G27" s="135" t="s">
        <v>68</v>
      </c>
      <c r="N27" s="143"/>
      <c r="O27" s="131"/>
      <c r="P27" s="131"/>
      <c r="Q27" s="131"/>
      <c r="R27" s="131"/>
      <c r="S27" s="131"/>
      <c r="T27" s="131"/>
      <c r="U27" s="131"/>
      <c r="V27" s="131"/>
    </row>
    <row r="28">
      <c r="A28" s="150" t="s">
        <v>87</v>
      </c>
      <c r="B28" s="141" t="s">
        <v>151</v>
      </c>
      <c r="C28" s="128" t="s">
        <v>257</v>
      </c>
      <c r="D28" s="128" t="s">
        <v>217</v>
      </c>
      <c r="G28" s="150" t="s">
        <v>15</v>
      </c>
      <c r="H28" s="142"/>
      <c r="N28" s="151"/>
      <c r="O28" s="131"/>
      <c r="P28" s="131"/>
      <c r="Q28" s="131"/>
      <c r="R28" s="131"/>
      <c r="S28" s="131"/>
      <c r="T28" s="131"/>
      <c r="U28" s="131"/>
      <c r="V28" s="131"/>
    </row>
    <row r="29">
      <c r="A29" s="128" t="s">
        <v>258</v>
      </c>
      <c r="B29" s="141" t="s">
        <v>259</v>
      </c>
      <c r="C29" s="128" t="s">
        <v>251</v>
      </c>
      <c r="D29" s="128"/>
      <c r="E29" s="128" t="s">
        <v>12</v>
      </c>
      <c r="G29" s="148"/>
      <c r="H29" s="142"/>
      <c r="N29" s="151"/>
      <c r="O29" s="131"/>
      <c r="P29" s="131"/>
      <c r="Q29" s="131"/>
      <c r="R29" s="131"/>
      <c r="S29" s="131"/>
      <c r="T29" s="131"/>
      <c r="U29" s="131"/>
      <c r="V29" s="131"/>
    </row>
    <row r="30">
      <c r="A30" s="128" t="s">
        <v>134</v>
      </c>
      <c r="B30" s="141" t="s">
        <v>133</v>
      </c>
      <c r="C30" s="128" t="s">
        <v>260</v>
      </c>
      <c r="D30" s="128" t="s">
        <v>223</v>
      </c>
      <c r="E30" s="128" t="s">
        <v>261</v>
      </c>
      <c r="G30" s="150" t="s">
        <v>15</v>
      </c>
      <c r="H30" s="142"/>
      <c r="N30" s="151"/>
      <c r="O30" s="131"/>
      <c r="P30" s="131"/>
      <c r="Q30" s="131"/>
      <c r="R30" s="131"/>
      <c r="S30" s="131"/>
      <c r="T30" s="131"/>
      <c r="U30" s="131"/>
      <c r="V30" s="131"/>
    </row>
    <row r="31">
      <c r="A31" s="150" t="s">
        <v>154</v>
      </c>
      <c r="B31" s="141" t="s">
        <v>262</v>
      </c>
      <c r="C31" s="128" t="s">
        <v>263</v>
      </c>
      <c r="D31" s="128" t="s">
        <v>217</v>
      </c>
      <c r="E31" s="128" t="s">
        <v>261</v>
      </c>
      <c r="G31" s="150" t="s">
        <v>15</v>
      </c>
      <c r="H31" s="142"/>
      <c r="N31" s="151"/>
      <c r="O31" s="131"/>
      <c r="P31" s="131"/>
      <c r="Q31" s="131"/>
      <c r="R31" s="131"/>
      <c r="S31" s="131"/>
      <c r="T31" s="131"/>
      <c r="U31" s="131"/>
      <c r="V31" s="131"/>
    </row>
    <row r="32">
      <c r="A32" s="150" t="s">
        <v>85</v>
      </c>
      <c r="B32" s="141" t="s">
        <v>135</v>
      </c>
      <c r="C32" s="128" t="s">
        <v>263</v>
      </c>
      <c r="D32" s="128" t="s">
        <v>217</v>
      </c>
      <c r="E32" s="128" t="s">
        <v>261</v>
      </c>
      <c r="G32" s="150" t="s">
        <v>15</v>
      </c>
      <c r="H32" s="142"/>
      <c r="N32" s="151"/>
      <c r="O32" s="131"/>
      <c r="P32" s="131"/>
      <c r="Q32" s="131"/>
      <c r="R32" s="131"/>
      <c r="S32" s="131"/>
      <c r="T32" s="131"/>
      <c r="U32" s="131"/>
      <c r="V32" s="131"/>
    </row>
    <row r="33">
      <c r="A33" s="150" t="s">
        <v>78</v>
      </c>
      <c r="B33" s="141" t="s">
        <v>155</v>
      </c>
      <c r="C33" s="128"/>
      <c r="D33" s="128" t="s">
        <v>223</v>
      </c>
      <c r="E33" s="128" t="s">
        <v>261</v>
      </c>
      <c r="G33" s="150" t="s">
        <v>15</v>
      </c>
      <c r="H33" s="142"/>
      <c r="N33" s="151"/>
      <c r="O33" s="131"/>
      <c r="P33" s="131"/>
      <c r="Q33" s="131"/>
      <c r="R33" s="131"/>
      <c r="S33" s="131"/>
      <c r="T33" s="131"/>
      <c r="U33" s="131"/>
      <c r="V33" s="131"/>
    </row>
    <row r="34">
      <c r="A34" s="150" t="s">
        <v>132</v>
      </c>
      <c r="B34" s="141" t="s">
        <v>131</v>
      </c>
      <c r="C34" s="128" t="s">
        <v>263</v>
      </c>
      <c r="D34" s="128" t="s">
        <v>223</v>
      </c>
      <c r="E34" s="128" t="s">
        <v>261</v>
      </c>
      <c r="G34" s="150"/>
      <c r="H34" s="142"/>
      <c r="N34" s="151"/>
      <c r="O34" s="131"/>
      <c r="P34" s="131"/>
      <c r="Q34" s="131"/>
      <c r="R34" s="131"/>
      <c r="S34" s="131"/>
      <c r="T34" s="131"/>
      <c r="U34" s="131"/>
      <c r="V34" s="131"/>
    </row>
    <row r="35">
      <c r="A35" s="150" t="s">
        <v>44</v>
      </c>
      <c r="B35" s="141" t="s">
        <v>183</v>
      </c>
      <c r="C35" s="128" t="s">
        <v>68</v>
      </c>
      <c r="D35" s="128" t="s">
        <v>217</v>
      </c>
      <c r="G35" s="150" t="s">
        <v>68</v>
      </c>
      <c r="H35" s="142"/>
      <c r="N35" s="151"/>
      <c r="O35" s="131"/>
      <c r="P35" s="131"/>
      <c r="Q35" s="131"/>
      <c r="R35" s="131"/>
      <c r="S35" s="131"/>
      <c r="T35" s="131"/>
      <c r="U35" s="131"/>
      <c r="V35" s="131"/>
    </row>
    <row r="36">
      <c r="A36" s="152"/>
      <c r="B36" s="141"/>
      <c r="G36" s="153" t="s">
        <v>199</v>
      </c>
      <c r="H36" s="141" t="s">
        <v>200</v>
      </c>
      <c r="N36" s="149"/>
      <c r="O36" s="131"/>
      <c r="P36" s="131"/>
      <c r="Q36" s="131"/>
      <c r="R36" s="131"/>
      <c r="S36" s="131"/>
      <c r="T36" s="131"/>
      <c r="U36" s="131"/>
      <c r="V36" s="131"/>
    </row>
    <row r="37">
      <c r="A37" s="152"/>
      <c r="B37" s="154" t="s">
        <v>251</v>
      </c>
      <c r="C37" s="0">
        <f>COUNTIF($C$3:$C$35,B37)</f>
        <v>3</v>
      </c>
      <c r="D37" s="0">
        <f>COUNTIF($D$3:$D$35,"Ja")</f>
        <v>16</v>
      </c>
      <c r="F37" s="128" t="s">
        <v>264</v>
      </c>
      <c r="G37" s="155">
        <f>COUNTIF($E$3:$E$35,$F37)</f>
        <v>2</v>
      </c>
      <c r="H37" s="155">
        <f>COUNTIF($F$3:$F$35,$F37)</f>
        <v>2</v>
      </c>
      <c r="N37" s="149"/>
      <c r="O37" s="131"/>
      <c r="P37" s="131"/>
      <c r="Q37" s="131"/>
      <c r="R37" s="131"/>
      <c r="S37" s="131"/>
      <c r="T37" s="131"/>
      <c r="U37" s="131"/>
      <c r="V37" s="131"/>
    </row>
    <row r="38">
      <c r="A38" s="152"/>
      <c r="B38" s="154" t="s">
        <v>68</v>
      </c>
      <c r="C38" s="0">
        <f>COUNTIF($C$3:$C$35,B38)</f>
        <v>15</v>
      </c>
      <c r="D38" s="0">
        <f>COUNTIF($D$3:$D$35,"Nej")</f>
        <v>14</v>
      </c>
      <c r="F38" s="128" t="s">
        <v>265</v>
      </c>
      <c r="G38" s="155">
        <f>COUNTIF($E$3:$E$35,$F38)</f>
        <v>4</v>
      </c>
      <c r="H38" s="155">
        <f>COUNTIF($F$3:$F$35,$F38)</f>
        <v>2</v>
      </c>
      <c r="N38" s="149"/>
      <c r="O38" s="131"/>
      <c r="P38" s="131"/>
      <c r="Q38" s="131"/>
      <c r="R38" s="131"/>
      <c r="S38" s="131"/>
      <c r="T38" s="131"/>
      <c r="U38" s="131"/>
      <c r="V38" s="131"/>
    </row>
    <row r="39">
      <c r="A39" s="152"/>
      <c r="B39" s="141" t="s">
        <v>266</v>
      </c>
      <c r="C39" s="0">
        <f>COUNTIF($C$3:$C$35,B39)</f>
        <v>2</v>
      </c>
      <c r="F39" s="128" t="s">
        <v>267</v>
      </c>
      <c r="G39" s="155">
        <f>COUNTIF($E$3:$E$35,$F39)</f>
        <v>3</v>
      </c>
      <c r="H39" s="155">
        <f>COUNTIF($F$3:$F$35,$F39)</f>
        <v>1</v>
      </c>
      <c r="N39" s="149"/>
      <c r="O39" s="131"/>
      <c r="P39" s="131"/>
      <c r="Q39" s="131"/>
      <c r="R39" s="131"/>
      <c r="S39" s="131"/>
      <c r="T39" s="131"/>
      <c r="U39" s="131"/>
      <c r="V39" s="131"/>
    </row>
    <row r="40">
      <c r="A40" s="152"/>
      <c r="B40" s="154" t="s">
        <v>268</v>
      </c>
      <c r="C40" s="0">
        <f>COUNTIF($C$3:$C$35,B40)</f>
        <v>0</v>
      </c>
      <c r="F40" s="128" t="s">
        <v>269</v>
      </c>
      <c r="G40" s="155">
        <f>COUNTIF($E$3:$E$35,$F40)</f>
        <v>2</v>
      </c>
      <c r="H40" s="155">
        <f>COUNTIF($F$3:$F$35,$F40)</f>
        <v>3</v>
      </c>
      <c r="N40" s="143"/>
      <c r="O40" s="131"/>
      <c r="P40" s="131"/>
      <c r="Q40" s="131"/>
      <c r="R40" s="131"/>
      <c r="S40" s="131"/>
      <c r="T40" s="131"/>
      <c r="U40" s="131"/>
      <c r="V40" s="131"/>
    </row>
    <row r="41">
      <c r="A41" s="152"/>
      <c r="B41" s="154" t="s">
        <v>95</v>
      </c>
      <c r="C41" s="0">
        <f>COUNTIF($C$3:$C$35,B41)</f>
        <v>1</v>
      </c>
      <c r="F41" s="128" t="s">
        <v>270</v>
      </c>
      <c r="G41" s="155">
        <f>COUNTIF($E$3:$E$35,$F41)</f>
        <v>7</v>
      </c>
      <c r="H41" s="155">
        <f>COUNTIF($F$3:$F$35,$F41)</f>
        <v>2</v>
      </c>
      <c r="N41" s="149"/>
      <c r="O41" s="131"/>
      <c r="P41" s="131"/>
      <c r="Q41" s="131"/>
      <c r="R41" s="131"/>
      <c r="S41" s="131"/>
      <c r="T41" s="131"/>
      <c r="U41" s="131"/>
      <c r="V41" s="131"/>
    </row>
    <row r="42">
      <c r="A42" s="152"/>
      <c r="B42" s="154" t="s">
        <v>263</v>
      </c>
      <c r="C42" s="0">
        <f>COUNTIF($C$3:$C$35,B42)</f>
        <v>3</v>
      </c>
      <c r="G42" s="155"/>
      <c r="H42" s="142"/>
      <c r="N42" s="143"/>
      <c r="O42" s="131"/>
      <c r="P42" s="131"/>
      <c r="Q42" s="131"/>
      <c r="R42" s="131"/>
      <c r="S42" s="131"/>
      <c r="T42" s="131"/>
      <c r="U42" s="131"/>
      <c r="V42" s="131"/>
    </row>
    <row r="43">
      <c r="A43" s="152"/>
      <c r="B43" s="141" t="s">
        <v>271</v>
      </c>
      <c r="C43" s="0">
        <f>COUNTIF($C$3:$C$35,B43)</f>
        <v>7</v>
      </c>
      <c r="F43" s="128" t="s">
        <v>272</v>
      </c>
      <c r="G43" s="155"/>
      <c r="H43" s="142"/>
      <c r="N43" s="149"/>
      <c r="O43" s="131"/>
      <c r="P43" s="131"/>
      <c r="Q43" s="131"/>
      <c r="R43" s="131"/>
      <c r="S43" s="131"/>
      <c r="T43" s="131"/>
      <c r="U43" s="131"/>
      <c r="V43" s="131"/>
    </row>
    <row r="44">
      <c r="A44" s="152"/>
      <c r="B44" s="141" t="s">
        <v>260</v>
      </c>
      <c r="C44" s="0">
        <f>COUNTIF($C$3:$C$35,B44)</f>
        <v>1</v>
      </c>
      <c r="F44" s="156" t="s">
        <v>273</v>
      </c>
      <c r="G44" s="155"/>
      <c r="H44" s="142"/>
      <c r="N44" s="151"/>
      <c r="O44" s="131"/>
      <c r="P44" s="131"/>
      <c r="Q44" s="131"/>
      <c r="R44" s="131"/>
      <c r="S44" s="131"/>
      <c r="T44" s="131"/>
      <c r="U44" s="131"/>
      <c r="V44" s="131"/>
    </row>
    <row r="45">
      <c r="A45" s="152"/>
      <c r="G45" s="155"/>
      <c r="H45" s="142"/>
      <c r="N45" s="149"/>
      <c r="O45" s="131"/>
      <c r="P45" s="131"/>
      <c r="Q45" s="131"/>
      <c r="R45" s="131"/>
      <c r="S45" s="131"/>
      <c r="T45" s="131"/>
      <c r="U45" s="131"/>
      <c r="V45" s="131"/>
    </row>
    <row r="46">
      <c r="A46" s="152"/>
      <c r="G46" s="155"/>
      <c r="H46" s="142"/>
      <c r="N46" s="149"/>
      <c r="O46" s="131"/>
      <c r="P46" s="131"/>
      <c r="Q46" s="131"/>
      <c r="R46" s="131"/>
      <c r="S46" s="131"/>
      <c r="T46" s="131"/>
      <c r="U46" s="131"/>
      <c r="V46" s="131"/>
    </row>
    <row r="47">
      <c r="A47" s="152"/>
      <c r="F47" s="128" t="s">
        <v>15</v>
      </c>
      <c r="G47" s="155">
        <f>COUNTIF($G$3:$G$35,$F47)</f>
        <v>6</v>
      </c>
      <c r="H47" s="142"/>
      <c r="N47" s="149"/>
      <c r="O47" s="131"/>
      <c r="P47" s="131"/>
      <c r="Q47" s="131"/>
      <c r="R47" s="131"/>
      <c r="S47" s="131"/>
      <c r="T47" s="131"/>
      <c r="U47" s="131"/>
      <c r="V47" s="131"/>
    </row>
    <row r="48">
      <c r="A48" s="152"/>
      <c r="F48" s="128" t="s">
        <v>219</v>
      </c>
      <c r="G48" s="155">
        <f>COUNTIF($G$3:$G$35,$F48)</f>
        <v>8</v>
      </c>
      <c r="H48" s="142"/>
      <c r="N48" s="143"/>
      <c r="O48" s="131"/>
      <c r="P48" s="131"/>
      <c r="Q48" s="131"/>
      <c r="R48" s="131"/>
      <c r="S48" s="131"/>
      <c r="T48" s="131"/>
      <c r="U48" s="131"/>
      <c r="V48" s="131"/>
    </row>
    <row r="49">
      <c r="A49" s="152"/>
      <c r="F49" s="128" t="s">
        <v>68</v>
      </c>
      <c r="G49" s="155">
        <f>COUNTIF($G$3:$G$35,$F49)</f>
        <v>15</v>
      </c>
      <c r="H49" s="142"/>
      <c r="N49" s="143"/>
      <c r="O49" s="131"/>
      <c r="P49" s="131"/>
      <c r="Q49" s="131"/>
      <c r="R49" s="131"/>
      <c r="S49" s="131"/>
      <c r="T49" s="131"/>
      <c r="U49" s="131"/>
      <c r="V49" s="131"/>
    </row>
    <row r="50">
      <c r="A50" s="152"/>
      <c r="G50" s="157">
        <f>SUM(G47:G49)</f>
        <v>29</v>
      </c>
      <c r="H50" s="142"/>
      <c r="N50" s="128"/>
      <c r="O50" s="131"/>
      <c r="P50" s="131"/>
      <c r="Q50" s="131"/>
      <c r="R50" s="131"/>
      <c r="S50" s="131"/>
      <c r="T50" s="131"/>
      <c r="U50" s="131"/>
      <c r="V50" s="131"/>
    </row>
    <row r="51">
      <c r="A51" s="152"/>
      <c r="G51" s="155"/>
      <c r="H51" s="142"/>
      <c r="N51" s="151"/>
      <c r="O51" s="131"/>
      <c r="P51" s="131"/>
      <c r="Q51" s="131"/>
      <c r="R51" s="131"/>
      <c r="S51" s="131"/>
      <c r="T51" s="131"/>
      <c r="U51" s="131"/>
      <c r="V51" s="131"/>
    </row>
    <row r="52">
      <c r="A52" s="152"/>
      <c r="G52" s="155"/>
      <c r="H52" s="142"/>
      <c r="N52" s="149"/>
      <c r="O52" s="131"/>
      <c r="P52" s="131"/>
      <c r="Q52" s="131"/>
      <c r="R52" s="131"/>
      <c r="S52" s="131"/>
      <c r="T52" s="131"/>
      <c r="U52" s="131"/>
      <c r="V52" s="131"/>
    </row>
    <row r="53">
      <c r="A53" s="152"/>
      <c r="G53" s="155"/>
      <c r="H53" s="142"/>
      <c r="N53" s="151"/>
      <c r="O53" s="131"/>
      <c r="P53" s="131"/>
      <c r="Q53" s="131"/>
      <c r="R53" s="131"/>
      <c r="S53" s="131"/>
      <c r="T53" s="131"/>
      <c r="U53" s="131"/>
      <c r="V53" s="131"/>
    </row>
    <row r="54">
      <c r="A54" s="152"/>
      <c r="G54" s="155"/>
      <c r="H54" s="142"/>
      <c r="N54" s="151"/>
      <c r="O54" s="131"/>
      <c r="P54" s="131"/>
      <c r="Q54" s="131"/>
      <c r="R54" s="131"/>
      <c r="S54" s="131"/>
      <c r="T54" s="131"/>
      <c r="U54" s="131"/>
      <c r="V54" s="131"/>
    </row>
    <row r="55">
      <c r="A55" s="152"/>
      <c r="G55" s="155"/>
      <c r="H55" s="142"/>
      <c r="N55" s="128"/>
      <c r="O55" s="131"/>
      <c r="P55" s="131"/>
      <c r="Q55" s="131"/>
      <c r="R55" s="131"/>
      <c r="S55" s="131"/>
      <c r="T55" s="131"/>
      <c r="U55" s="131"/>
      <c r="V55" s="131"/>
    </row>
    <row r="56">
      <c r="A56" s="152"/>
      <c r="G56" s="155"/>
      <c r="H56" s="142"/>
      <c r="N56" s="151"/>
      <c r="O56" s="131"/>
      <c r="P56" s="131"/>
      <c r="Q56" s="131"/>
      <c r="R56" s="131"/>
      <c r="S56" s="131"/>
      <c r="T56" s="131"/>
      <c r="U56" s="131"/>
      <c r="V56" s="131"/>
    </row>
    <row r="57">
      <c r="A57" s="152"/>
      <c r="G57" s="155"/>
      <c r="H57" s="142"/>
      <c r="N57" s="149"/>
      <c r="O57" s="131"/>
      <c r="P57" s="131"/>
      <c r="Q57" s="131"/>
      <c r="R57" s="131"/>
      <c r="S57" s="131"/>
      <c r="T57" s="131"/>
      <c r="U57" s="131"/>
      <c r="V57" s="131"/>
    </row>
    <row r="58">
      <c r="A58" s="152"/>
      <c r="G58" s="155"/>
      <c r="H58" s="142"/>
      <c r="N58" s="131"/>
      <c r="O58" s="131"/>
      <c r="P58" s="131"/>
      <c r="Q58" s="131"/>
      <c r="R58" s="131"/>
      <c r="S58" s="131"/>
      <c r="T58" s="131"/>
      <c r="U58" s="131"/>
      <c r="V58" s="131"/>
    </row>
    <row r="59">
      <c r="A59" s="152"/>
      <c r="G59" s="155"/>
      <c r="H59" s="142"/>
      <c r="N59" s="131"/>
      <c r="O59" s="131"/>
      <c r="P59" s="131"/>
      <c r="Q59" s="131"/>
      <c r="R59" s="131"/>
      <c r="S59" s="131"/>
      <c r="T59" s="131"/>
      <c r="U59" s="131"/>
      <c r="V59" s="131"/>
    </row>
    <row r="60">
      <c r="A60" s="152"/>
      <c r="G60" s="155"/>
      <c r="H60" s="142"/>
      <c r="N60" s="131"/>
      <c r="O60" s="131"/>
      <c r="P60" s="131"/>
      <c r="Q60" s="131"/>
      <c r="R60" s="131"/>
      <c r="S60" s="131"/>
      <c r="T60" s="131"/>
      <c r="U60" s="131"/>
      <c r="V60" s="131"/>
    </row>
    <row r="61">
      <c r="A61" s="152"/>
      <c r="G61" s="155"/>
      <c r="H61" s="142"/>
      <c r="N61" s="131"/>
      <c r="O61" s="131"/>
      <c r="P61" s="131"/>
      <c r="Q61" s="131"/>
      <c r="R61" s="131"/>
      <c r="S61" s="131"/>
      <c r="T61" s="131"/>
      <c r="U61" s="131"/>
      <c r="V61" s="131"/>
    </row>
    <row r="62">
      <c r="A62" s="152"/>
      <c r="G62" s="155"/>
      <c r="H62" s="142"/>
      <c r="N62" s="131"/>
      <c r="O62" s="131"/>
      <c r="P62" s="131"/>
      <c r="Q62" s="131"/>
      <c r="R62" s="131"/>
      <c r="S62" s="131"/>
      <c r="T62" s="131"/>
      <c r="U62" s="131"/>
      <c r="V62" s="131"/>
    </row>
    <row r="63">
      <c r="A63" s="152"/>
      <c r="G63" s="155"/>
      <c r="H63" s="142"/>
      <c r="N63" s="131"/>
      <c r="O63" s="131"/>
      <c r="P63" s="131"/>
      <c r="Q63" s="131"/>
      <c r="R63" s="131"/>
      <c r="S63" s="131"/>
      <c r="T63" s="131"/>
      <c r="U63" s="131"/>
      <c r="V63" s="131"/>
    </row>
    <row r="64">
      <c r="A64" s="152"/>
      <c r="G64" s="155"/>
      <c r="H64" s="142"/>
      <c r="N64" s="131"/>
      <c r="O64" s="131"/>
      <c r="P64" s="131"/>
      <c r="Q64" s="131"/>
      <c r="R64" s="131"/>
      <c r="S64" s="131"/>
      <c r="T64" s="131"/>
      <c r="U64" s="131"/>
      <c r="V64" s="131"/>
    </row>
    <row r="65">
      <c r="A65" s="152"/>
      <c r="G65" s="155"/>
      <c r="H65" s="142"/>
      <c r="N65" s="131"/>
      <c r="O65" s="131"/>
      <c r="P65" s="131"/>
      <c r="Q65" s="131"/>
      <c r="R65" s="131"/>
      <c r="S65" s="131"/>
      <c r="T65" s="131"/>
      <c r="U65" s="131"/>
      <c r="V65" s="131"/>
    </row>
    <row r="66">
      <c r="A66" s="152"/>
      <c r="B66" s="142"/>
      <c r="G66" s="155"/>
      <c r="H66" s="142"/>
      <c r="N66" s="131"/>
      <c r="O66" s="131"/>
      <c r="P66" s="131"/>
      <c r="Q66" s="131"/>
      <c r="R66" s="131"/>
      <c r="S66" s="131"/>
      <c r="T66" s="131"/>
      <c r="U66" s="131"/>
      <c r="V66" s="131"/>
    </row>
    <row r="67">
      <c r="N67" s="131"/>
      <c r="O67" s="131"/>
      <c r="P67" s="131"/>
      <c r="Q67" s="131"/>
      <c r="R67" s="131"/>
      <c r="S67" s="131"/>
      <c r="T67" s="131"/>
      <c r="U67" s="131"/>
      <c r="V67" s="131"/>
    </row>
    <row r="68">
      <c r="N68" s="131"/>
      <c r="O68" s="131"/>
      <c r="P68" s="131"/>
      <c r="Q68" s="131"/>
      <c r="R68" s="131"/>
      <c r="S68" s="131"/>
      <c r="T68" s="131"/>
      <c r="U68" s="131"/>
      <c r="V68" s="131"/>
    </row>
    <row r="69">
      <c r="N69" s="131"/>
      <c r="O69" s="131"/>
      <c r="P69" s="131"/>
      <c r="Q69" s="131"/>
      <c r="R69" s="131"/>
      <c r="S69" s="131"/>
      <c r="T69" s="131"/>
      <c r="U69" s="131"/>
      <c r="V69" s="131"/>
    </row>
    <row r="70">
      <c r="N70" s="131"/>
      <c r="O70" s="131"/>
      <c r="P70" s="131"/>
      <c r="Q70" s="131"/>
      <c r="R70" s="131"/>
      <c r="S70" s="131"/>
      <c r="T70" s="131"/>
      <c r="U70" s="131"/>
      <c r="V70" s="131"/>
    </row>
    <row r="71">
      <c r="N71" s="131"/>
      <c r="O71" s="131"/>
      <c r="P71" s="131"/>
      <c r="Q71" s="131"/>
      <c r="R71" s="131"/>
      <c r="S71" s="131"/>
      <c r="T71" s="131"/>
      <c r="U71" s="131"/>
      <c r="V71" s="131"/>
    </row>
    <row r="72">
      <c r="N72" s="131"/>
      <c r="O72" s="131"/>
      <c r="P72" s="131"/>
      <c r="Q72" s="131"/>
      <c r="R72" s="131"/>
      <c r="S72" s="131"/>
      <c r="T72" s="131"/>
      <c r="U72" s="131"/>
      <c r="V72" s="131"/>
    </row>
    <row r="73">
      <c r="N73" s="131"/>
      <c r="O73" s="131"/>
      <c r="P73" s="131"/>
      <c r="Q73" s="131"/>
      <c r="R73" s="131"/>
      <c r="S73" s="131"/>
      <c r="T73" s="131"/>
      <c r="U73" s="131"/>
      <c r="V73" s="131"/>
    </row>
    <row r="74">
      <c r="N74" s="131"/>
      <c r="O74" s="131"/>
      <c r="P74" s="131"/>
      <c r="Q74" s="131"/>
      <c r="R74" s="131"/>
      <c r="S74" s="131"/>
      <c r="T74" s="131"/>
      <c r="U74" s="131"/>
      <c r="V74" s="131"/>
    </row>
    <row r="75">
      <c r="N75" s="131"/>
      <c r="O75" s="131"/>
      <c r="P75" s="131"/>
      <c r="Q75" s="131"/>
      <c r="R75" s="131"/>
      <c r="S75" s="131"/>
      <c r="T75" s="131"/>
      <c r="U75" s="131"/>
      <c r="V75" s="131"/>
    </row>
    <row r="76">
      <c r="N76" s="131"/>
      <c r="O76" s="131"/>
      <c r="P76" s="131"/>
      <c r="Q76" s="131"/>
      <c r="R76" s="131"/>
      <c r="S76" s="131"/>
      <c r="T76" s="131"/>
      <c r="U76" s="131"/>
      <c r="V76" s="131"/>
    </row>
    <row r="77">
      <c r="N77" s="131"/>
      <c r="O77" s="131"/>
      <c r="P77" s="131"/>
      <c r="Q77" s="131"/>
      <c r="R77" s="131"/>
      <c r="S77" s="131"/>
      <c r="T77" s="131"/>
      <c r="U77" s="131"/>
      <c r="V77" s="131"/>
    </row>
    <row r="78">
      <c r="N78" s="131"/>
      <c r="O78" s="131"/>
      <c r="P78" s="131"/>
      <c r="Q78" s="131"/>
      <c r="R78" s="131"/>
      <c r="S78" s="131"/>
      <c r="T78" s="131"/>
      <c r="U78" s="131"/>
      <c r="V78" s="131"/>
    </row>
    <row r="79">
      <c r="O79" s="131"/>
      <c r="P79" s="131"/>
      <c r="Q79" s="131"/>
      <c r="R79" s="131"/>
      <c r="S79" s="131"/>
      <c r="T79" s="131"/>
      <c r="U79" s="131"/>
      <c r="V79" s="131"/>
    </row>
    <row r="80">
      <c r="O80" s="131"/>
      <c r="P80" s="131"/>
      <c r="Q80" s="131"/>
      <c r="R80" s="131"/>
      <c r="S80" s="131"/>
      <c r="T80" s="131"/>
      <c r="U80" s="131"/>
      <c r="V80" s="131"/>
    </row>
  </sheetData>
  <autoFilter ref="$A$2:$Q$35">
    <sortState ref="A2:Q35">
      <sortCondition ref="E2:E35"/>
      <sortCondition ref="B2:B35"/>
      <sortCondition descending="1" ref="N2:N35"/>
      <sortCondition ref="G2:G35"/>
      <sortCondition descending="1" ref="O2:O35"/>
      <sortCondition descending="1" ref="I2:I35"/>
      <sortCondition ref="A2:A35"/>
      <sortCondition descending="1" ref="Q2:Q35"/>
    </sortState>
  </autoFilter>
  <mergeCells count="1">
    <mergeCell ref="N1:Q1"/>
  </mergeCells>
  <hyperlinks>
    <hyperlink ref="M4" r:id="rId1"/>
    <hyperlink ref="M6" r:id="rId2"/>
    <hyperlink ref="M7" r:id="rId3"/>
    <hyperlink ref="M8" r:id="rId4"/>
    <hyperlink ref="M9" r:id="rId5"/>
    <hyperlink ref="M10" r:id="rId6"/>
    <hyperlink ref="M11" r:id="rId7"/>
    <hyperlink ref="M12" r:id="rId8"/>
    <hyperlink ref="M14" r:id="rId9"/>
    <hyperlink ref="M16" r:id="rId10"/>
    <hyperlink ref="M17" r:id="rId11"/>
    <hyperlink ref="M18" r:id="rId12"/>
    <hyperlink ref="M19" r:id="rId13"/>
    <hyperlink ref="M20" r:id="rId14"/>
    <hyperlink ref="M23" r:id="rId15"/>
    <hyperlink ref="M24" r:id="rId16"/>
  </hyperlinks>
  <drawing r:id="rId17"/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</sheetPr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5.13" defaultRowHeight="15"/>
  <cols>
    <col min="1" max="1" width="6.75" customWidth="1"/>
    <col min="2" max="2" width="21" customWidth="1"/>
    <col min="3" max="3" width="12.5" customWidth="1"/>
    <col min="4" max="5" width="9.88" customWidth="1"/>
    <col min="6" max="6" width="14.25" customWidth="1"/>
    <col min="7" max="8" width="8.63" customWidth="1"/>
    <col min="9" max="9" width="10.63" customWidth="1"/>
    <col min="10" max="10" width="9.63" customWidth="1"/>
    <col min="11" max="11" width="6.75" customWidth="1"/>
    <col min="12" max="12" width="9.13" customWidth="1"/>
    <col min="13" max="13" width="24.25" customWidth="1"/>
    <col min="14" max="14" width="7.25" customWidth="1"/>
    <col min="15" max="15" width="9.88" customWidth="1"/>
    <col min="16" max="16" width="21.38" customWidth="1"/>
    <col min="17" max="17" width="16" customWidth="1"/>
  </cols>
  <sheetData>
    <row r="1">
      <c r="A1" s="127"/>
      <c r="B1" s="127"/>
      <c r="C1" s="128"/>
      <c r="D1" s="128"/>
      <c r="E1" s="128"/>
      <c r="F1" s="128"/>
      <c r="G1" s="127"/>
      <c r="H1" s="127"/>
      <c r="I1" s="128"/>
      <c r="J1" s="128"/>
      <c r="K1" s="128"/>
      <c r="L1" s="127"/>
      <c r="M1" s="127"/>
      <c r="N1" s="129" t="s">
        <v>196</v>
      </c>
      <c r="R1" s="130"/>
      <c r="S1" s="127"/>
      <c r="T1" s="131"/>
      <c r="U1" s="131"/>
      <c r="V1" s="131"/>
    </row>
    <row r="2">
      <c r="A2" s="127" t="s">
        <v>100</v>
      </c>
      <c r="B2" s="127" t="s">
        <v>99</v>
      </c>
      <c r="C2" s="128" t="s">
        <v>197</v>
      </c>
      <c r="D2" s="128" t="s">
        <v>198</v>
      </c>
      <c r="E2" s="128" t="s">
        <v>199</v>
      </c>
      <c r="F2" s="128" t="s">
        <v>200</v>
      </c>
      <c r="G2" s="127" t="s">
        <v>201</v>
      </c>
      <c r="H2" s="127" t="s">
        <v>202</v>
      </c>
      <c r="I2" s="128" t="s">
        <v>203</v>
      </c>
      <c r="J2" s="128" t="s">
        <v>204</v>
      </c>
      <c r="K2" s="128" t="s">
        <v>205</v>
      </c>
      <c r="L2" s="127" t="s">
        <v>206</v>
      </c>
      <c r="M2" s="132" t="s">
        <v>207</v>
      </c>
      <c r="N2" s="133" t="s">
        <v>208</v>
      </c>
      <c r="O2" s="134" t="s">
        <v>209</v>
      </c>
      <c r="P2" s="134" t="s">
        <v>210</v>
      </c>
      <c r="Q2" s="134" t="s">
        <v>211</v>
      </c>
      <c r="R2" s="130"/>
      <c r="S2" s="127"/>
      <c r="T2" s="131"/>
      <c r="U2" s="131"/>
      <c r="V2" s="131"/>
    </row>
    <row r="3">
      <c r="A3" s="128" t="s">
        <v>274</v>
      </c>
      <c r="B3" s="128" t="s">
        <v>275</v>
      </c>
      <c r="C3" s="128" t="s">
        <v>276</v>
      </c>
      <c r="D3" s="128" t="s">
        <v>223</v>
      </c>
      <c r="E3" s="128" t="s">
        <v>11</v>
      </c>
      <c r="I3" s="128" t="s">
        <v>225</v>
      </c>
      <c r="M3" s="139"/>
      <c r="N3" s="137">
        <f>CountIF('Plan - NL'!$I$11:$P$32,$A3)</f>
        <v>0</v>
      </c>
      <c r="O3" s="137">
        <f>COUNTIFS('Plan - NL'!$L$11:$L$32,$A3)</f>
        <v>0</v>
      </c>
      <c r="P3" s="137">
        <f>COUNTIFS('Plan - NL'!$K$11:$K$32,$A3)</f>
        <v>0</v>
      </c>
      <c r="Q3" s="137">
        <f>COUNTIFS('Plan - NL'!$I$11:$J$32,$A3)+COUNTIFS('Plan - NL'!$M$11:$P$32,$A3)</f>
        <v>0</v>
      </c>
      <c r="R3" s="137"/>
      <c r="S3" s="131"/>
      <c r="T3" s="131"/>
      <c r="U3" s="131"/>
      <c r="V3" s="131"/>
    </row>
    <row r="4">
      <c r="A4" s="127" t="s">
        <v>185</v>
      </c>
      <c r="B4" s="127" t="s">
        <v>184</v>
      </c>
      <c r="C4" s="128" t="s">
        <v>276</v>
      </c>
      <c r="D4" s="128" t="s">
        <v>223</v>
      </c>
      <c r="E4" s="128" t="s">
        <v>9</v>
      </c>
      <c r="F4" s="128" t="s">
        <v>8</v>
      </c>
      <c r="G4" s="127" t="s">
        <v>219</v>
      </c>
      <c r="H4" s="127">
        <v>7246</v>
      </c>
      <c r="I4" s="128" t="s">
        <v>213</v>
      </c>
      <c r="J4" s="128" t="s">
        <v>214</v>
      </c>
      <c r="K4" s="128"/>
      <c r="L4" s="127">
        <v>51248482</v>
      </c>
      <c r="M4" s="138" t="s">
        <v>277</v>
      </c>
      <c r="N4" s="137">
        <f>CountIF('Plan - NL'!$I$11:$P$32,$A4)</f>
        <v>0</v>
      </c>
      <c r="O4" s="137">
        <f>COUNTIFS('Plan - NL'!$J$11:$J$32,$A4)</f>
        <v>0</v>
      </c>
      <c r="P4" s="137">
        <f>COUNTIFS('Plan - NL'!$I$11:$I$32,$A4)</f>
        <v>0</v>
      </c>
      <c r="Q4" s="137">
        <f>COUNTIFS('Plan - NL'!$K$11:$P$32,$A4)</f>
        <v>0</v>
      </c>
      <c r="R4" s="137"/>
      <c r="S4" s="131"/>
      <c r="T4" s="131"/>
      <c r="U4" s="131"/>
      <c r="V4" s="131"/>
    </row>
    <row r="5">
      <c r="A5" s="128" t="s">
        <v>278</v>
      </c>
      <c r="B5" s="128" t="s">
        <v>279</v>
      </c>
      <c r="C5" s="128" t="s">
        <v>276</v>
      </c>
      <c r="D5" s="128" t="s">
        <v>223</v>
      </c>
      <c r="E5" s="128" t="s">
        <v>9</v>
      </c>
      <c r="F5" s="128"/>
      <c r="G5" s="128" t="s">
        <v>15</v>
      </c>
      <c r="H5" s="128">
        <v>15447</v>
      </c>
      <c r="I5" s="128" t="s">
        <v>225</v>
      </c>
      <c r="J5" s="128" t="s">
        <v>69</v>
      </c>
      <c r="M5" s="132"/>
      <c r="N5" s="137">
        <f>CountIF('Plan - NL'!$I$11:$P$32,$A5)</f>
        <v>0</v>
      </c>
      <c r="O5" s="137">
        <f>COUNTIFS('Plan - NL'!$J$11:$J$32,$A5)</f>
        <v>0</v>
      </c>
      <c r="P5" s="137">
        <f>COUNTIFS('Plan - NL'!$I$11:$I$32,$A5)</f>
        <v>0</v>
      </c>
      <c r="Q5" s="137">
        <f>COUNTIFS('Plan - NL'!$K$11:$P$32,$A5)</f>
        <v>0</v>
      </c>
      <c r="R5" s="137"/>
      <c r="S5" s="131"/>
      <c r="T5" s="131"/>
      <c r="U5" s="131"/>
      <c r="V5" s="131"/>
    </row>
    <row r="6">
      <c r="A6" s="127" t="s">
        <v>172</v>
      </c>
      <c r="B6" s="127" t="s">
        <v>171</v>
      </c>
      <c r="C6" s="128" t="s">
        <v>276</v>
      </c>
      <c r="D6" s="128" t="s">
        <v>223</v>
      </c>
      <c r="E6" s="128" t="s">
        <v>10</v>
      </c>
      <c r="F6" s="128"/>
      <c r="G6" s="127" t="s">
        <v>15</v>
      </c>
      <c r="I6" s="128" t="s">
        <v>225</v>
      </c>
      <c r="J6" s="128" t="s">
        <v>280</v>
      </c>
      <c r="K6" s="128"/>
      <c r="M6" s="138" t="s">
        <v>281</v>
      </c>
      <c r="N6" s="137">
        <f>CountIF('Plan - NL'!$I$11:$P$32,$A6)</f>
        <v>0</v>
      </c>
      <c r="O6" s="137">
        <f>COUNTIFS('Plan - NL'!$K$11:$K$32,$A6)</f>
        <v>0</v>
      </c>
      <c r="P6" s="137">
        <f>COUNTIFS('Plan - NL'!$L$11:$L$32,$A6)</f>
        <v>0</v>
      </c>
      <c r="Q6" s="137">
        <f>COUNTIFS('Plan - NL'!$I$11:$J$32,$A6)+COUNTIFS('Plan - NL'!$M$11:$P$32,$A6)</f>
        <v>0</v>
      </c>
      <c r="R6" s="137"/>
      <c r="S6" s="131"/>
      <c r="T6" s="131"/>
      <c r="U6" s="131"/>
      <c r="V6" s="131"/>
    </row>
    <row r="7">
      <c r="A7" s="128" t="s">
        <v>187</v>
      </c>
      <c r="B7" s="128" t="s">
        <v>186</v>
      </c>
      <c r="C7" s="128" t="s">
        <v>276</v>
      </c>
      <c r="D7" s="128" t="s">
        <v>223</v>
      </c>
      <c r="E7" s="128" t="s">
        <v>12</v>
      </c>
      <c r="M7" s="139"/>
      <c r="N7" s="137">
        <f>CountIF('Plan - NL'!$I$11:$P$32,$A7)</f>
        <v>0</v>
      </c>
      <c r="O7" s="137">
        <f>COUNTIFS('Plan - NL'!$M$11:$M$32,$A7)</f>
        <v>0</v>
      </c>
      <c r="P7" s="137">
        <f>COUNTIFS('Plan - NL'!$N$11:$O$32,$A7)</f>
        <v>0</v>
      </c>
      <c r="Q7" s="137">
        <f>COUNTIFS('Plan - NL'!$I$11:$L$32,$A7)+COUNTIFS('Plan - NL'!$P$11:$P$32,$A7)</f>
        <v>0</v>
      </c>
      <c r="R7" s="137"/>
      <c r="S7" s="158"/>
      <c r="T7" s="131"/>
      <c r="U7" s="131"/>
      <c r="V7" s="131"/>
    </row>
    <row r="8">
      <c r="A8" s="128" t="s">
        <v>282</v>
      </c>
      <c r="B8" s="128" t="s">
        <v>283</v>
      </c>
      <c r="C8" s="128" t="s">
        <v>276</v>
      </c>
      <c r="D8" s="128" t="s">
        <v>223</v>
      </c>
      <c r="E8" s="128" t="s">
        <v>11</v>
      </c>
      <c r="F8" s="128"/>
      <c r="G8" s="128" t="s">
        <v>15</v>
      </c>
      <c r="H8" s="128">
        <v>10548</v>
      </c>
      <c r="I8" s="128" t="s">
        <v>225</v>
      </c>
      <c r="J8" s="128"/>
      <c r="L8" s="127"/>
      <c r="M8" s="136" t="s">
        <v>284</v>
      </c>
      <c r="N8" s="137">
        <f>CountIF('Plan - NL'!$I$11:$P$32,$A8)</f>
        <v>0</v>
      </c>
      <c r="O8" s="137">
        <f>COUNTIFS('Plan - NL'!$L$11:$L$32,$A8)</f>
        <v>0</v>
      </c>
      <c r="P8" s="137">
        <f>COUNTIFS('Plan - NL'!$K$11:$K$32,$A8)</f>
        <v>0</v>
      </c>
      <c r="Q8" s="137">
        <f>COUNTIFS('Plan - NL'!$I$11:$J$32,$A8)+COUNTIFS('Plan - NL'!$M$11:$P$32,$A8)</f>
        <v>0</v>
      </c>
      <c r="R8" s="137"/>
      <c r="S8" s="131"/>
      <c r="T8" s="131"/>
      <c r="U8" s="131"/>
      <c r="V8" s="131"/>
    </row>
    <row r="9">
      <c r="A9" s="127" t="s">
        <v>159</v>
      </c>
      <c r="B9" s="127" t="s">
        <v>158</v>
      </c>
      <c r="C9" s="128" t="s">
        <v>276</v>
      </c>
      <c r="D9" s="128" t="s">
        <v>223</v>
      </c>
      <c r="E9" s="128" t="s">
        <v>9</v>
      </c>
      <c r="F9" s="128"/>
      <c r="G9" s="127" t="s">
        <v>15</v>
      </c>
      <c r="H9" s="127">
        <v>274</v>
      </c>
      <c r="I9" s="128" t="s">
        <v>225</v>
      </c>
      <c r="J9" s="128" t="s">
        <v>214</v>
      </c>
      <c r="K9" s="128"/>
      <c r="L9" s="127">
        <v>27205364</v>
      </c>
      <c r="M9" s="146" t="s">
        <v>285</v>
      </c>
      <c r="N9" s="137">
        <f>CountIF('Plan - NL'!$I$11:$P$32,$A9)</f>
        <v>0</v>
      </c>
      <c r="O9" s="137">
        <f>COUNTIFS('Plan - NL'!$J$11:$J$32,$A9)</f>
        <v>0</v>
      </c>
      <c r="P9" s="137">
        <f>COUNTIFS('Plan - NL'!$I$11:$I$32,$A9)</f>
        <v>0</v>
      </c>
      <c r="Q9" s="137">
        <f>COUNTIFS('Plan - NL'!$K$11:$P$32,$A9)</f>
        <v>0</v>
      </c>
      <c r="R9" s="131"/>
      <c r="S9" s="131"/>
      <c r="T9" s="131"/>
      <c r="U9" s="131"/>
      <c r="V9" s="131"/>
    </row>
    <row r="10">
      <c r="A10" s="152"/>
      <c r="B10" s="141"/>
      <c r="G10" s="153" t="s">
        <v>199</v>
      </c>
      <c r="H10" s="141" t="s">
        <v>200</v>
      </c>
      <c r="N10" s="149"/>
      <c r="O10" s="131"/>
      <c r="P10" s="131"/>
      <c r="Q10" s="131"/>
      <c r="R10" s="131"/>
      <c r="S10" s="131"/>
      <c r="T10" s="131"/>
      <c r="U10" s="131"/>
      <c r="V10" s="131"/>
    </row>
    <row r="11">
      <c r="A11" s="152"/>
      <c r="B11" s="154" t="s">
        <v>251</v>
      </c>
      <c r="C11" s="0">
        <f>COUNTIF($C$3:$C$9,B11)</f>
        <v>0</v>
      </c>
      <c r="D11" s="0">
        <f>COUNTIF($D$3:$D$9,"Ja")</f>
        <v>0</v>
      </c>
      <c r="F11" s="128" t="s">
        <v>264</v>
      </c>
      <c r="G11" s="155">
        <f>COUNTIF($E$4:$E$9,$F11)</f>
        <v>0</v>
      </c>
      <c r="H11" s="155">
        <f>COUNTIF($F$4:$F$9,$F11)</f>
        <v>1</v>
      </c>
      <c r="N11" s="149"/>
      <c r="O11" s="131"/>
      <c r="P11" s="131"/>
      <c r="Q11" s="131"/>
      <c r="R11" s="131"/>
      <c r="S11" s="131"/>
      <c r="T11" s="131"/>
      <c r="U11" s="131"/>
      <c r="V11" s="131"/>
    </row>
    <row r="12">
      <c r="A12" s="152"/>
      <c r="B12" s="154" t="s">
        <v>68</v>
      </c>
      <c r="C12" s="0">
        <f>COUNTIF($C$3:$C$9,B12)</f>
        <v>0</v>
      </c>
      <c r="D12" s="0">
        <f>COUNTIF($D$3:$D$9,"Nej")</f>
        <v>7</v>
      </c>
      <c r="F12" s="128" t="s">
        <v>265</v>
      </c>
      <c r="G12" s="155">
        <f>COUNTIF($E$4:$E$9,$F12)</f>
        <v>3</v>
      </c>
      <c r="H12" s="155">
        <f>COUNTIF($F$4:$F$9,$F12)</f>
        <v>0</v>
      </c>
      <c r="N12" s="149"/>
      <c r="O12" s="131"/>
      <c r="P12" s="131"/>
      <c r="Q12" s="131"/>
      <c r="R12" s="131"/>
      <c r="S12" s="131"/>
      <c r="T12" s="131"/>
      <c r="U12" s="131"/>
      <c r="V12" s="131"/>
    </row>
    <row r="13">
      <c r="A13" s="152"/>
      <c r="B13" s="154" t="s">
        <v>286</v>
      </c>
      <c r="C13" s="0">
        <f>COUNTIF($C$3:$C$9,B13)</f>
        <v>0</v>
      </c>
      <c r="F13" s="128" t="s">
        <v>287</v>
      </c>
      <c r="G13" s="155">
        <f>COUNTIF($E$4:$E$9,$F13)</f>
        <v>1</v>
      </c>
      <c r="H13" s="155">
        <f>COUNTIF($F$4:$F$9,$F13)</f>
        <v>0</v>
      </c>
      <c r="N13" s="149"/>
      <c r="O13" s="131"/>
      <c r="P13" s="131"/>
      <c r="Q13" s="131"/>
      <c r="R13" s="131"/>
      <c r="S13" s="131"/>
      <c r="T13" s="131"/>
      <c r="U13" s="131"/>
      <c r="V13" s="131"/>
    </row>
    <row r="14">
      <c r="A14" s="152"/>
      <c r="B14" s="154" t="s">
        <v>288</v>
      </c>
      <c r="C14" s="0">
        <f>COUNTIF($C$3:$C$9,B14)</f>
        <v>0</v>
      </c>
      <c r="F14" s="128" t="s">
        <v>289</v>
      </c>
      <c r="G14" s="155">
        <f>COUNTIF($E$4:$E$9,$F14)</f>
        <v>1</v>
      </c>
      <c r="H14" s="155">
        <f>COUNTIF($F$4:$F$9,$F14)</f>
        <v>0</v>
      </c>
      <c r="N14" s="149"/>
      <c r="O14" s="131"/>
      <c r="P14" s="131"/>
      <c r="Q14" s="131"/>
      <c r="R14" s="131"/>
      <c r="S14" s="131"/>
      <c r="T14" s="131"/>
      <c r="U14" s="131"/>
      <c r="V14" s="131"/>
    </row>
    <row r="15">
      <c r="A15" s="152"/>
      <c r="B15" s="141" t="s">
        <v>266</v>
      </c>
      <c r="C15" s="0">
        <f>COUNTIF($C$3:$C$9,B15)</f>
        <v>0</v>
      </c>
      <c r="F15" s="128" t="s">
        <v>267</v>
      </c>
      <c r="G15" s="155">
        <f>COUNTIF($E$4:$E$9,$F15)</f>
        <v>0</v>
      </c>
      <c r="H15" s="155">
        <f>COUNTIF($F$4:$F$9,$F15)</f>
        <v>0</v>
      </c>
      <c r="N15" s="149"/>
      <c r="O15" s="131"/>
      <c r="P15" s="131"/>
      <c r="Q15" s="131"/>
      <c r="R15" s="131"/>
      <c r="S15" s="131"/>
      <c r="T15" s="131"/>
      <c r="U15" s="131"/>
      <c r="V15" s="131"/>
    </row>
    <row r="16">
      <c r="A16" s="152"/>
      <c r="B16" s="154" t="s">
        <v>268</v>
      </c>
      <c r="C16" s="0">
        <f>COUNTIF($C$3:$C$9,B16)</f>
        <v>0</v>
      </c>
      <c r="F16" s="128" t="s">
        <v>269</v>
      </c>
      <c r="G16" s="155">
        <f>COUNTIF($E$4:$E$9,$F16)</f>
        <v>0</v>
      </c>
      <c r="H16" s="155">
        <f>COUNTIF($F$4:$F$9,$F16)</f>
        <v>0</v>
      </c>
      <c r="N16" s="143"/>
      <c r="O16" s="131"/>
      <c r="P16" s="131"/>
      <c r="Q16" s="131"/>
      <c r="R16" s="131"/>
      <c r="S16" s="131"/>
      <c r="T16" s="131"/>
      <c r="U16" s="131"/>
      <c r="V16" s="131"/>
    </row>
    <row r="17">
      <c r="A17" s="152"/>
      <c r="B17" s="154" t="s">
        <v>95</v>
      </c>
      <c r="C17" s="0">
        <f>COUNTIF($C$3:$C$9,B17)</f>
        <v>0</v>
      </c>
      <c r="F17" s="128" t="s">
        <v>270</v>
      </c>
      <c r="G17" s="155">
        <f>COUNTIF($E$4:$E$9,$F17)</f>
        <v>1</v>
      </c>
      <c r="H17" s="155">
        <f>COUNTIF($F$4:$F$9,$F17)</f>
        <v>0</v>
      </c>
      <c r="N17" s="149"/>
      <c r="O17" s="131"/>
      <c r="P17" s="131"/>
      <c r="Q17" s="131"/>
      <c r="R17" s="131"/>
      <c r="S17" s="131"/>
      <c r="T17" s="131"/>
      <c r="U17" s="131"/>
      <c r="V17" s="131"/>
    </row>
    <row r="18">
      <c r="A18" s="152"/>
      <c r="B18" s="154" t="s">
        <v>263</v>
      </c>
      <c r="C18" s="0">
        <f>COUNTIF($C$3:$C$9,B18)</f>
        <v>0</v>
      </c>
      <c r="G18" s="155"/>
      <c r="H18" s="142"/>
      <c r="N18" s="143"/>
      <c r="O18" s="131"/>
      <c r="P18" s="131"/>
      <c r="Q18" s="131"/>
      <c r="R18" s="131"/>
      <c r="S18" s="131"/>
      <c r="T18" s="131"/>
      <c r="U18" s="131"/>
      <c r="V18" s="131"/>
    </row>
    <row r="19">
      <c r="A19" s="152"/>
      <c r="B19" s="141" t="s">
        <v>271</v>
      </c>
      <c r="C19" s="0">
        <f>COUNTIF($C$3:$C$9,B19)</f>
        <v>0</v>
      </c>
      <c r="F19" s="128" t="s">
        <v>272</v>
      </c>
      <c r="G19" s="155"/>
      <c r="H19" s="142"/>
      <c r="N19" s="149"/>
      <c r="O19" s="131"/>
      <c r="P19" s="131"/>
      <c r="Q19" s="131"/>
      <c r="R19" s="131"/>
      <c r="S19" s="131"/>
      <c r="T19" s="131"/>
      <c r="U19" s="131"/>
      <c r="V19" s="131"/>
    </row>
    <row r="20">
      <c r="A20" s="152"/>
      <c r="B20" s="141" t="s">
        <v>260</v>
      </c>
      <c r="C20" s="0">
        <f>COUNTIF($C$3:$C$9,B20)</f>
        <v>0</v>
      </c>
      <c r="F20" s="156" t="s">
        <v>273</v>
      </c>
      <c r="G20" s="155"/>
      <c r="H20" s="142"/>
      <c r="N20" s="151"/>
      <c r="O20" s="131"/>
      <c r="P20" s="131"/>
      <c r="Q20" s="131"/>
      <c r="R20" s="131"/>
      <c r="S20" s="131"/>
      <c r="T20" s="131"/>
      <c r="U20" s="131"/>
      <c r="V20" s="131"/>
    </row>
    <row r="21">
      <c r="A21" s="152"/>
      <c r="G21" s="155"/>
      <c r="H21" s="142"/>
      <c r="N21" s="149"/>
      <c r="O21" s="131"/>
      <c r="P21" s="131"/>
      <c r="Q21" s="131"/>
      <c r="R21" s="131"/>
      <c r="S21" s="131"/>
      <c r="T21" s="131"/>
      <c r="U21" s="131"/>
      <c r="V21" s="131"/>
    </row>
    <row r="22">
      <c r="A22" s="152"/>
      <c r="G22" s="155"/>
      <c r="H22" s="142"/>
      <c r="N22" s="149"/>
      <c r="O22" s="131"/>
      <c r="P22" s="131"/>
      <c r="Q22" s="131"/>
      <c r="R22" s="131"/>
      <c r="S22" s="131"/>
      <c r="T22" s="131"/>
      <c r="U22" s="131"/>
      <c r="V22" s="131"/>
    </row>
    <row r="23">
      <c r="A23" s="152"/>
      <c r="G23" s="155"/>
      <c r="H23" s="142"/>
      <c r="N23" s="149"/>
      <c r="O23" s="131"/>
      <c r="P23" s="131"/>
      <c r="Q23" s="131"/>
      <c r="R23" s="131"/>
      <c r="S23" s="131"/>
      <c r="T23" s="131"/>
      <c r="U23" s="131"/>
      <c r="V23" s="131"/>
    </row>
    <row r="24">
      <c r="A24" s="152"/>
      <c r="G24" s="155"/>
      <c r="H24" s="142"/>
      <c r="N24" s="143"/>
      <c r="O24" s="131"/>
      <c r="P24" s="131"/>
      <c r="Q24" s="131"/>
      <c r="R24" s="131"/>
      <c r="S24" s="131"/>
      <c r="T24" s="131"/>
      <c r="U24" s="131"/>
      <c r="V24" s="131"/>
    </row>
    <row r="25">
      <c r="A25" s="152"/>
      <c r="G25" s="155"/>
      <c r="H25" s="142"/>
      <c r="N25" s="143"/>
      <c r="O25" s="131"/>
      <c r="P25" s="131"/>
      <c r="Q25" s="131"/>
      <c r="R25" s="131"/>
      <c r="S25" s="131"/>
      <c r="T25" s="131"/>
      <c r="U25" s="131"/>
      <c r="V25" s="131"/>
    </row>
    <row r="26">
      <c r="A26" s="152"/>
      <c r="G26" s="155"/>
      <c r="H26" s="142"/>
      <c r="N26" s="128"/>
      <c r="O26" s="131"/>
      <c r="P26" s="131"/>
      <c r="Q26" s="131"/>
      <c r="R26" s="131"/>
      <c r="S26" s="131"/>
      <c r="T26" s="131"/>
      <c r="U26" s="131"/>
      <c r="V26" s="131"/>
    </row>
    <row r="27">
      <c r="A27" s="152"/>
      <c r="G27" s="155"/>
      <c r="H27" s="142"/>
      <c r="N27" s="151"/>
      <c r="O27" s="131"/>
      <c r="P27" s="131"/>
      <c r="Q27" s="131"/>
      <c r="R27" s="131"/>
      <c r="S27" s="131"/>
      <c r="T27" s="131"/>
      <c r="U27" s="131"/>
      <c r="V27" s="131"/>
    </row>
    <row r="28">
      <c r="A28" s="152"/>
      <c r="G28" s="155"/>
      <c r="H28" s="142"/>
      <c r="N28" s="149"/>
      <c r="O28" s="131"/>
      <c r="P28" s="131"/>
      <c r="Q28" s="131"/>
      <c r="R28" s="131"/>
      <c r="S28" s="131"/>
      <c r="T28" s="131"/>
      <c r="U28" s="131"/>
      <c r="V28" s="131"/>
    </row>
    <row r="29">
      <c r="A29" s="152"/>
      <c r="G29" s="155"/>
      <c r="H29" s="142"/>
      <c r="N29" s="151"/>
      <c r="O29" s="131"/>
      <c r="P29" s="131"/>
      <c r="Q29" s="131"/>
      <c r="R29" s="131"/>
      <c r="S29" s="131"/>
      <c r="T29" s="131"/>
      <c r="U29" s="131"/>
      <c r="V29" s="131"/>
    </row>
    <row r="30">
      <c r="A30" s="152"/>
      <c r="G30" s="155"/>
      <c r="H30" s="142"/>
      <c r="N30" s="151"/>
      <c r="O30" s="131"/>
      <c r="P30" s="131"/>
      <c r="Q30" s="131"/>
      <c r="R30" s="131"/>
      <c r="S30" s="131"/>
      <c r="T30" s="131"/>
      <c r="U30" s="131"/>
      <c r="V30" s="131"/>
    </row>
    <row r="31">
      <c r="A31" s="152"/>
      <c r="G31" s="155"/>
      <c r="H31" s="142"/>
      <c r="N31" s="128"/>
      <c r="O31" s="131"/>
      <c r="P31" s="131"/>
      <c r="Q31" s="131"/>
      <c r="R31" s="131"/>
      <c r="S31" s="131"/>
      <c r="T31" s="131"/>
      <c r="U31" s="131"/>
      <c r="V31" s="131"/>
    </row>
    <row r="32">
      <c r="A32" s="152"/>
      <c r="G32" s="155"/>
      <c r="H32" s="142"/>
      <c r="N32" s="151"/>
      <c r="O32" s="131"/>
      <c r="P32" s="131"/>
      <c r="Q32" s="131"/>
      <c r="R32" s="131"/>
      <c r="S32" s="131"/>
      <c r="T32" s="131"/>
      <c r="U32" s="131"/>
      <c r="V32" s="131"/>
    </row>
    <row r="33">
      <c r="A33" s="152"/>
      <c r="G33" s="155"/>
      <c r="H33" s="142"/>
      <c r="N33" s="149"/>
      <c r="O33" s="131"/>
      <c r="P33" s="131"/>
      <c r="Q33" s="131"/>
      <c r="R33" s="131"/>
      <c r="S33" s="131"/>
      <c r="T33" s="131"/>
      <c r="U33" s="131"/>
      <c r="V33" s="131"/>
    </row>
    <row r="34">
      <c r="A34" s="152"/>
      <c r="G34" s="155"/>
      <c r="H34" s="142"/>
      <c r="N34" s="131"/>
      <c r="O34" s="131"/>
      <c r="P34" s="131"/>
      <c r="Q34" s="131"/>
      <c r="R34" s="131"/>
      <c r="S34" s="131"/>
      <c r="T34" s="131"/>
      <c r="U34" s="131"/>
      <c r="V34" s="131"/>
    </row>
    <row r="35">
      <c r="A35" s="152"/>
      <c r="G35" s="155"/>
      <c r="H35" s="142"/>
      <c r="N35" s="131"/>
      <c r="O35" s="131"/>
      <c r="P35" s="131"/>
      <c r="Q35" s="131"/>
      <c r="R35" s="131"/>
      <c r="S35" s="131"/>
      <c r="T35" s="131"/>
      <c r="U35" s="131"/>
      <c r="V35" s="131"/>
    </row>
    <row r="36">
      <c r="A36" s="152"/>
      <c r="G36" s="155"/>
      <c r="H36" s="142"/>
      <c r="N36" s="131"/>
      <c r="O36" s="131"/>
      <c r="P36" s="131"/>
      <c r="Q36" s="131"/>
      <c r="R36" s="131"/>
      <c r="S36" s="131"/>
      <c r="T36" s="131"/>
      <c r="U36" s="131"/>
      <c r="V36" s="131"/>
    </row>
    <row r="37">
      <c r="A37" s="152"/>
      <c r="G37" s="155"/>
      <c r="H37" s="142"/>
      <c r="N37" s="131"/>
      <c r="O37" s="131"/>
      <c r="P37" s="131"/>
      <c r="Q37" s="131"/>
      <c r="R37" s="131"/>
      <c r="S37" s="131"/>
      <c r="T37" s="131"/>
      <c r="U37" s="131"/>
      <c r="V37" s="131"/>
    </row>
    <row r="38">
      <c r="A38" s="152"/>
      <c r="G38" s="155"/>
      <c r="H38" s="142"/>
      <c r="N38" s="131"/>
      <c r="O38" s="131"/>
      <c r="P38" s="131"/>
      <c r="Q38" s="131"/>
      <c r="R38" s="131"/>
      <c r="S38" s="131"/>
      <c r="T38" s="131"/>
      <c r="U38" s="131"/>
      <c r="V38" s="131"/>
    </row>
    <row r="39">
      <c r="A39" s="152"/>
      <c r="G39" s="155"/>
      <c r="H39" s="142"/>
      <c r="N39" s="131"/>
      <c r="O39" s="131"/>
      <c r="P39" s="131"/>
      <c r="Q39" s="131"/>
      <c r="R39" s="131"/>
      <c r="S39" s="131"/>
      <c r="T39" s="131"/>
      <c r="U39" s="131"/>
      <c r="V39" s="131"/>
    </row>
    <row r="40">
      <c r="A40" s="152"/>
      <c r="G40" s="155"/>
      <c r="H40" s="142"/>
      <c r="N40" s="131"/>
      <c r="O40" s="131"/>
      <c r="P40" s="131"/>
      <c r="Q40" s="131"/>
      <c r="R40" s="131"/>
      <c r="S40" s="131"/>
      <c r="T40" s="131"/>
      <c r="U40" s="131"/>
      <c r="V40" s="131"/>
    </row>
    <row r="41">
      <c r="A41" s="152"/>
      <c r="G41" s="155"/>
      <c r="H41" s="142"/>
      <c r="N41" s="131"/>
      <c r="O41" s="131"/>
      <c r="P41" s="131"/>
      <c r="Q41" s="131"/>
      <c r="R41" s="131"/>
      <c r="S41" s="131"/>
      <c r="T41" s="131"/>
      <c r="U41" s="131"/>
      <c r="V41" s="131"/>
    </row>
    <row r="42">
      <c r="A42" s="152"/>
      <c r="B42" s="142"/>
      <c r="G42" s="155"/>
      <c r="H42" s="142"/>
      <c r="N42" s="131"/>
      <c r="O42" s="131"/>
      <c r="P42" s="131"/>
      <c r="Q42" s="131"/>
      <c r="R42" s="131"/>
      <c r="S42" s="131"/>
      <c r="T42" s="131"/>
      <c r="U42" s="131"/>
      <c r="V42" s="131"/>
    </row>
    <row r="43">
      <c r="N43" s="131"/>
      <c r="O43" s="131"/>
      <c r="P43" s="131"/>
      <c r="Q43" s="131"/>
      <c r="R43" s="131"/>
      <c r="S43" s="131"/>
      <c r="T43" s="131"/>
      <c r="U43" s="131"/>
      <c r="V43" s="131"/>
    </row>
    <row r="44">
      <c r="N44" s="131"/>
      <c r="O44" s="131"/>
      <c r="P44" s="131"/>
      <c r="Q44" s="131"/>
      <c r="R44" s="131"/>
      <c r="S44" s="131"/>
      <c r="T44" s="131"/>
      <c r="U44" s="131"/>
      <c r="V44" s="131"/>
    </row>
    <row r="45">
      <c r="N45" s="131"/>
      <c r="O45" s="131"/>
      <c r="P45" s="131"/>
      <c r="Q45" s="131"/>
      <c r="R45" s="131"/>
      <c r="S45" s="131"/>
      <c r="T45" s="131"/>
      <c r="U45" s="131"/>
      <c r="V45" s="131"/>
    </row>
    <row r="46">
      <c r="N46" s="131"/>
      <c r="O46" s="131"/>
      <c r="P46" s="131"/>
      <c r="Q46" s="131"/>
      <c r="R46" s="131"/>
      <c r="S46" s="131"/>
      <c r="T46" s="131"/>
      <c r="U46" s="131"/>
      <c r="V46" s="131"/>
    </row>
    <row r="47">
      <c r="N47" s="131"/>
      <c r="O47" s="131"/>
      <c r="P47" s="131"/>
      <c r="Q47" s="131"/>
      <c r="R47" s="131"/>
      <c r="S47" s="131"/>
      <c r="T47" s="131"/>
      <c r="U47" s="131"/>
      <c r="V47" s="131"/>
    </row>
    <row r="48">
      <c r="N48" s="131"/>
      <c r="O48" s="131"/>
      <c r="P48" s="131"/>
      <c r="Q48" s="131"/>
      <c r="R48" s="131"/>
      <c r="S48" s="131"/>
      <c r="T48" s="131"/>
      <c r="U48" s="131"/>
      <c r="V48" s="131"/>
    </row>
    <row r="49">
      <c r="N49" s="131"/>
      <c r="O49" s="131"/>
      <c r="P49" s="131"/>
      <c r="Q49" s="131"/>
      <c r="R49" s="131"/>
      <c r="S49" s="131"/>
      <c r="T49" s="131"/>
      <c r="U49" s="131"/>
      <c r="V49" s="131"/>
    </row>
    <row r="50">
      <c r="N50" s="131"/>
      <c r="O50" s="131"/>
      <c r="P50" s="131"/>
      <c r="Q50" s="131"/>
      <c r="R50" s="131"/>
      <c r="S50" s="131"/>
      <c r="T50" s="131"/>
      <c r="U50" s="131"/>
      <c r="V50" s="131"/>
    </row>
    <row r="51">
      <c r="N51" s="131"/>
      <c r="O51" s="131"/>
      <c r="P51" s="131"/>
      <c r="Q51" s="131"/>
      <c r="R51" s="131"/>
      <c r="S51" s="131"/>
      <c r="T51" s="131"/>
      <c r="U51" s="131"/>
      <c r="V51" s="131"/>
    </row>
    <row r="52">
      <c r="N52" s="131"/>
      <c r="O52" s="131"/>
      <c r="P52" s="131"/>
      <c r="Q52" s="131"/>
      <c r="R52" s="131"/>
      <c r="S52" s="131"/>
      <c r="T52" s="131"/>
      <c r="U52" s="131"/>
      <c r="V52" s="131"/>
    </row>
    <row r="53">
      <c r="N53" s="131"/>
      <c r="O53" s="131"/>
      <c r="P53" s="131"/>
      <c r="Q53" s="131"/>
      <c r="R53" s="131"/>
      <c r="S53" s="131"/>
      <c r="T53" s="131"/>
      <c r="U53" s="131"/>
      <c r="V53" s="131"/>
    </row>
    <row r="54">
      <c r="N54" s="131"/>
      <c r="O54" s="131"/>
      <c r="P54" s="131"/>
      <c r="Q54" s="131"/>
      <c r="R54" s="131"/>
      <c r="S54" s="131"/>
      <c r="T54" s="131"/>
      <c r="U54" s="131"/>
      <c r="V54" s="131"/>
    </row>
    <row r="55">
      <c r="O55" s="131"/>
      <c r="P55" s="131"/>
      <c r="Q55" s="131"/>
      <c r="R55" s="131"/>
      <c r="S55" s="131"/>
      <c r="T55" s="131"/>
      <c r="U55" s="131"/>
      <c r="V55" s="131"/>
    </row>
    <row r="56">
      <c r="O56" s="131"/>
      <c r="P56" s="131"/>
      <c r="Q56" s="131"/>
      <c r="R56" s="131"/>
      <c r="S56" s="131"/>
      <c r="T56" s="131"/>
      <c r="U56" s="131"/>
      <c r="V56" s="131"/>
    </row>
  </sheetData>
  <autoFilter ref="$A$2:$Q$9">
    <sortState ref="A2:Q9">
      <sortCondition ref="E2:E9"/>
      <sortCondition ref="B2:B9"/>
      <sortCondition descending="1" ref="N2:N9"/>
      <sortCondition ref="G2:G9"/>
      <sortCondition descending="1" ref="O2:O9"/>
      <sortCondition descending="1" ref="I2:I9"/>
      <sortCondition ref="A2:A9"/>
      <sortCondition descending="1" ref="Q2:Q9"/>
    </sortState>
  </autoFilter>
  <mergeCells count="1">
    <mergeCell ref="N1:Q1"/>
  </mergeCells>
  <hyperlinks>
    <hyperlink ref="M4" r:id="rId1"/>
    <hyperlink ref="M6" r:id="rId2"/>
    <hyperlink ref="M9" r:id="rId3"/>
  </hyperlinks>
  <drawing r:id="rId4"/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  <pageSetUpPr/>
  </sheetPr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5.13" defaultRowHeight="15"/>
  <cols>
    <col min="1" max="1" width="11.5" customWidth="1"/>
    <col min="2" max="2" width="8.5" customWidth="1"/>
    <col min="3" max="3" width="7.25" customWidth="1"/>
    <col min="4" max="4" width="7.13" customWidth="1"/>
    <col min="5" max="5" width="9.75" customWidth="1"/>
    <col min="6" max="6" width="11.25" customWidth="1"/>
    <col min="7" max="7" width="20" customWidth="1"/>
    <col min="8" max="8" width="17.63" customWidth="1"/>
    <col min="9" max="11" width="5" customWidth="1"/>
    <col min="12" max="12" width="4.5" customWidth="1"/>
    <col min="13" max="13" width="5.5" customWidth="1"/>
    <col min="14" max="14" width="4.5" customWidth="1"/>
    <col min="15" max="15" width="5" customWidth="1"/>
    <col min="16" max="16" width="4.75" customWidth="1"/>
    <col min="17" max="17" width="46.5" customWidth="1"/>
    <col min="18" max="18" width="24" customWidth="1"/>
    <col min="19" max="20" width="5.25" customWidth="1"/>
    <col min="21" max="21" width="9" customWidth="1"/>
    <col min="22" max="22" width="10.88" customWidth="1"/>
    <col min="24" max="24" width="12.25" customWidth="1"/>
    <col min="25" max="25" width="12.63" customWidth="1"/>
    <col min="27" max="29" width="16.88" customWidth="1"/>
    <col min="30" max="30" width="11.75" customWidth="1"/>
    <col min="31" max="31" width="13.25" customWidth="1"/>
    <col min="33" max="33" width="15.5" customWidth="1"/>
    <col min="35" max="35" width="11.13" customWidth="1"/>
    <col min="36" max="36" width="12.63" customWidth="1"/>
  </cols>
  <sheetData>
    <row r="1">
      <c r="A1" s="159" t="s">
        <v>290</v>
      </c>
      <c r="B1" s="160" t="s">
        <v>1</v>
      </c>
      <c r="C1" s="161" t="s">
        <v>2</v>
      </c>
      <c r="D1" s="161" t="s">
        <v>3</v>
      </c>
      <c r="E1" s="162" t="s">
        <v>4</v>
      </c>
      <c r="F1" s="161" t="s">
        <v>5</v>
      </c>
      <c r="G1" s="161" t="s">
        <v>6</v>
      </c>
      <c r="H1" s="161" t="s">
        <v>7</v>
      </c>
      <c r="I1" s="161" t="s">
        <v>8</v>
      </c>
      <c r="J1" s="161" t="s">
        <v>9</v>
      </c>
      <c r="K1" s="161" t="s">
        <v>10</v>
      </c>
      <c r="L1" s="161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3"/>
      <c r="S1" s="163" t="s">
        <v>18</v>
      </c>
      <c r="T1" s="163" t="s">
        <v>19</v>
      </c>
      <c r="U1" s="163" t="s">
        <v>20</v>
      </c>
      <c r="V1" s="163" t="s">
        <v>21</v>
      </c>
      <c r="W1" s="162" t="s">
        <v>22</v>
      </c>
      <c r="X1" s="162" t="s">
        <v>23</v>
      </c>
      <c r="Y1" s="161" t="s">
        <v>24</v>
      </c>
      <c r="Z1" s="164" t="s">
        <v>25</v>
      </c>
      <c r="AA1" s="162" t="s">
        <v>26</v>
      </c>
      <c r="AB1" s="131"/>
      <c r="AC1" s="151" t="s">
        <v>27</v>
      </c>
      <c r="AD1" s="151" t="s">
        <v>28</v>
      </c>
      <c r="AE1" s="149" t="s">
        <v>29</v>
      </c>
      <c r="AF1" s="151" t="s">
        <v>30</v>
      </c>
      <c r="AG1" s="151" t="s">
        <v>31</v>
      </c>
      <c r="AH1" s="151" t="s">
        <v>32</v>
      </c>
      <c r="AI1" s="151" t="s">
        <v>33</v>
      </c>
      <c r="AJ1" s="151"/>
      <c r="AK1" s="149" t="s">
        <v>34</v>
      </c>
      <c r="AL1" s="151" t="s">
        <v>35</v>
      </c>
      <c r="AM1" s="151" t="s">
        <v>36</v>
      </c>
      <c r="AN1" s="151"/>
    </row>
    <row r="2">
      <c r="A2" s="165"/>
      <c r="B2" s="166">
        <v>2</v>
      </c>
      <c r="C2" s="167" t="s">
        <v>38</v>
      </c>
      <c r="D2" s="167">
        <v>15</v>
      </c>
      <c r="E2" s="167" t="s">
        <v>291</v>
      </c>
      <c r="F2" s="168">
        <v>0.583333333333333</v>
      </c>
      <c r="G2" s="167" t="s">
        <v>226</v>
      </c>
      <c r="H2" s="169" t="s">
        <v>47</v>
      </c>
      <c r="I2" s="170" t="s">
        <v>63</v>
      </c>
      <c r="J2" s="171" t="s">
        <v>278</v>
      </c>
      <c r="K2" s="171" t="s">
        <v>42</v>
      </c>
      <c r="L2" s="171" t="s">
        <v>62</v>
      </c>
      <c r="M2" s="171" t="s">
        <v>50</v>
      </c>
      <c r="N2" s="171" t="s">
        <v>79</v>
      </c>
      <c r="O2" s="171" t="s">
        <v>138</v>
      </c>
      <c r="P2" s="171"/>
      <c r="Q2" s="171"/>
      <c r="R2" s="172" t="s">
        <v>292</v>
      </c>
      <c r="S2" s="171">
        <f>COUNTIF('Status data'!$A2:$H2,"1")</f>
        <v>4</v>
      </c>
      <c r="T2" s="171">
        <f>COUNTIF('Status data'!$A2:$H2,"2")</f>
        <v>2</v>
      </c>
      <c r="U2" s="171">
        <f>COUNTIF('Status data'!$A2:$H2,"3")</f>
        <v>0</v>
      </c>
      <c r="V2" s="172"/>
      <c r="W2" s="172"/>
      <c r="X2" s="173"/>
      <c r="Y2" s="174"/>
      <c r="Z2" s="173"/>
      <c r="AA2" s="173"/>
      <c r="AB2" s="175"/>
      <c r="AC2" s="176"/>
      <c r="AD2" s="176"/>
      <c r="AE2" s="176"/>
      <c r="AF2" s="177" t="str">
        <f>HOUR(AD2-AC2)&amp;"h"&amp;minute(AD2-AC2)&amp;"m"</f>
        <v>0h0m</v>
      </c>
      <c r="AG2" s="178"/>
      <c r="AH2" s="179"/>
      <c r="AI2" s="179"/>
      <c r="AJ2" s="178"/>
      <c r="AK2" s="180" t="e">
        <f>AE2-#REF!</f>
        <v>#REF!</v>
      </c>
      <c r="AL2" s="181" t="e">
        <f>AH2-#REF!</f>
        <v>#REF!</v>
      </c>
      <c r="AM2" s="182" t="e">
        <f>#REF!-AC2</f>
        <v>#REF!</v>
      </c>
      <c r="AN2" s="182"/>
    </row>
    <row r="3">
      <c r="A3" s="165"/>
      <c r="B3" s="166">
        <v>2</v>
      </c>
      <c r="C3" s="167" t="s">
        <v>38</v>
      </c>
      <c r="D3" s="167">
        <v>15</v>
      </c>
      <c r="E3" s="167" t="s">
        <v>291</v>
      </c>
      <c r="F3" s="168">
        <v>0.583333333333333</v>
      </c>
      <c r="G3" s="167" t="s">
        <v>46</v>
      </c>
      <c r="H3" s="169" t="s">
        <v>293</v>
      </c>
      <c r="I3" s="170" t="s">
        <v>185</v>
      </c>
      <c r="J3" s="171" t="s">
        <v>49</v>
      </c>
      <c r="K3" s="171"/>
      <c r="L3" s="171" t="s">
        <v>66</v>
      </c>
      <c r="M3" s="171" t="s">
        <v>147</v>
      </c>
      <c r="N3" s="171" t="s">
        <v>84</v>
      </c>
      <c r="O3" s="171" t="s">
        <v>65</v>
      </c>
      <c r="P3" s="171"/>
      <c r="Q3" s="183" t="s">
        <v>294</v>
      </c>
      <c r="R3" s="172" t="s">
        <v>295</v>
      </c>
      <c r="S3" s="171">
        <f>COUNTIF('Status data'!$A3:$H3,"1")</f>
        <v>0</v>
      </c>
      <c r="T3" s="171">
        <f>COUNTIF('Status data'!$A3:$H3,"2")</f>
        <v>0</v>
      </c>
      <c r="U3" s="171">
        <f>COUNTIF('Status data'!$A3:$H3,"3")</f>
        <v>0</v>
      </c>
      <c r="V3" s="172"/>
      <c r="W3" s="172"/>
      <c r="X3" s="173"/>
      <c r="Y3" s="174"/>
      <c r="Z3" s="173"/>
      <c r="AA3" s="173"/>
      <c r="AB3" s="175"/>
      <c r="AC3" s="184">
        <v>44059.5847222222</v>
      </c>
      <c r="AD3" s="176">
        <v>44059.6805555556</v>
      </c>
      <c r="AE3" s="176">
        <v>44060.0326388889</v>
      </c>
      <c r="AF3" s="177" t="str">
        <f>HOUR(AD3-AC3)&amp;"h"&amp;MINUTE(AD3-AC3)&amp;"m"</f>
        <v>2h18m</v>
      </c>
      <c r="AG3" s="178"/>
      <c r="AH3" s="185"/>
      <c r="AI3" s="179"/>
      <c r="AJ3" s="178"/>
      <c r="AK3" s="180">
        <f>AE3-AD3</f>
        <v>0.352083333331393</v>
      </c>
      <c r="AL3" s="181">
        <f>AH3-AD3</f>
        <v>-44059.6805555556</v>
      </c>
      <c r="AM3" s="182">
        <f>AD3-AC3</f>
        <v>0.0958333333401242</v>
      </c>
      <c r="AN3" s="182"/>
    </row>
    <row r="4">
      <c r="A4" s="165"/>
      <c r="B4" s="166">
        <v>2</v>
      </c>
      <c r="C4" s="167" t="s">
        <v>53</v>
      </c>
      <c r="D4" s="167">
        <v>16</v>
      </c>
      <c r="E4" s="167" t="s">
        <v>291</v>
      </c>
      <c r="F4" s="168">
        <v>0.583333333333333</v>
      </c>
      <c r="G4" s="167" t="s">
        <v>296</v>
      </c>
      <c r="H4" s="169" t="s">
        <v>297</v>
      </c>
      <c r="I4" s="186" t="s">
        <v>48</v>
      </c>
      <c r="J4" s="171" t="s">
        <v>185</v>
      </c>
      <c r="K4" s="171" t="s">
        <v>88</v>
      </c>
      <c r="L4" s="187" t="s">
        <v>298</v>
      </c>
      <c r="M4" s="171" t="s">
        <v>57</v>
      </c>
      <c r="N4" s="171" t="s">
        <v>84</v>
      </c>
      <c r="O4" s="171" t="s">
        <v>140</v>
      </c>
      <c r="P4" s="171"/>
      <c r="Q4" s="130" t="s">
        <v>294</v>
      </c>
      <c r="R4" s="188" t="s">
        <v>299</v>
      </c>
      <c r="S4" s="171">
        <f>COUNTIF('Status data'!$A4:$H4,"1")</f>
        <v>0</v>
      </c>
      <c r="T4" s="171">
        <f>COUNTIF('Status data'!$A4:$H4,"2")</f>
        <v>0</v>
      </c>
      <c r="U4" s="171">
        <f>COUNTIF('Status data'!$A4:$H4,"3")</f>
        <v>0</v>
      </c>
      <c r="V4" s="188"/>
      <c r="W4" s="172"/>
      <c r="X4" s="173"/>
      <c r="Y4" s="174"/>
      <c r="Z4" s="173"/>
      <c r="AA4" s="173"/>
      <c r="AB4" s="175"/>
      <c r="AC4" s="184"/>
      <c r="AD4" s="176"/>
      <c r="AE4" s="176"/>
      <c r="AF4" s="177" t="str">
        <f>HOUR(AD4-AC4)&amp;"h"&amp;MINUTE(AD4-AC4)&amp;"m"</f>
        <v>0h0m</v>
      </c>
      <c r="AG4" s="178"/>
      <c r="AH4" s="185"/>
      <c r="AI4" s="179"/>
      <c r="AJ4" s="178"/>
      <c r="AK4" s="180">
        <f>AE4-AD4</f>
        <v>0</v>
      </c>
      <c r="AL4" s="181">
        <f>AH4-AD4</f>
        <v>0</v>
      </c>
      <c r="AM4" s="182">
        <f>AD4-AC4</f>
        <v>0</v>
      </c>
      <c r="AN4" s="182"/>
    </row>
    <row r="5">
      <c r="A5" s="189"/>
      <c r="B5" s="190">
        <v>3</v>
      </c>
      <c r="C5" s="191" t="s">
        <v>38</v>
      </c>
      <c r="D5" s="191">
        <v>22</v>
      </c>
      <c r="E5" s="192" t="s">
        <v>291</v>
      </c>
      <c r="F5" s="193">
        <v>0.791666666666667</v>
      </c>
      <c r="G5" s="191" t="s">
        <v>54</v>
      </c>
      <c r="H5" s="191" t="s">
        <v>69</v>
      </c>
      <c r="I5" s="194" t="s">
        <v>57</v>
      </c>
      <c r="J5" s="194" t="s">
        <v>185</v>
      </c>
      <c r="K5" s="195" t="s">
        <v>88</v>
      </c>
      <c r="L5" s="195" t="s">
        <v>66</v>
      </c>
      <c r="M5" s="195" t="s">
        <v>147</v>
      </c>
      <c r="N5" s="195" t="s">
        <v>65</v>
      </c>
      <c r="O5" s="195" t="s">
        <v>140</v>
      </c>
      <c r="P5" s="195" t="s">
        <v>48</v>
      </c>
      <c r="Q5" s="171"/>
      <c r="R5" s="188" t="s">
        <v>300</v>
      </c>
      <c r="S5" s="171">
        <f>COUNTIF('Status data'!$A5:$H5,"1")</f>
        <v>0</v>
      </c>
      <c r="T5" s="171">
        <f>COUNTIF('Status data'!$A5:$H5,"2")</f>
        <v>0</v>
      </c>
      <c r="U5" s="171">
        <f>COUNTIF('Status data'!$A5:$H5,"3")</f>
        <v>0</v>
      </c>
      <c r="V5" s="188"/>
      <c r="W5" s="188"/>
      <c r="X5" s="196"/>
      <c r="Y5" s="196"/>
      <c r="Z5" s="196"/>
      <c r="AA5" s="196"/>
      <c r="AB5" s="175"/>
      <c r="AC5" s="176"/>
      <c r="AD5" s="176"/>
      <c r="AE5" s="197"/>
      <c r="AF5" s="177" t="str">
        <f>HOUR(AD5-AC5)&amp;"h"&amp;MINUTE(AD5-AC5)&amp;"m"</f>
        <v>0h0m</v>
      </c>
      <c r="AG5" s="178"/>
      <c r="AH5" s="176"/>
      <c r="AI5" s="178"/>
      <c r="AJ5" s="178"/>
      <c r="AK5" s="180">
        <f>AH5-AD5</f>
        <v>0</v>
      </c>
      <c r="AL5" s="181">
        <f>AH5-AD5</f>
        <v>0</v>
      </c>
      <c r="AM5" s="182">
        <f>AD5-AC5</f>
        <v>0</v>
      </c>
      <c r="AN5" s="182"/>
    </row>
    <row r="6">
      <c r="A6" s="165"/>
      <c r="B6" s="166">
        <v>3</v>
      </c>
      <c r="C6" s="167" t="s">
        <v>53</v>
      </c>
      <c r="D6" s="167">
        <v>23</v>
      </c>
      <c r="E6" s="167" t="s">
        <v>291</v>
      </c>
      <c r="F6" s="168">
        <v>0.583333333333333</v>
      </c>
      <c r="G6" s="167" t="s">
        <v>301</v>
      </c>
      <c r="H6" s="169" t="s">
        <v>40</v>
      </c>
      <c r="I6" s="194"/>
      <c r="J6" s="194" t="s">
        <v>43</v>
      </c>
      <c r="K6" s="195"/>
      <c r="L6" s="195" t="s">
        <v>62</v>
      </c>
      <c r="M6" s="195" t="s">
        <v>302</v>
      </c>
      <c r="N6" s="195" t="s">
        <v>79</v>
      </c>
      <c r="O6" s="195" t="s">
        <v>138</v>
      </c>
      <c r="P6" s="195"/>
      <c r="Q6" s="171" t="s">
        <v>303</v>
      </c>
      <c r="R6" s="188" t="s">
        <v>304</v>
      </c>
      <c r="S6" s="171">
        <f>COUNTIF('Status data'!$A6:$H6,"1")</f>
        <v>2</v>
      </c>
      <c r="T6" s="171">
        <f>COUNTIF('Status data'!$A6:$H6,"2")</f>
        <v>1</v>
      </c>
      <c r="U6" s="171">
        <f>COUNTIF('Status data'!$A6:$H6,"3")</f>
        <v>1</v>
      </c>
      <c r="V6" s="188"/>
      <c r="W6" s="188"/>
      <c r="X6" s="196"/>
      <c r="Y6" s="196"/>
      <c r="Z6" s="196"/>
      <c r="AA6" s="196"/>
      <c r="AB6" s="175"/>
      <c r="AC6" s="176"/>
      <c r="AD6" s="176"/>
      <c r="AE6" s="176"/>
      <c r="AF6" s="177"/>
      <c r="AG6" s="178"/>
      <c r="AH6" s="179"/>
      <c r="AI6" s="178"/>
      <c r="AJ6" s="178"/>
      <c r="AK6" s="180"/>
      <c r="AL6" s="181"/>
      <c r="AM6" s="182"/>
      <c r="AN6" s="182"/>
    </row>
    <row r="7">
      <c r="A7" s="165"/>
      <c r="B7" s="166">
        <v>3</v>
      </c>
      <c r="C7" s="167" t="s">
        <v>53</v>
      </c>
      <c r="D7" s="167">
        <v>23</v>
      </c>
      <c r="E7" s="167" t="s">
        <v>291</v>
      </c>
      <c r="F7" s="168">
        <v>0.583333333333333</v>
      </c>
      <c r="G7" s="167" t="s">
        <v>293</v>
      </c>
      <c r="H7" s="169" t="s">
        <v>305</v>
      </c>
      <c r="I7" s="194" t="s">
        <v>185</v>
      </c>
      <c r="J7" s="194" t="s">
        <v>49</v>
      </c>
      <c r="K7" s="195"/>
      <c r="L7" s="195" t="s">
        <v>298</v>
      </c>
      <c r="M7" s="195" t="s">
        <v>50</v>
      </c>
      <c r="N7" s="195" t="s">
        <v>65</v>
      </c>
      <c r="O7" s="195" t="s">
        <v>140</v>
      </c>
      <c r="P7" s="195"/>
      <c r="Q7" s="130"/>
      <c r="R7" s="188"/>
      <c r="S7" s="171">
        <f>COUNTIF('Status data'!$A7:$H7,"1")</f>
        <v>0</v>
      </c>
      <c r="T7" s="171">
        <f>COUNTIF('Status data'!$A7:$H7,"2")</f>
        <v>0</v>
      </c>
      <c r="U7" s="171">
        <f>COUNTIF('Status data'!$A7:$H7,"3")</f>
        <v>0</v>
      </c>
      <c r="V7" s="188"/>
      <c r="W7" s="188"/>
      <c r="X7" s="196"/>
      <c r="Y7" s="196"/>
      <c r="Z7" s="196"/>
      <c r="AA7" s="196"/>
      <c r="AB7" s="175"/>
      <c r="AC7" s="176"/>
      <c r="AD7" s="176"/>
      <c r="AE7" s="176"/>
      <c r="AF7" s="177"/>
      <c r="AG7" s="178"/>
      <c r="AH7" s="179"/>
      <c r="AI7" s="178"/>
      <c r="AJ7" s="178"/>
      <c r="AK7" s="180"/>
      <c r="AL7" s="181"/>
      <c r="AM7" s="182"/>
      <c r="AN7" s="182"/>
    </row>
    <row r="8">
      <c r="A8" s="165"/>
      <c r="B8" s="166">
        <v>4</v>
      </c>
      <c r="C8" s="167" t="s">
        <v>38</v>
      </c>
      <c r="D8" s="167">
        <v>29</v>
      </c>
      <c r="E8" s="167" t="s">
        <v>291</v>
      </c>
      <c r="F8" s="168">
        <v>0.583333333333333</v>
      </c>
      <c r="G8" s="167" t="s">
        <v>306</v>
      </c>
      <c r="H8" s="169" t="s">
        <v>296</v>
      </c>
      <c r="I8" s="194" t="s">
        <v>48</v>
      </c>
      <c r="J8" s="194" t="s">
        <v>185</v>
      </c>
      <c r="K8" s="195" t="s">
        <v>88</v>
      </c>
      <c r="L8" s="195" t="s">
        <v>66</v>
      </c>
      <c r="M8" s="195" t="s">
        <v>57</v>
      </c>
      <c r="N8" s="195" t="s">
        <v>65</v>
      </c>
      <c r="O8" s="195" t="s">
        <v>140</v>
      </c>
      <c r="P8" s="195" t="s">
        <v>307</v>
      </c>
      <c r="Q8" s="183" t="s">
        <v>308</v>
      </c>
      <c r="R8" s="188"/>
      <c r="S8" s="171">
        <f>COUNTIF('Status data'!$A8:$H8,"1")</f>
        <v>0</v>
      </c>
      <c r="T8" s="171">
        <f>COUNTIF('Status data'!$A8:$H8,"2")</f>
        <v>0</v>
      </c>
      <c r="U8" s="171">
        <f>COUNTIF('Status data'!$A8:$H8,"3")</f>
        <v>0</v>
      </c>
      <c r="V8" s="188"/>
      <c r="W8" s="188"/>
      <c r="X8" s="196"/>
      <c r="Y8" s="196"/>
      <c r="Z8" s="196"/>
      <c r="AA8" s="196"/>
      <c r="AB8" s="175"/>
      <c r="AC8" s="176"/>
      <c r="AD8" s="176"/>
      <c r="AE8" s="176"/>
      <c r="AF8" s="177"/>
      <c r="AG8" s="178"/>
      <c r="AH8" s="179"/>
      <c r="AI8" s="178"/>
      <c r="AJ8" s="178"/>
      <c r="AK8" s="180"/>
      <c r="AL8" s="181"/>
      <c r="AM8" s="182"/>
      <c r="AN8" s="182"/>
    </row>
    <row r="9">
      <c r="A9" s="189"/>
      <c r="B9" s="190">
        <v>4</v>
      </c>
      <c r="C9" s="191" t="s">
        <v>38</v>
      </c>
      <c r="D9" s="191">
        <v>29</v>
      </c>
      <c r="E9" s="192" t="s">
        <v>291</v>
      </c>
      <c r="F9" s="193">
        <v>0.791666666666667</v>
      </c>
      <c r="G9" s="191" t="s">
        <v>55</v>
      </c>
      <c r="H9" s="191" t="s">
        <v>54</v>
      </c>
      <c r="I9" s="194" t="s">
        <v>63</v>
      </c>
      <c r="J9" s="194" t="s">
        <v>49</v>
      </c>
      <c r="K9" s="195" t="s">
        <v>42</v>
      </c>
      <c r="L9" s="195" t="s">
        <v>193</v>
      </c>
      <c r="M9" s="195" t="s">
        <v>57</v>
      </c>
      <c r="N9" s="195" t="s">
        <v>79</v>
      </c>
      <c r="O9" s="195" t="s">
        <v>84</v>
      </c>
      <c r="P9" s="195" t="s">
        <v>50</v>
      </c>
      <c r="Q9" s="171" t="s">
        <v>309</v>
      </c>
      <c r="R9" s="188"/>
      <c r="S9" s="171">
        <f>COUNTIF('Status data'!$A9:$H9,"1")</f>
        <v>0</v>
      </c>
      <c r="T9" s="171">
        <f>COUNTIF('Status data'!$A9:$H9,"2")</f>
        <v>0</v>
      </c>
      <c r="U9" s="171">
        <f>COUNTIF('Status data'!$A9:$H9,"3")</f>
        <v>0</v>
      </c>
      <c r="V9" s="188"/>
      <c r="W9" s="188"/>
      <c r="X9" s="196"/>
      <c r="Y9" s="196"/>
      <c r="Z9" s="196"/>
      <c r="AA9" s="196"/>
      <c r="AB9" s="175"/>
      <c r="AC9" s="176"/>
      <c r="AD9" s="176"/>
      <c r="AE9" s="176"/>
      <c r="AF9" s="177"/>
      <c r="AG9" s="178"/>
      <c r="AH9" s="179"/>
      <c r="AI9" s="178"/>
      <c r="AJ9" s="178"/>
      <c r="AK9" s="180"/>
      <c r="AL9" s="181"/>
      <c r="AM9" s="182"/>
      <c r="AN9" s="182"/>
    </row>
    <row r="10">
      <c r="A10" s="165"/>
      <c r="B10" s="166">
        <v>5</v>
      </c>
      <c r="C10" s="167" t="s">
        <v>38</v>
      </c>
      <c r="D10" s="167">
        <v>5</v>
      </c>
      <c r="E10" s="167" t="s">
        <v>310</v>
      </c>
      <c r="F10" s="168">
        <v>0.583333333333333</v>
      </c>
      <c r="G10" s="167" t="s">
        <v>297</v>
      </c>
      <c r="H10" s="169" t="s">
        <v>46</v>
      </c>
      <c r="I10" s="194" t="s">
        <v>48</v>
      </c>
      <c r="J10" s="194" t="s">
        <v>185</v>
      </c>
      <c r="K10" s="195" t="s">
        <v>88</v>
      </c>
      <c r="L10" s="195" t="s">
        <v>66</v>
      </c>
      <c r="M10" s="195" t="s">
        <v>57</v>
      </c>
      <c r="N10" s="195" t="s">
        <v>65</v>
      </c>
      <c r="O10" s="195" t="s">
        <v>140</v>
      </c>
      <c r="P10" s="195"/>
      <c r="Q10" s="183" t="s">
        <v>294</v>
      </c>
      <c r="R10" s="188"/>
      <c r="S10" s="171">
        <f>COUNTIF('Status data'!$A10:$H10,"1")</f>
        <v>0</v>
      </c>
      <c r="T10" s="171">
        <f>COUNTIF('Status data'!$A10:$H10,"2")</f>
        <v>0</v>
      </c>
      <c r="U10" s="171">
        <f>COUNTIF('Status data'!$A10:$H10,"3")</f>
        <v>0</v>
      </c>
      <c r="V10" s="188"/>
      <c r="W10" s="188"/>
      <c r="X10" s="196"/>
      <c r="Y10" s="196"/>
      <c r="Z10" s="196"/>
      <c r="AA10" s="196"/>
      <c r="AB10" s="175"/>
      <c r="AC10" s="176"/>
      <c r="AD10" s="176"/>
      <c r="AE10" s="176"/>
      <c r="AF10" s="177"/>
      <c r="AG10" s="178"/>
      <c r="AH10" s="179"/>
      <c r="AI10" s="178"/>
      <c r="AJ10" s="178"/>
      <c r="AK10" s="180"/>
      <c r="AL10" s="181"/>
      <c r="AM10" s="182"/>
      <c r="AN10" s="182"/>
    </row>
    <row r="11">
      <c r="A11" s="189"/>
      <c r="B11" s="190">
        <v>5</v>
      </c>
      <c r="C11" s="191" t="s">
        <v>38</v>
      </c>
      <c r="D11" s="191">
        <v>5</v>
      </c>
      <c r="E11" s="191" t="s">
        <v>310</v>
      </c>
      <c r="F11" s="193">
        <v>0.791666666666667</v>
      </c>
      <c r="G11" s="191" t="s">
        <v>69</v>
      </c>
      <c r="H11" s="191" t="s">
        <v>77</v>
      </c>
      <c r="I11" s="194" t="s">
        <v>63</v>
      </c>
      <c r="J11" s="194" t="s">
        <v>278</v>
      </c>
      <c r="K11" s="195" t="s">
        <v>42</v>
      </c>
      <c r="L11" s="195" t="s">
        <v>62</v>
      </c>
      <c r="M11" s="195" t="s">
        <v>50</v>
      </c>
      <c r="N11" s="195" t="s">
        <v>79</v>
      </c>
      <c r="O11" s="195" t="s">
        <v>138</v>
      </c>
      <c r="P11" s="195"/>
      <c r="Q11" s="171"/>
      <c r="R11" s="188"/>
      <c r="S11" s="171">
        <f>COUNTIF('Status data'!$A11:$H11,"1")</f>
        <v>0</v>
      </c>
      <c r="T11" s="171">
        <f>COUNTIF('Status data'!$A11:$H11,"2")</f>
        <v>0</v>
      </c>
      <c r="U11" s="171">
        <f>COUNTIF('Status data'!$A11:$H11,"3")</f>
        <v>0</v>
      </c>
      <c r="V11" s="188"/>
      <c r="W11" s="188"/>
      <c r="X11" s="196"/>
      <c r="Y11" s="196"/>
      <c r="Z11" s="196"/>
      <c r="AA11" s="196"/>
      <c r="AB11" s="175"/>
      <c r="AC11" s="176"/>
      <c r="AD11" s="176"/>
      <c r="AE11" s="176"/>
      <c r="AF11" s="177"/>
      <c r="AG11" s="178"/>
      <c r="AH11" s="179"/>
      <c r="AI11" s="178"/>
      <c r="AJ11" s="178"/>
      <c r="AK11" s="180"/>
      <c r="AL11" s="181"/>
      <c r="AM11" s="182"/>
      <c r="AN11" s="182"/>
    </row>
    <row r="12">
      <c r="A12" s="165"/>
      <c r="B12" s="166">
        <v>6</v>
      </c>
      <c r="C12" s="167" t="s">
        <v>38</v>
      </c>
      <c r="D12" s="167">
        <v>12</v>
      </c>
      <c r="E12" s="167" t="s">
        <v>310</v>
      </c>
      <c r="F12" s="168">
        <v>0.583333333333333</v>
      </c>
      <c r="G12" s="167" t="s">
        <v>296</v>
      </c>
      <c r="H12" s="169" t="s">
        <v>305</v>
      </c>
      <c r="I12" s="194" t="s">
        <v>48</v>
      </c>
      <c r="J12" s="194" t="s">
        <v>49</v>
      </c>
      <c r="K12" s="195" t="s">
        <v>88</v>
      </c>
      <c r="L12" s="195" t="s">
        <v>66</v>
      </c>
      <c r="M12" s="195" t="s">
        <v>147</v>
      </c>
      <c r="N12" s="195" t="s">
        <v>84</v>
      </c>
      <c r="O12" s="195" t="s">
        <v>65</v>
      </c>
      <c r="P12" s="195"/>
      <c r="Q12" s="183" t="s">
        <v>311</v>
      </c>
      <c r="R12" s="188"/>
      <c r="S12" s="171">
        <f>COUNTIF('Status data'!$A12:$H12,"1")</f>
        <v>0</v>
      </c>
      <c r="T12" s="171">
        <f>COUNTIF('Status data'!$A12:$H12,"2")</f>
        <v>0</v>
      </c>
      <c r="U12" s="171">
        <f>COUNTIF('Status data'!$A12:$H12,"3")</f>
        <v>0</v>
      </c>
      <c r="V12" s="188"/>
      <c r="W12" s="188"/>
      <c r="X12" s="196"/>
      <c r="Y12" s="196"/>
      <c r="Z12" s="196"/>
      <c r="AA12" s="196"/>
      <c r="AB12" s="175"/>
      <c r="AC12" s="176"/>
      <c r="AD12" s="176"/>
      <c r="AE12" s="176"/>
      <c r="AF12" s="177"/>
      <c r="AG12" s="178"/>
      <c r="AH12" s="179"/>
      <c r="AI12" s="178"/>
      <c r="AJ12" s="178"/>
      <c r="AK12" s="180"/>
      <c r="AL12" s="181"/>
      <c r="AM12" s="182"/>
      <c r="AN12" s="182"/>
    </row>
    <row r="13">
      <c r="A13" s="189"/>
      <c r="B13" s="190">
        <v>6</v>
      </c>
      <c r="C13" s="191" t="s">
        <v>38</v>
      </c>
      <c r="D13" s="191">
        <v>12</v>
      </c>
      <c r="E13" s="191" t="s">
        <v>310</v>
      </c>
      <c r="F13" s="193">
        <v>0.791666666666667</v>
      </c>
      <c r="G13" s="191" t="s">
        <v>69</v>
      </c>
      <c r="H13" s="191" t="s">
        <v>55</v>
      </c>
      <c r="I13" s="194" t="s">
        <v>63</v>
      </c>
      <c r="J13" s="194" t="s">
        <v>43</v>
      </c>
      <c r="K13" s="195" t="s">
        <v>42</v>
      </c>
      <c r="L13" s="195" t="s">
        <v>312</v>
      </c>
      <c r="M13" s="195" t="s">
        <v>57</v>
      </c>
      <c r="N13" s="195" t="s">
        <v>79</v>
      </c>
      <c r="O13" s="195" t="s">
        <v>138</v>
      </c>
      <c r="P13" s="195" t="s">
        <v>50</v>
      </c>
      <c r="Q13" s="171" t="s">
        <v>313</v>
      </c>
      <c r="R13" s="188"/>
      <c r="S13" s="171">
        <f>COUNTIF('Status data'!$A13:$H13,"1")</f>
        <v>0</v>
      </c>
      <c r="T13" s="171">
        <f>COUNTIF('Status data'!$A13:$H13,"2")</f>
        <v>0</v>
      </c>
      <c r="U13" s="171">
        <f>COUNTIF('Status data'!$A13:$H13,"3")</f>
        <v>0</v>
      </c>
      <c r="V13" s="188"/>
      <c r="W13" s="188"/>
      <c r="X13" s="196"/>
      <c r="Y13" s="196"/>
      <c r="Z13" s="196"/>
      <c r="AA13" s="196"/>
      <c r="AB13" s="175"/>
      <c r="AC13" s="176"/>
      <c r="AD13" s="176"/>
      <c r="AE13" s="176"/>
      <c r="AF13" s="177"/>
      <c r="AG13" s="178"/>
      <c r="AH13" s="179"/>
      <c r="AI13" s="178"/>
      <c r="AJ13" s="178"/>
      <c r="AK13" s="180"/>
      <c r="AL13" s="181"/>
      <c r="AM13" s="182"/>
      <c r="AN13" s="182"/>
    </row>
    <row r="14">
      <c r="A14" s="189"/>
      <c r="B14" s="190">
        <v>7</v>
      </c>
      <c r="C14" s="191" t="s">
        <v>38</v>
      </c>
      <c r="D14" s="191">
        <v>19</v>
      </c>
      <c r="E14" s="191" t="s">
        <v>310</v>
      </c>
      <c r="F14" s="193">
        <v>0.583333333333333</v>
      </c>
      <c r="G14" s="191" t="s">
        <v>77</v>
      </c>
      <c r="H14" s="191" t="s">
        <v>54</v>
      </c>
      <c r="I14" s="194" t="s">
        <v>48</v>
      </c>
      <c r="J14" s="194" t="s">
        <v>49</v>
      </c>
      <c r="K14" s="195" t="s">
        <v>88</v>
      </c>
      <c r="L14" s="195" t="s">
        <v>66</v>
      </c>
      <c r="M14" s="195" t="s">
        <v>147</v>
      </c>
      <c r="N14" s="195" t="s">
        <v>84</v>
      </c>
      <c r="O14" s="195" t="s">
        <v>140</v>
      </c>
      <c r="P14" s="195"/>
      <c r="Q14" s="171"/>
      <c r="R14" s="188"/>
      <c r="S14" s="171">
        <f>COUNTIF('Status data'!$A14:$H14,"1")</f>
        <v>0</v>
      </c>
      <c r="T14" s="171">
        <f>COUNTIF('Status data'!$A14:$H14,"2")</f>
        <v>0</v>
      </c>
      <c r="U14" s="171">
        <f>COUNTIF('Status data'!$A14:$H14,"3")</f>
        <v>0</v>
      </c>
      <c r="V14" s="188"/>
      <c r="W14" s="188"/>
      <c r="X14" s="196"/>
      <c r="Y14" s="196"/>
      <c r="Z14" s="196"/>
      <c r="AA14" s="196"/>
      <c r="AB14" s="175"/>
      <c r="AC14" s="176"/>
      <c r="AD14" s="176"/>
      <c r="AE14" s="176"/>
      <c r="AF14" s="177" t="str">
        <f>HOUR(AD14-AC14)&amp;"h"&amp;minute(AD14-AC14)&amp;"m"</f>
        <v>0h0m</v>
      </c>
      <c r="AG14" s="178"/>
      <c r="AH14" s="179"/>
      <c r="AI14" s="178"/>
      <c r="AJ14" s="178"/>
      <c r="AK14" s="180">
        <f>AE14-AD14</f>
        <v>0</v>
      </c>
      <c r="AL14" s="181">
        <f>AH14-AD14</f>
        <v>0</v>
      </c>
      <c r="AM14" s="182">
        <f>AD14-AC14</f>
        <v>0</v>
      </c>
      <c r="AN14" s="182"/>
    </row>
    <row r="15">
      <c r="A15" s="165"/>
      <c r="B15" s="166">
        <v>7</v>
      </c>
      <c r="C15" s="167" t="s">
        <v>53</v>
      </c>
      <c r="D15" s="167">
        <v>20</v>
      </c>
      <c r="E15" s="167" t="s">
        <v>310</v>
      </c>
      <c r="F15" s="168">
        <v>0.583333333333333</v>
      </c>
      <c r="G15" s="167" t="s">
        <v>314</v>
      </c>
      <c r="H15" s="169" t="s">
        <v>40</v>
      </c>
      <c r="I15" s="194" t="s">
        <v>63</v>
      </c>
      <c r="J15" s="194" t="s">
        <v>43</v>
      </c>
      <c r="K15" s="195" t="s">
        <v>42</v>
      </c>
      <c r="L15" s="195" t="s">
        <v>315</v>
      </c>
      <c r="M15" s="195" t="s">
        <v>302</v>
      </c>
      <c r="N15" s="195" t="s">
        <v>316</v>
      </c>
      <c r="O15" s="195" t="s">
        <v>138</v>
      </c>
      <c r="P15" s="195"/>
      <c r="Q15" s="171"/>
      <c r="R15" s="188"/>
      <c r="S15" s="171">
        <f>COUNTIF('Status data'!$A15:$H15,"1")</f>
        <v>0</v>
      </c>
      <c r="T15" s="171">
        <f>COUNTIF('Status data'!$A15:$H15,"2")</f>
        <v>0</v>
      </c>
      <c r="U15" s="171">
        <f>COUNTIF('Status data'!$A15:$H15,"3")</f>
        <v>0</v>
      </c>
      <c r="V15" s="188"/>
      <c r="W15" s="188"/>
      <c r="X15" s="196"/>
      <c r="Y15" s="196"/>
      <c r="Z15" s="196"/>
      <c r="AA15" s="196"/>
      <c r="AB15" s="175"/>
      <c r="AC15" s="198">
        <v>44086.5847222222</v>
      </c>
      <c r="AD15" s="198">
        <v>44086.6916666667</v>
      </c>
      <c r="AE15" s="176">
        <v>44087.0430555556</v>
      </c>
      <c r="AF15" s="177" t="str">
        <f>HOUR(AD15-AC15)&amp;"h"&amp;MINUTE(AD15-AC15)&amp;"m"</f>
        <v>2h33m</v>
      </c>
      <c r="AG15" s="178"/>
      <c r="AH15" s="179"/>
      <c r="AI15" s="179"/>
      <c r="AJ15" s="178"/>
      <c r="AK15" s="180">
        <f>AE15-AD15</f>
        <v>0.351388888906513</v>
      </c>
      <c r="AL15" s="181">
        <f>AH15-AD15</f>
        <v>-44086.6916666667</v>
      </c>
      <c r="AM15" s="182">
        <f>AD15-AC15</f>
        <v>0.106944444429246</v>
      </c>
      <c r="AN15" s="182"/>
    </row>
    <row r="16">
      <c r="A16" s="199"/>
      <c r="B16" s="200">
        <v>8</v>
      </c>
      <c r="C16" s="201" t="s">
        <v>38</v>
      </c>
      <c r="D16" s="201">
        <v>26</v>
      </c>
      <c r="E16" s="201" t="s">
        <v>310</v>
      </c>
      <c r="F16" s="202">
        <v>0.583333333333333</v>
      </c>
      <c r="G16" s="201" t="s">
        <v>77</v>
      </c>
      <c r="H16" s="201" t="s">
        <v>55</v>
      </c>
      <c r="I16" s="203" t="s">
        <v>48</v>
      </c>
      <c r="J16" s="203" t="s">
        <v>185</v>
      </c>
      <c r="K16" s="204" t="s">
        <v>88</v>
      </c>
      <c r="L16" s="204" t="s">
        <v>66</v>
      </c>
      <c r="M16" s="204" t="s">
        <v>57</v>
      </c>
      <c r="N16" s="204" t="s">
        <v>65</v>
      </c>
      <c r="O16" s="204" t="s">
        <v>140</v>
      </c>
      <c r="P16" s="204"/>
      <c r="Q16" s="171"/>
      <c r="R16" s="188"/>
      <c r="S16" s="171">
        <f>COUNTIF('Status data'!$A16:$H16,"1")</f>
        <v>0</v>
      </c>
      <c r="T16" s="171">
        <f>COUNTIF('Status data'!$A16:$H16,"2")</f>
        <v>0</v>
      </c>
      <c r="U16" s="171">
        <f>COUNTIF('Status data'!$A16:$H16,"3")</f>
        <v>0</v>
      </c>
      <c r="V16" s="188"/>
      <c r="W16" s="188"/>
      <c r="X16" s="196"/>
      <c r="Y16" s="196"/>
      <c r="Z16" s="196"/>
      <c r="AA16" s="196"/>
      <c r="AB16" s="175"/>
      <c r="AC16" s="197"/>
      <c r="AD16" s="176"/>
      <c r="AE16" s="198"/>
      <c r="AF16" s="177" t="str">
        <f>HOUR(AD16-AC16)&amp;"h"&amp;MINUTE(AD16-AC16)&amp;"m"</f>
        <v>0h0m</v>
      </c>
      <c r="AG16" s="205"/>
      <c r="AH16" s="206"/>
      <c r="AI16" s="205"/>
      <c r="AJ16" s="205"/>
      <c r="AK16" s="205">
        <f>AE16-AD16</f>
        <v>0</v>
      </c>
      <c r="AL16" s="205"/>
      <c r="AM16" s="205"/>
      <c r="AN16" s="205"/>
    </row>
    <row r="17">
      <c r="A17" s="207"/>
      <c r="B17" s="208">
        <v>9</v>
      </c>
      <c r="C17" s="167" t="s">
        <v>38</v>
      </c>
      <c r="D17" s="167">
        <v>14</v>
      </c>
      <c r="E17" s="167" t="s">
        <v>317</v>
      </c>
      <c r="F17" s="209">
        <v>0.583333333333333</v>
      </c>
      <c r="G17" s="167" t="s">
        <v>40</v>
      </c>
      <c r="H17" s="167" t="s">
        <v>47</v>
      </c>
      <c r="I17" s="210"/>
      <c r="J17" s="210"/>
      <c r="K17" s="211"/>
      <c r="L17" s="211"/>
      <c r="M17" s="211"/>
      <c r="N17" s="211"/>
      <c r="O17" s="211"/>
      <c r="P17" s="211"/>
      <c r="Q17" s="171"/>
      <c r="R17" s="188"/>
      <c r="S17" s="171">
        <f>COUNTIF('Status data'!$A17:$H17,"1")</f>
        <v>0</v>
      </c>
      <c r="T17" s="171">
        <f>COUNTIF('Status data'!$A17:$H17,"2")</f>
        <v>0</v>
      </c>
      <c r="U17" s="171">
        <f>COUNTIF('Status data'!$A17:$H17,"3")</f>
        <v>0</v>
      </c>
      <c r="V17" s="188"/>
      <c r="W17" s="188"/>
      <c r="X17" s="196"/>
      <c r="Y17" s="196"/>
      <c r="Z17" s="196"/>
      <c r="AA17" s="196"/>
      <c r="AB17" s="175"/>
      <c r="AC17" s="176"/>
      <c r="AD17" s="176"/>
      <c r="AE17" s="212"/>
      <c r="AF17" s="177"/>
      <c r="AG17" s="213"/>
      <c r="AH17" s="205"/>
      <c r="AI17" s="205"/>
      <c r="AJ17" s="205"/>
      <c r="AK17" s="205"/>
      <c r="AL17" s="205"/>
      <c r="AM17" s="205"/>
      <c r="AN17" s="205"/>
    </row>
    <row r="18">
      <c r="A18" s="214"/>
      <c r="B18" s="215">
        <v>9</v>
      </c>
      <c r="C18" s="192" t="s">
        <v>38</v>
      </c>
      <c r="D18" s="192">
        <v>14</v>
      </c>
      <c r="E18" s="192" t="s">
        <v>317</v>
      </c>
      <c r="F18" s="216">
        <v>0.583333333333333</v>
      </c>
      <c r="G18" s="192" t="s">
        <v>77</v>
      </c>
      <c r="H18" s="192" t="s">
        <v>69</v>
      </c>
      <c r="I18" s="210"/>
      <c r="J18" s="210"/>
      <c r="K18" s="211"/>
      <c r="L18" s="211"/>
      <c r="M18" s="211"/>
      <c r="N18" s="211"/>
      <c r="O18" s="211"/>
      <c r="P18" s="211"/>
      <c r="Q18" s="171"/>
      <c r="R18" s="188"/>
      <c r="S18" s="171" t="e">
        <f>COUNTIF(#REF!,"1")</f>
        <v>#REF!</v>
      </c>
      <c r="T18" s="171" t="e">
        <f>COUNTIF(#REF!,"2")</f>
        <v>#REF!</v>
      </c>
      <c r="U18" s="171" t="e">
        <f>COUNTIF(#REF!,"3")</f>
        <v>#REF!</v>
      </c>
      <c r="V18" s="188"/>
      <c r="W18" s="188"/>
      <c r="X18" s="196"/>
      <c r="Y18" s="196"/>
      <c r="Z18" s="196"/>
      <c r="AA18" s="196"/>
      <c r="AB18" s="175"/>
      <c r="AC18" s="176"/>
      <c r="AD18" s="176"/>
      <c r="AE18" s="212"/>
      <c r="AF18" s="177"/>
      <c r="AG18" s="213"/>
      <c r="AH18" s="205"/>
      <c r="AI18" s="205"/>
      <c r="AJ18" s="205"/>
      <c r="AK18" s="205"/>
      <c r="AL18" s="205"/>
      <c r="AM18" s="205"/>
      <c r="AN18" s="205"/>
    </row>
    <row r="19">
      <c r="A19" s="207"/>
      <c r="B19" s="208">
        <v>9</v>
      </c>
      <c r="C19" s="167" t="s">
        <v>53</v>
      </c>
      <c r="D19" s="167">
        <v>15</v>
      </c>
      <c r="E19" s="167" t="s">
        <v>317</v>
      </c>
      <c r="F19" s="209">
        <v>0.583333333333333</v>
      </c>
      <c r="G19" s="167" t="s">
        <v>46</v>
      </c>
      <c r="H19" s="167" t="s">
        <v>296</v>
      </c>
      <c r="I19" s="210"/>
      <c r="J19" s="210"/>
      <c r="K19" s="211"/>
      <c r="L19" s="211"/>
      <c r="M19" s="211"/>
      <c r="N19" s="211"/>
      <c r="O19" s="211"/>
      <c r="P19" s="211"/>
      <c r="Q19" s="171"/>
      <c r="R19" s="188"/>
      <c r="S19" s="171">
        <f>COUNTIF('Status data'!$A18:$H18,"1")</f>
        <v>0</v>
      </c>
      <c r="T19" s="171">
        <f>COUNTIF('Status data'!$A18:$H18,"2")</f>
        <v>0</v>
      </c>
      <c r="U19" s="171">
        <f>COUNTIF('Status data'!$A18:$H18,"3")</f>
        <v>0</v>
      </c>
      <c r="V19" s="188"/>
      <c r="W19" s="188"/>
      <c r="X19" s="196"/>
      <c r="Y19" s="196"/>
      <c r="Z19" s="196"/>
      <c r="AA19" s="196"/>
      <c r="AB19" s="175"/>
      <c r="AC19" s="176"/>
      <c r="AD19" s="176"/>
      <c r="AE19" s="212"/>
      <c r="AF19" s="177"/>
      <c r="AG19" s="213"/>
      <c r="AH19" s="205"/>
      <c r="AI19" s="205"/>
      <c r="AJ19" s="205"/>
      <c r="AK19" s="205"/>
      <c r="AL19" s="205"/>
      <c r="AM19" s="205"/>
      <c r="AN19" s="205"/>
    </row>
    <row r="20">
      <c r="A20" s="214"/>
      <c r="B20" s="215">
        <v>10</v>
      </c>
      <c r="C20" s="192" t="s">
        <v>38</v>
      </c>
      <c r="D20" s="192">
        <v>21</v>
      </c>
      <c r="E20" s="192" t="s">
        <v>317</v>
      </c>
      <c r="F20" s="216">
        <v>0.791666666666667</v>
      </c>
      <c r="G20" s="192" t="s">
        <v>54</v>
      </c>
      <c r="H20" s="192" t="s">
        <v>55</v>
      </c>
      <c r="I20" s="210"/>
      <c r="J20" s="210"/>
      <c r="K20" s="211"/>
      <c r="L20" s="211"/>
      <c r="M20" s="211"/>
      <c r="N20" s="211"/>
      <c r="O20" s="211"/>
      <c r="P20" s="211"/>
      <c r="Q20" s="171"/>
      <c r="R20" s="188"/>
      <c r="S20" s="171">
        <f>COUNTIF('Status data'!$A19:$H19,"1")</f>
        <v>0</v>
      </c>
      <c r="T20" s="171">
        <f>COUNTIF('Status data'!$A19:$H19,"2")</f>
        <v>0</v>
      </c>
      <c r="U20" s="171">
        <f>COUNTIF('Status data'!$A19:$H19,"3")</f>
        <v>0</v>
      </c>
      <c r="V20" s="188"/>
      <c r="W20" s="188"/>
      <c r="X20" s="196"/>
      <c r="Y20" s="196"/>
      <c r="Z20" s="196"/>
      <c r="AA20" s="196"/>
      <c r="AB20" s="175"/>
      <c r="AC20" s="176"/>
      <c r="AD20" s="176"/>
      <c r="AE20" s="212"/>
      <c r="AF20" s="177"/>
      <c r="AG20" s="213"/>
      <c r="AH20" s="205"/>
      <c r="AI20" s="205"/>
      <c r="AJ20" s="205"/>
      <c r="AK20" s="205"/>
      <c r="AL20" s="205"/>
      <c r="AM20" s="205"/>
      <c r="AN20" s="205"/>
    </row>
    <row r="21">
      <c r="A21" s="207"/>
      <c r="B21" s="208">
        <v>10</v>
      </c>
      <c r="C21" s="167" t="s">
        <v>53</v>
      </c>
      <c r="D21" s="167">
        <v>22</v>
      </c>
      <c r="E21" s="167" t="s">
        <v>317</v>
      </c>
      <c r="F21" s="209">
        <v>0.583333333333333</v>
      </c>
      <c r="G21" s="167" t="s">
        <v>226</v>
      </c>
      <c r="H21" s="167" t="s">
        <v>314</v>
      </c>
      <c r="I21" s="210"/>
      <c r="J21" s="210"/>
      <c r="K21" s="211"/>
      <c r="L21" s="211"/>
      <c r="M21" s="211"/>
      <c r="N21" s="211"/>
      <c r="O21" s="211"/>
      <c r="P21" s="211"/>
      <c r="Q21" s="171"/>
      <c r="R21" s="188"/>
      <c r="S21" s="171">
        <f>COUNTIF('Status data'!$A20:$H20,"1")</f>
        <v>0</v>
      </c>
      <c r="T21" s="171">
        <f>COUNTIF('Status data'!$A20:$H20,"2")</f>
        <v>0</v>
      </c>
      <c r="U21" s="171">
        <f>COUNTIF('Status data'!$A20:$H20,"3")</f>
        <v>0</v>
      </c>
      <c r="V21" s="188"/>
      <c r="W21" s="188"/>
      <c r="X21" s="196"/>
      <c r="Y21" s="196"/>
      <c r="Z21" s="196"/>
      <c r="AA21" s="196"/>
      <c r="AB21" s="175"/>
      <c r="AC21" s="176"/>
      <c r="AD21" s="176"/>
      <c r="AE21" s="212"/>
      <c r="AF21" s="177"/>
      <c r="AG21" s="213"/>
      <c r="AH21" s="205"/>
      <c r="AI21" s="205"/>
      <c r="AJ21" s="205"/>
      <c r="AK21" s="205"/>
      <c r="AL21" s="205"/>
      <c r="AM21" s="205"/>
      <c r="AN21" s="205"/>
    </row>
    <row r="22">
      <c r="A22" s="214"/>
      <c r="B22" s="215">
        <v>11</v>
      </c>
      <c r="C22" s="192" t="s">
        <v>38</v>
      </c>
      <c r="D22" s="192">
        <v>28</v>
      </c>
      <c r="E22" s="192" t="s">
        <v>317</v>
      </c>
      <c r="F22" s="216">
        <v>0.583333333333333</v>
      </c>
      <c r="G22" s="192" t="s">
        <v>69</v>
      </c>
      <c r="H22" s="192" t="s">
        <v>54</v>
      </c>
      <c r="I22" s="210"/>
      <c r="J22" s="210"/>
      <c r="K22" s="211"/>
      <c r="L22" s="211"/>
      <c r="M22" s="211"/>
      <c r="N22" s="211"/>
      <c r="O22" s="211"/>
      <c r="P22" s="211"/>
      <c r="Q22" s="171"/>
      <c r="R22" s="188"/>
      <c r="S22" s="171">
        <f>COUNTIF('Status data'!$A21:$H21,"1")</f>
        <v>0</v>
      </c>
      <c r="T22" s="171">
        <f>COUNTIF('Status data'!$A21:$H21,"2")</f>
        <v>0</v>
      </c>
      <c r="U22" s="171">
        <f>COUNTIF('Status data'!$A21:$H21,"3")</f>
        <v>0</v>
      </c>
      <c r="V22" s="188"/>
      <c r="W22" s="188"/>
      <c r="X22" s="196"/>
      <c r="Y22" s="196"/>
      <c r="Z22" s="196"/>
      <c r="AA22" s="196"/>
      <c r="AB22" s="175"/>
      <c r="AC22" s="176"/>
      <c r="AD22" s="176"/>
      <c r="AE22" s="212"/>
      <c r="AF22" s="177"/>
      <c r="AG22" s="213"/>
      <c r="AH22" s="205"/>
      <c r="AI22" s="205"/>
      <c r="AJ22" s="205"/>
      <c r="AK22" s="205"/>
      <c r="AL22" s="205"/>
      <c r="AM22" s="205"/>
      <c r="AN22" s="205"/>
    </row>
    <row r="23">
      <c r="A23" s="214"/>
      <c r="B23" s="215">
        <v>11</v>
      </c>
      <c r="C23" s="192" t="s">
        <v>38</v>
      </c>
      <c r="D23" s="192">
        <v>28</v>
      </c>
      <c r="E23" s="192" t="s">
        <v>317</v>
      </c>
      <c r="F23" s="216">
        <v>0.583333333333333</v>
      </c>
      <c r="G23" s="192" t="s">
        <v>55</v>
      </c>
      <c r="H23" s="192" t="s">
        <v>77</v>
      </c>
      <c r="I23" s="210"/>
      <c r="J23" s="210"/>
      <c r="K23" s="211"/>
      <c r="L23" s="211"/>
      <c r="M23" s="211"/>
      <c r="N23" s="211"/>
      <c r="O23" s="211"/>
      <c r="P23" s="211"/>
      <c r="Q23" s="171"/>
      <c r="R23" s="188"/>
      <c r="S23" s="171">
        <f>COUNTIF('Status data'!$A22:$H22,"1")</f>
        <v>0</v>
      </c>
      <c r="T23" s="171">
        <f>COUNTIF('Status data'!$A22:$H22,"2")</f>
        <v>0</v>
      </c>
      <c r="U23" s="171">
        <f>COUNTIF('Status data'!$A22:$H22,"3")</f>
        <v>0</v>
      </c>
      <c r="V23" s="188"/>
      <c r="W23" s="188"/>
      <c r="X23" s="196"/>
      <c r="Y23" s="196"/>
      <c r="Z23" s="196"/>
      <c r="AA23" s="196"/>
      <c r="AB23" s="175"/>
      <c r="AC23" s="176"/>
      <c r="AD23" s="176"/>
      <c r="AE23" s="212"/>
      <c r="AF23" s="177"/>
      <c r="AG23" s="213"/>
      <c r="AH23" s="205"/>
      <c r="AI23" s="205"/>
      <c r="AJ23" s="205"/>
      <c r="AK23" s="205"/>
      <c r="AL23" s="205"/>
      <c r="AM23" s="205"/>
      <c r="AN23" s="205"/>
    </row>
    <row r="24">
      <c r="A24" s="207"/>
      <c r="B24" s="208">
        <v>11</v>
      </c>
      <c r="C24" s="167" t="s">
        <v>53</v>
      </c>
      <c r="D24" s="167">
        <v>29</v>
      </c>
      <c r="E24" s="167" t="s">
        <v>317</v>
      </c>
      <c r="F24" s="209">
        <v>0.583333333333333</v>
      </c>
      <c r="G24" s="167" t="s">
        <v>305</v>
      </c>
      <c r="H24" s="167" t="s">
        <v>297</v>
      </c>
      <c r="I24" s="194"/>
      <c r="J24" s="194"/>
      <c r="K24" s="195"/>
      <c r="L24" s="195"/>
      <c r="M24" s="195"/>
      <c r="N24" s="195"/>
      <c r="O24" s="195"/>
      <c r="P24" s="195"/>
      <c r="Q24" s="171"/>
      <c r="R24" s="188"/>
      <c r="S24" s="171">
        <f>COUNTIF('Status data'!$A23:$H23,"1")</f>
        <v>0</v>
      </c>
      <c r="T24" s="171">
        <f>COUNTIF('Status data'!$A23:$H23,"2")</f>
        <v>0</v>
      </c>
      <c r="U24" s="171">
        <f>COUNTIF('Status data'!$A23:$H23,"3")</f>
        <v>0</v>
      </c>
      <c r="V24" s="188"/>
      <c r="W24" s="188"/>
      <c r="X24" s="196"/>
      <c r="Y24" s="196"/>
      <c r="Z24" s="196"/>
      <c r="AA24" s="196"/>
      <c r="AB24" s="175"/>
      <c r="AC24" s="176"/>
      <c r="AD24" s="176"/>
      <c r="AE24" s="212"/>
      <c r="AF24" s="177" t="str">
        <f>HOUR(AD24-AC24)&amp;"h"&amp;minute(AD24-AC24)&amp;"m"</f>
        <v>0h0m</v>
      </c>
      <c r="AG24" s="213"/>
      <c r="AH24" s="205"/>
      <c r="AI24" s="205"/>
      <c r="AJ24" s="205"/>
      <c r="AK24" s="205">
        <f>AE24-AD24</f>
        <v>0</v>
      </c>
      <c r="AL24" s="205"/>
      <c r="AM24" s="205"/>
      <c r="AN24" s="205"/>
    </row>
    <row r="25">
      <c r="A25" s="207"/>
      <c r="B25" s="208">
        <v>12</v>
      </c>
      <c r="C25" s="167" t="s">
        <v>38</v>
      </c>
      <c r="D25" s="167">
        <v>4</v>
      </c>
      <c r="E25" s="167" t="s">
        <v>318</v>
      </c>
      <c r="F25" s="209">
        <v>0.583333333333333</v>
      </c>
      <c r="G25" s="167" t="s">
        <v>301</v>
      </c>
      <c r="H25" s="167" t="s">
        <v>293</v>
      </c>
      <c r="I25" s="194"/>
      <c r="J25" s="194"/>
      <c r="K25" s="195"/>
      <c r="L25" s="195"/>
      <c r="M25" s="195"/>
      <c r="N25" s="195"/>
      <c r="O25" s="195"/>
      <c r="P25" s="195"/>
      <c r="Q25" s="171"/>
      <c r="R25" s="188"/>
      <c r="S25" s="171">
        <f>COUNTIF('Status data'!$A24:$H24,"1")</f>
        <v>0</v>
      </c>
      <c r="T25" s="171">
        <f>COUNTIF('Status data'!$A24:$H24,"2")</f>
        <v>0</v>
      </c>
      <c r="U25" s="171">
        <f>COUNTIF('Status data'!$A24:$H24,"3")</f>
        <v>0</v>
      </c>
      <c r="V25" s="188"/>
      <c r="W25" s="188"/>
      <c r="X25" s="196"/>
      <c r="Y25" s="196"/>
      <c r="Z25" s="196"/>
      <c r="AA25" s="196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</row>
    <row r="26">
      <c r="A26" s="189"/>
      <c r="B26" s="190">
        <v>12</v>
      </c>
      <c r="C26" s="192" t="s">
        <v>38</v>
      </c>
      <c r="D26" s="191">
        <v>4</v>
      </c>
      <c r="E26" s="191" t="s">
        <v>318</v>
      </c>
      <c r="F26" s="193">
        <v>0.791666666666667</v>
      </c>
      <c r="G26" s="191" t="s">
        <v>54</v>
      </c>
      <c r="H26" s="191" t="s">
        <v>77</v>
      </c>
      <c r="I26" s="194"/>
      <c r="J26" s="194"/>
      <c r="K26" s="195"/>
      <c r="L26" s="195"/>
      <c r="M26" s="195"/>
      <c r="N26" s="195"/>
      <c r="O26" s="195"/>
      <c r="P26" s="195"/>
      <c r="Q26" s="171"/>
      <c r="R26" s="188"/>
      <c r="S26" s="171">
        <f>COUNTIF('Status data'!$A25:$H25,"1")</f>
        <v>0</v>
      </c>
      <c r="T26" s="171">
        <f>COUNTIF('Status data'!$A25:$H25,"2")</f>
        <v>0</v>
      </c>
      <c r="U26" s="171">
        <f>COUNTIF('Status data'!$A25:$H25,"3")</f>
        <v>0</v>
      </c>
      <c r="V26" s="188"/>
      <c r="W26" s="188"/>
      <c r="X26" s="196"/>
      <c r="Y26" s="196"/>
      <c r="Z26" s="196"/>
      <c r="AA26" s="196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</row>
    <row r="27">
      <c r="A27" s="207"/>
      <c r="B27" s="208">
        <v>13</v>
      </c>
      <c r="C27" s="167" t="s">
        <v>38</v>
      </c>
      <c r="D27" s="167">
        <v>11</v>
      </c>
      <c r="E27" s="167" t="s">
        <v>318</v>
      </c>
      <c r="F27" s="209">
        <v>0.583333333333333</v>
      </c>
      <c r="G27" s="167" t="s">
        <v>297</v>
      </c>
      <c r="H27" s="167" t="s">
        <v>226</v>
      </c>
      <c r="I27" s="194"/>
      <c r="J27" s="194"/>
      <c r="K27" s="195"/>
      <c r="L27" s="195"/>
      <c r="M27" s="195"/>
      <c r="N27" s="195"/>
      <c r="O27" s="195"/>
      <c r="P27" s="195"/>
      <c r="Q27" s="171"/>
      <c r="R27" s="188"/>
      <c r="S27" s="171">
        <f>COUNTIF('Status data'!$A26:$H26,"1")</f>
        <v>0</v>
      </c>
      <c r="T27" s="171">
        <f>COUNTIF('Status data'!$A26:$H26,"2")</f>
        <v>0</v>
      </c>
      <c r="U27" s="171">
        <f>COUNTIF('Status data'!$A26:$H26,"3")</f>
        <v>0</v>
      </c>
      <c r="V27" s="188"/>
      <c r="W27" s="188"/>
      <c r="X27" s="196"/>
      <c r="Y27" s="196"/>
      <c r="Z27" s="196"/>
      <c r="AA27" s="196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</row>
    <row r="28">
      <c r="A28" s="189"/>
      <c r="B28" s="190">
        <v>13</v>
      </c>
      <c r="C28" s="192" t="s">
        <v>38</v>
      </c>
      <c r="D28" s="191">
        <v>11</v>
      </c>
      <c r="E28" s="191" t="s">
        <v>318</v>
      </c>
      <c r="F28" s="193">
        <v>0.791666666666667</v>
      </c>
      <c r="G28" s="191" t="s">
        <v>55</v>
      </c>
      <c r="H28" s="191" t="s">
        <v>69</v>
      </c>
      <c r="I28" s="194"/>
      <c r="J28" s="194"/>
      <c r="K28" s="195"/>
      <c r="L28" s="195"/>
      <c r="M28" s="195"/>
      <c r="N28" s="195"/>
      <c r="O28" s="195"/>
      <c r="P28" s="195"/>
      <c r="Q28" s="171"/>
      <c r="R28" s="188"/>
      <c r="S28" s="171">
        <f>COUNTIF('Status data'!$A27:$H27,"1")</f>
        <v>0</v>
      </c>
      <c r="T28" s="171">
        <f>COUNTIF('Status data'!$A27:$H27,"2")</f>
        <v>0</v>
      </c>
      <c r="U28" s="171">
        <f>COUNTIF('Status data'!$A27:$H27,"3")</f>
        <v>0</v>
      </c>
      <c r="V28" s="188"/>
      <c r="W28" s="188"/>
      <c r="X28" s="196"/>
      <c r="Y28" s="196"/>
      <c r="Z28" s="196"/>
      <c r="AA28" s="196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</row>
    <row r="29">
      <c r="A29" s="207"/>
      <c r="B29" s="208">
        <v>13</v>
      </c>
      <c r="C29" s="167" t="s">
        <v>53</v>
      </c>
      <c r="D29" s="167">
        <v>12</v>
      </c>
      <c r="E29" s="167" t="s">
        <v>318</v>
      </c>
      <c r="F29" s="209">
        <v>0.583333333333333</v>
      </c>
      <c r="G29" s="167" t="s">
        <v>305</v>
      </c>
      <c r="H29" s="167" t="s">
        <v>46</v>
      </c>
      <c r="I29" s="194"/>
      <c r="J29" s="194"/>
      <c r="K29" s="195"/>
      <c r="L29" s="195"/>
      <c r="M29" s="195"/>
      <c r="N29" s="195"/>
      <c r="O29" s="195"/>
      <c r="P29" s="195"/>
      <c r="Q29" s="171"/>
      <c r="R29" s="188"/>
      <c r="S29" s="171">
        <f>COUNTIF('Status data'!$A28:$H28,"1")</f>
        <v>0</v>
      </c>
      <c r="T29" s="171">
        <f>COUNTIF('Status data'!$A28:$H28,"2")</f>
        <v>0</v>
      </c>
      <c r="U29" s="171">
        <f>COUNTIF('Status data'!$A28:$H28,"3")</f>
        <v>0</v>
      </c>
      <c r="V29" s="188"/>
      <c r="W29" s="188"/>
      <c r="X29" s="196"/>
      <c r="Y29" s="196"/>
      <c r="Z29" s="196"/>
      <c r="AA29" s="196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</row>
    <row r="30">
      <c r="A30" s="217" t="s">
        <v>319</v>
      </c>
      <c r="B30" s="190">
        <v>14</v>
      </c>
      <c r="C30" s="191" t="s">
        <v>38</v>
      </c>
      <c r="D30" s="192">
        <v>18</v>
      </c>
      <c r="E30" s="191" t="s">
        <v>318</v>
      </c>
      <c r="F30" s="193"/>
      <c r="G30" s="217"/>
      <c r="H30" s="217"/>
      <c r="I30" s="218"/>
      <c r="J30" s="218"/>
      <c r="K30" s="218"/>
      <c r="L30" s="218"/>
      <c r="M30" s="218"/>
      <c r="N30" s="218"/>
      <c r="O30" s="218"/>
      <c r="P30" s="219"/>
      <c r="Q30" s="220"/>
      <c r="R30" s="172"/>
      <c r="S30" s="171">
        <f>COUNTIF('Status data'!$A29:$H29,"1")</f>
        <v>0</v>
      </c>
      <c r="T30" s="171">
        <f>COUNTIF('Status data'!$A29:$H29,"2")</f>
        <v>0</v>
      </c>
      <c r="U30" s="171">
        <f>COUNTIF('Status data'!$A29:$H29,"3")</f>
        <v>0</v>
      </c>
      <c r="V30" s="172"/>
      <c r="W30" s="172"/>
      <c r="X30" s="172"/>
      <c r="Y30" s="172"/>
      <c r="Z30" s="221"/>
      <c r="AA30" s="222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</row>
    <row r="31">
      <c r="A31" s="217" t="s">
        <v>320</v>
      </c>
      <c r="B31" s="190">
        <v>14</v>
      </c>
      <c r="C31" s="191" t="s">
        <v>53</v>
      </c>
      <c r="D31" s="192">
        <v>18</v>
      </c>
      <c r="E31" s="192" t="s">
        <v>318</v>
      </c>
      <c r="F31" s="193"/>
      <c r="G31" s="217"/>
      <c r="H31" s="217"/>
      <c r="I31" s="218"/>
      <c r="J31" s="218"/>
      <c r="K31" s="218"/>
      <c r="L31" s="218"/>
      <c r="M31" s="218"/>
      <c r="N31" s="218"/>
      <c r="O31" s="218"/>
      <c r="P31" s="223"/>
      <c r="Q31" s="220"/>
      <c r="R31" s="172"/>
      <c r="S31" s="171">
        <f>COUNTIF('Status data'!$A30:$H30,"1")</f>
        <v>0</v>
      </c>
      <c r="T31" s="171">
        <f>COUNTIF('Status data'!$A30:$H30,"2")</f>
        <v>0</v>
      </c>
      <c r="U31" s="171">
        <f>COUNTIF('Status data'!$A30:$H30,"3")</f>
        <v>0</v>
      </c>
      <c r="V31" s="172"/>
      <c r="W31" s="172"/>
      <c r="X31" s="172"/>
      <c r="Y31" s="172"/>
      <c r="Z31" s="221"/>
      <c r="AA31" s="222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</row>
    <row r="32">
      <c r="A32" s="11" t="s">
        <v>321</v>
      </c>
      <c r="B32" s="18">
        <v>15</v>
      </c>
      <c r="C32" s="81" t="s">
        <v>38</v>
      </c>
      <c r="D32" s="81">
        <v>2</v>
      </c>
      <c r="E32" s="81" t="s">
        <v>322</v>
      </c>
      <c r="F32" s="224"/>
      <c r="G32" s="18"/>
      <c r="H32" s="18"/>
      <c r="I32" s="225"/>
      <c r="J32" s="225"/>
      <c r="K32" s="225"/>
      <c r="L32" s="225"/>
      <c r="M32" s="225"/>
      <c r="N32" s="225"/>
      <c r="O32" s="225"/>
      <c r="P32" s="219"/>
      <c r="Q32" s="220"/>
      <c r="R32" s="172"/>
      <c r="S32" s="171">
        <f>COUNTIF('Status data'!$A31:$H31,"1")</f>
        <v>0</v>
      </c>
      <c r="T32" s="171">
        <f>COUNTIF('Status data'!$A31:$H31,"2")</f>
        <v>0</v>
      </c>
      <c r="U32" s="171">
        <f>COUNTIF('Status data'!$A31:$H31,"3")</f>
        <v>0</v>
      </c>
      <c r="V32" s="172"/>
      <c r="W32" s="172"/>
      <c r="X32" s="172"/>
      <c r="Y32" s="172"/>
      <c r="Z32" s="221"/>
      <c r="AA32" s="222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</row>
    <row r="33">
      <c r="A33" s="11" t="s">
        <v>97</v>
      </c>
      <c r="B33" s="18">
        <v>15</v>
      </c>
      <c r="C33" s="81" t="s">
        <v>38</v>
      </c>
      <c r="D33" s="81">
        <v>2</v>
      </c>
      <c r="E33" s="81" t="s">
        <v>322</v>
      </c>
      <c r="F33" s="224"/>
      <c r="G33" s="18"/>
      <c r="H33" s="18"/>
      <c r="I33" s="225"/>
      <c r="J33" s="225"/>
      <c r="K33" s="225"/>
      <c r="L33" s="225"/>
      <c r="M33" s="225"/>
      <c r="N33" s="225"/>
      <c r="O33" s="225"/>
      <c r="P33" s="219"/>
      <c r="Q33" s="220"/>
      <c r="R33" s="172"/>
      <c r="S33" s="171">
        <f>COUNTIF('Status data'!$A32:$H32,"1")</f>
        <v>0</v>
      </c>
      <c r="T33" s="171">
        <f>COUNTIF('Status data'!$A32:$H32,"2")</f>
        <v>0</v>
      </c>
      <c r="U33" s="171">
        <f>COUNTIF('Status data'!$A32:$H32,"3")</f>
        <v>0</v>
      </c>
      <c r="V33" s="172"/>
      <c r="W33" s="172"/>
      <c r="X33" s="172"/>
      <c r="Y33" s="172"/>
      <c r="Z33" s="221"/>
      <c r="AA33" s="222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</row>
    <row r="34">
      <c r="A34" s="226"/>
      <c r="B34" s="227">
        <v>4</v>
      </c>
      <c r="C34" s="228" t="s">
        <v>323</v>
      </c>
      <c r="D34" s="228" t="s">
        <v>324</v>
      </c>
      <c r="E34" s="228" t="s">
        <v>291</v>
      </c>
      <c r="F34" s="229">
        <v>0.583333333333333</v>
      </c>
      <c r="G34" s="228" t="s">
        <v>47</v>
      </c>
      <c r="H34" s="230" t="s">
        <v>314</v>
      </c>
      <c r="I34" s="231"/>
      <c r="J34" s="231"/>
      <c r="K34" s="232"/>
      <c r="L34" s="232"/>
      <c r="M34" s="232"/>
      <c r="N34" s="232"/>
      <c r="O34" s="232"/>
      <c r="P34" s="232"/>
      <c r="Q34" s="171"/>
      <c r="R34" s="131"/>
      <c r="S34" s="131"/>
      <c r="T34" s="131"/>
      <c r="U34" s="131"/>
      <c r="V34" s="131"/>
      <c r="W34" s="233"/>
      <c r="X34" s="234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</row>
    <row r="35">
      <c r="A35" s="159"/>
      <c r="B35" s="151"/>
      <c r="C35" s="131"/>
      <c r="G35" s="131"/>
      <c r="J35" s="151"/>
      <c r="K35" s="131"/>
      <c r="Q35" s="151"/>
      <c r="R35" s="131"/>
      <c r="S35" s="131"/>
      <c r="T35" s="131"/>
      <c r="U35" s="131"/>
      <c r="V35" s="131"/>
      <c r="W35" s="233"/>
      <c r="X35" s="234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</row>
    <row r="36">
      <c r="A36" s="159" t="s">
        <v>100</v>
      </c>
      <c r="B36" s="151"/>
      <c r="C36" s="131"/>
      <c r="G36" s="131"/>
      <c r="J36" s="151"/>
      <c r="K36" s="131"/>
      <c r="Q36" s="151"/>
      <c r="R36" s="131"/>
      <c r="S36" s="131"/>
      <c r="T36" s="131"/>
      <c r="U36" s="131"/>
      <c r="V36" s="131"/>
      <c r="W36" s="233"/>
      <c r="X36" s="234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</row>
    <row r="37">
      <c r="A37" s="151" t="s">
        <v>150</v>
      </c>
      <c r="B37" s="151" t="s">
        <v>50</v>
      </c>
      <c r="C37" s="131">
        <f>COUNTIF($I$2:$O$31,B37)</f>
        <v>3</v>
      </c>
      <c r="D37" s="151"/>
      <c r="E37" s="131"/>
      <c r="G37" s="151"/>
      <c r="J37" s="131"/>
      <c r="Q37" s="131"/>
      <c r="R37" s="131"/>
      <c r="S37" s="131"/>
      <c r="T37" s="131"/>
      <c r="U37" s="131"/>
      <c r="V37" s="131"/>
      <c r="W37" s="233"/>
      <c r="X37" s="234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</row>
    <row r="38">
      <c r="A38" s="151" t="s">
        <v>144</v>
      </c>
      <c r="B38" s="151" t="s">
        <v>145</v>
      </c>
      <c r="C38" s="131">
        <f>COUNTIF($I$2:$O$31,B38)</f>
        <v>0</v>
      </c>
      <c r="D38" s="151"/>
      <c r="E38" s="131"/>
      <c r="G38" s="151"/>
      <c r="J38" s="131"/>
      <c r="Q38" s="131" t="s">
        <f>DATA!I65</f>
      </c>
      <c r="R38" s="235"/>
      <c r="S38" s="235"/>
      <c r="T38" s="235"/>
      <c r="U38" s="235"/>
      <c r="V38" s="236"/>
      <c r="W38" s="237">
        <f>SUM(Y1:Y31)</f>
        <v>0</v>
      </c>
      <c r="X38" s="238">
        <v>2</v>
      </c>
      <c r="Y38" s="151" t="s">
        <v>112</v>
      </c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</row>
    <row r="39">
      <c r="A39" s="151" t="s">
        <v>183</v>
      </c>
      <c r="B39" s="151" t="s">
        <v>44</v>
      </c>
      <c r="C39" s="131">
        <f>COUNTIF($I$2:$O$31,B39)</f>
        <v>0</v>
      </c>
      <c r="D39" s="151"/>
      <c r="E39" s="131"/>
      <c r="G39" s="151"/>
      <c r="J39" s="131"/>
      <c r="Q39" s="131" t="s">
        <f>DATA!I66</f>
      </c>
      <c r="R39" s="131"/>
      <c r="S39" s="131"/>
      <c r="T39" s="131"/>
      <c r="U39" s="131"/>
      <c r="V39" s="151" t="s">
        <v>325</v>
      </c>
      <c r="W39" s="239" t="e">
        <f>AVERAGE(Y2:Y33)</f>
        <v>#DIV/0!</v>
      </c>
      <c r="X39" s="240">
        <v>1</v>
      </c>
      <c r="Y39" s="151" t="s">
        <v>326</v>
      </c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</row>
    <row r="40">
      <c r="A40" s="149" t="s">
        <v>184</v>
      </c>
      <c r="B40" s="149" t="s">
        <v>185</v>
      </c>
      <c r="C40" s="131">
        <f>COUNTIF($I$2:$O$31,B40)</f>
        <v>7</v>
      </c>
      <c r="D40" s="151"/>
      <c r="E40" s="131"/>
      <c r="Q40" s="131" t="s">
        <f>DATA!I67</f>
      </c>
      <c r="R40" s="131"/>
      <c r="S40" s="131"/>
      <c r="T40" s="131"/>
      <c r="U40" s="131"/>
      <c r="V40" s="151" t="s">
        <v>115</v>
      </c>
      <c r="W40" s="241" t="e">
        <f>MEDIAN(Y2:Y33)</f>
        <v>#NUM!</v>
      </c>
      <c r="X40" s="240" t="s">
        <v>116</v>
      </c>
      <c r="Y40" s="151" t="s">
        <v>117</v>
      </c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</row>
    <row r="41">
      <c r="A41" s="151" t="s">
        <v>146</v>
      </c>
      <c r="B41" s="151" t="s">
        <v>147</v>
      </c>
      <c r="C41" s="131">
        <f>COUNTIF($I$2:$O$31,B41)</f>
        <v>4</v>
      </c>
      <c r="D41" s="151"/>
      <c r="E41" s="131"/>
      <c r="G41" s="151"/>
      <c r="H41" s="131"/>
      <c r="I41" s="131"/>
      <c r="J41" s="131"/>
      <c r="Q41" s="131"/>
      <c r="R41" s="131"/>
      <c r="S41" s="131"/>
      <c r="T41" s="131"/>
      <c r="U41" s="131"/>
      <c r="V41" s="151" t="s">
        <v>327</v>
      </c>
      <c r="W41" s="131" t="e">
        <f>W39*40</f>
        <v>#DIV/0!</v>
      </c>
      <c r="X41" s="240" t="s">
        <v>328</v>
      </c>
      <c r="Y41" s="151" t="s">
        <v>329</v>
      </c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</row>
    <row r="42">
      <c r="A42" s="149" t="s">
        <v>142</v>
      </c>
      <c r="B42" s="151" t="s">
        <v>72</v>
      </c>
      <c r="C42" s="131">
        <f>COUNTIF($I$2:$O$31,B42)</f>
        <v>0</v>
      </c>
      <c r="G42" s="151"/>
      <c r="H42" s="131"/>
      <c r="I42" s="131"/>
      <c r="J42" s="131"/>
      <c r="K42" s="131"/>
      <c r="L42" s="131"/>
      <c r="Q42" s="131"/>
      <c r="R42" s="131"/>
      <c r="S42" s="131"/>
      <c r="T42" s="131"/>
      <c r="U42" s="131"/>
      <c r="V42" s="151" t="s">
        <v>120</v>
      </c>
      <c r="W42" s="241">
        <f>SUM(Y2:Y33)/23*40</f>
        <v>0</v>
      </c>
      <c r="X42" s="240" t="s">
        <v>121</v>
      </c>
      <c r="Y42" s="151" t="s">
        <v>122</v>
      </c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</row>
    <row r="43">
      <c r="A43" s="149" t="s">
        <v>113</v>
      </c>
      <c r="B43" s="149" t="s">
        <v>57</v>
      </c>
      <c r="C43" s="131">
        <f>COUNTIF($I$2:$O$31,B43)</f>
        <v>7</v>
      </c>
      <c r="G43" s="151"/>
      <c r="H43" s="131"/>
      <c r="I43" s="131"/>
      <c r="J43" s="131"/>
      <c r="K43" s="131"/>
      <c r="L43" s="131"/>
      <c r="Q43" s="131"/>
      <c r="R43" s="131"/>
      <c r="S43" s="131"/>
      <c r="T43" s="131"/>
      <c r="U43" s="131"/>
      <c r="V43" s="131"/>
      <c r="W43" s="131"/>
      <c r="X43" s="234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</row>
    <row r="44">
      <c r="A44" s="149" t="s">
        <v>111</v>
      </c>
      <c r="B44" s="149" t="s">
        <v>48</v>
      </c>
      <c r="C44" s="131">
        <f>COUNTIF($I$2:$O$31,B44)</f>
        <v>6</v>
      </c>
      <c r="G44" s="151"/>
      <c r="H44" s="131"/>
      <c r="I44" s="131"/>
      <c r="J44" s="131"/>
      <c r="K44" s="131"/>
      <c r="L44" s="131"/>
      <c r="Q44" s="131"/>
      <c r="R44" s="131"/>
      <c r="S44" s="131"/>
      <c r="T44" s="131"/>
      <c r="U44" s="131"/>
      <c r="V44" s="131"/>
      <c r="W44" s="131"/>
      <c r="X44" s="234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</row>
    <row r="45">
      <c r="A45" s="149" t="s">
        <v>330</v>
      </c>
      <c r="B45" s="149" t="s">
        <v>84</v>
      </c>
      <c r="C45" s="131">
        <f>COUNTIF($I$2:$O$31,B45)</f>
        <v>5</v>
      </c>
      <c r="D45" s="131"/>
      <c r="E45" s="149"/>
      <c r="F45" s="149"/>
      <c r="G45" s="131"/>
      <c r="H45" s="131"/>
      <c r="I45" s="149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234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</row>
    <row r="46">
      <c r="A46" s="242" t="s">
        <v>156</v>
      </c>
      <c r="B46" s="242" t="s">
        <v>157</v>
      </c>
      <c r="C46" s="131">
        <f>COUNTIF($I$2:$O$31,B46)</f>
        <v>0</v>
      </c>
      <c r="D46" s="131"/>
      <c r="E46" s="149"/>
      <c r="F46" s="149"/>
      <c r="G46" s="131"/>
      <c r="H46" s="131"/>
      <c r="I46" s="149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234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</row>
    <row r="47">
      <c r="A47" s="149" t="s">
        <v>128</v>
      </c>
      <c r="B47" s="149" t="s">
        <v>66</v>
      </c>
      <c r="C47" s="131">
        <f>COUNTIF($I$2:$O$31,B47)</f>
        <v>7</v>
      </c>
      <c r="D47" s="131"/>
      <c r="E47" s="149"/>
      <c r="F47" s="149"/>
      <c r="G47" s="131"/>
      <c r="H47" s="131"/>
      <c r="I47" s="149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234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</row>
    <row r="48">
      <c r="A48" s="151" t="s">
        <v>124</v>
      </c>
      <c r="B48" s="151" t="s">
        <v>62</v>
      </c>
      <c r="C48" s="131">
        <f>COUNTIF($I$2:$O$31,B48)</f>
        <v>3</v>
      </c>
      <c r="D48" s="131"/>
      <c r="E48" s="131"/>
      <c r="F48" s="131"/>
      <c r="G48" s="131"/>
      <c r="H48" s="131"/>
      <c r="I48" s="149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234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</row>
    <row r="49">
      <c r="A49" s="242" t="s">
        <v>177</v>
      </c>
      <c r="B49" s="242" t="s">
        <v>178</v>
      </c>
      <c r="C49" s="131">
        <f>COUNTIF($I$2:$O$31,B49)</f>
        <v>0</v>
      </c>
      <c r="D49" s="131"/>
      <c r="E49" s="131"/>
      <c r="F49" s="131"/>
      <c r="G49" s="131"/>
      <c r="H49" s="131"/>
      <c r="I49" s="149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234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</row>
    <row r="50">
      <c r="A50" s="242" t="s">
        <v>179</v>
      </c>
      <c r="B50" s="242" t="s">
        <v>180</v>
      </c>
      <c r="C50" s="131">
        <f>COUNTIF($I$2:$O$31,B50)</f>
        <v>0</v>
      </c>
      <c r="D50" s="131"/>
      <c r="E50" s="131"/>
      <c r="F50" s="131"/>
      <c r="G50" s="131"/>
      <c r="H50" s="131"/>
      <c r="I50" s="149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234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</row>
    <row r="51">
      <c r="A51" s="149" t="s">
        <v>141</v>
      </c>
      <c r="B51" s="149" t="s">
        <v>65</v>
      </c>
      <c r="C51" s="131">
        <f>COUNTIF($I$2:$O$31,B51)</f>
        <v>7</v>
      </c>
      <c r="D51" s="131"/>
      <c r="E51" s="149"/>
      <c r="F51" s="149"/>
      <c r="G51" s="131"/>
      <c r="H51" s="131"/>
      <c r="I51" s="149"/>
      <c r="J51" s="131"/>
      <c r="K51" s="131"/>
      <c r="L51" s="131"/>
      <c r="M51" s="131"/>
      <c r="N51" s="131"/>
      <c r="O51" s="131"/>
      <c r="P51" s="243"/>
      <c r="Q51" s="131"/>
      <c r="R51" s="131"/>
      <c r="S51" s="131"/>
      <c r="T51" s="131">
        <f>SUMIF(G$2:G$33,P51,Y$2:Y$33)</f>
        <v>0</v>
      </c>
      <c r="U51" s="131" t="e">
        <f>T51/Q51</f>
        <v>#DIV/0!</v>
      </c>
      <c r="V51" s="131"/>
      <c r="W51" s="131"/>
      <c r="X51" s="234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</row>
    <row r="52">
      <c r="A52" s="242" t="s">
        <v>181</v>
      </c>
      <c r="B52" s="242" t="s">
        <v>182</v>
      </c>
      <c r="C52" s="131">
        <f>COUNTIF($I$2:$O$31,B52)</f>
        <v>0</v>
      </c>
      <c r="D52" s="131"/>
      <c r="E52" s="149"/>
      <c r="F52" s="149"/>
      <c r="G52" s="131"/>
      <c r="H52" s="131"/>
      <c r="I52" s="149"/>
      <c r="J52" s="131"/>
      <c r="K52" s="131"/>
      <c r="L52" s="131"/>
      <c r="M52" s="131"/>
      <c r="N52" s="131"/>
      <c r="O52" s="131"/>
      <c r="P52" s="243"/>
      <c r="Q52" s="131"/>
      <c r="R52" s="131"/>
      <c r="S52" s="131"/>
      <c r="T52" s="131">
        <f>SUMIF(G$2:G$33,P52,Y$2:Y$33)</f>
        <v>0</v>
      </c>
      <c r="U52" s="131" t="e">
        <f>T52/Q52</f>
        <v>#DIV/0!</v>
      </c>
      <c r="V52" s="131"/>
      <c r="W52" s="131"/>
      <c r="X52" s="234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</row>
    <row r="53">
      <c r="A53" s="149" t="s">
        <v>136</v>
      </c>
      <c r="B53" s="149" t="s">
        <v>79</v>
      </c>
      <c r="C53" s="131">
        <f>COUNTIF($I$2:$O$31,B53)</f>
        <v>5</v>
      </c>
      <c r="D53" s="131"/>
      <c r="E53" s="149"/>
      <c r="F53" s="149"/>
      <c r="G53" s="131"/>
      <c r="H53" s="131"/>
      <c r="I53" s="149"/>
      <c r="J53" s="131"/>
      <c r="K53" s="131"/>
      <c r="L53" s="131"/>
      <c r="M53" s="131"/>
      <c r="N53" s="131"/>
      <c r="O53" s="131"/>
      <c r="P53" s="243"/>
      <c r="Q53" s="131"/>
      <c r="R53" s="131"/>
      <c r="S53" s="131"/>
      <c r="T53" s="131">
        <f>SUMIF(G$2:G$33,P53,Y$2:Y$33)</f>
        <v>0</v>
      </c>
      <c r="U53" s="131" t="e">
        <f>T53/Q53</f>
        <v>#DIV/0!</v>
      </c>
      <c r="V53" s="131"/>
      <c r="W53" s="131"/>
      <c r="X53" s="234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</row>
    <row r="54">
      <c r="A54" s="151" t="s">
        <v>171</v>
      </c>
      <c r="B54" s="151" t="s">
        <v>172</v>
      </c>
      <c r="C54" s="131">
        <f>COUNTIF($I$2:$O$31,B54)</f>
        <v>0</v>
      </c>
      <c r="D54" s="131"/>
      <c r="E54" s="131"/>
      <c r="F54" s="131"/>
      <c r="G54" s="131"/>
      <c r="H54" s="131"/>
      <c r="I54" s="149"/>
      <c r="J54" s="131"/>
      <c r="K54" s="131"/>
      <c r="L54" s="131"/>
      <c r="M54" s="131"/>
      <c r="N54" s="131"/>
      <c r="O54" s="131"/>
      <c r="P54" s="243"/>
      <c r="Q54" s="131"/>
      <c r="R54" s="131"/>
      <c r="S54" s="131"/>
      <c r="T54" s="131">
        <f>SUMIF(G$2:G$33,P54,Y$2:Y$33)</f>
        <v>0</v>
      </c>
      <c r="U54" s="131" t="e">
        <f>T54/Q54</f>
        <v>#DIV/0!</v>
      </c>
      <c r="V54" s="131"/>
      <c r="W54" s="131"/>
      <c r="X54" s="234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</row>
    <row r="55">
      <c r="A55" s="244" t="s">
        <v>173</v>
      </c>
      <c r="B55" s="242" t="s">
        <v>174</v>
      </c>
      <c r="C55" s="131">
        <f>COUNTIF($I$2:$O$31,B55)</f>
        <v>0</v>
      </c>
      <c r="D55" s="131"/>
      <c r="E55" s="149"/>
      <c r="F55" s="149"/>
      <c r="G55" s="131"/>
      <c r="H55" s="131"/>
      <c r="I55" s="149"/>
      <c r="J55" s="131"/>
      <c r="K55" s="131"/>
      <c r="L55" s="131"/>
      <c r="M55" s="131"/>
      <c r="N55" s="131"/>
      <c r="O55" s="131"/>
      <c r="P55" s="243"/>
      <c r="Q55" s="131"/>
      <c r="R55" s="131"/>
      <c r="S55" s="131"/>
      <c r="T55" s="131">
        <f>SUMIF(G$2:G$33,P55,Y$2:Y$33)</f>
        <v>0</v>
      </c>
      <c r="U55" s="131" t="e">
        <f>T55/Q55</f>
        <v>#DIV/0!</v>
      </c>
      <c r="V55" s="131"/>
      <c r="W55" s="131"/>
      <c r="X55" s="234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</row>
    <row r="56">
      <c r="A56" s="244" t="s">
        <v>175</v>
      </c>
      <c r="B56" s="244" t="s">
        <v>176</v>
      </c>
      <c r="C56" s="131">
        <f>COUNTIF($I$2:$O$31,B56)</f>
        <v>0</v>
      </c>
      <c r="D56" s="131"/>
      <c r="E56" s="131"/>
      <c r="F56" s="131"/>
      <c r="G56" s="131"/>
      <c r="H56" s="131"/>
      <c r="I56" s="149"/>
      <c r="J56" s="131"/>
      <c r="K56" s="131"/>
      <c r="L56" s="131"/>
      <c r="M56" s="131"/>
      <c r="N56" s="131"/>
      <c r="O56" s="131"/>
      <c r="P56" s="243"/>
      <c r="Q56" s="131"/>
      <c r="R56" s="131"/>
      <c r="S56" s="131"/>
      <c r="T56" s="131">
        <f>SUMIF(G$2:G$33,P56,Y$2:Y$33)</f>
        <v>0</v>
      </c>
      <c r="U56" s="131" t="e">
        <f>T56/Q56</f>
        <v>#DIV/0!</v>
      </c>
      <c r="V56" s="131"/>
      <c r="W56" s="131"/>
      <c r="X56" s="234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</row>
    <row r="57">
      <c r="A57" s="151" t="s">
        <v>194</v>
      </c>
      <c r="B57" s="151" t="s">
        <v>195</v>
      </c>
      <c r="C57" s="131">
        <f>COUNTIF($I$2:$O$31,B57)</f>
        <v>0</v>
      </c>
      <c r="D57" s="131"/>
      <c r="E57" s="131"/>
      <c r="F57" s="131"/>
      <c r="G57" s="131"/>
      <c r="H57" s="131"/>
      <c r="I57" s="149"/>
      <c r="J57" s="131"/>
      <c r="K57" s="131"/>
      <c r="L57" s="131"/>
      <c r="M57" s="131"/>
      <c r="N57" s="131"/>
      <c r="O57" s="131"/>
      <c r="P57" s="243"/>
      <c r="Q57" s="131"/>
      <c r="R57" s="131"/>
      <c r="S57" s="131"/>
      <c r="T57" s="131">
        <f>SUMIF(G$2:G$33,P57,Y$2:Y$33)</f>
        <v>0</v>
      </c>
      <c r="U57" s="131" t="e">
        <f>T57/Q57</f>
        <v>#DIV/0!</v>
      </c>
      <c r="V57" s="131"/>
      <c r="W57" s="131"/>
      <c r="X57" s="234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</row>
    <row r="58">
      <c r="A58" s="149" t="s">
        <v>129</v>
      </c>
      <c r="B58" s="149" t="s">
        <v>83</v>
      </c>
      <c r="C58" s="131">
        <f>COUNTIF($I$2:$O$31,B58)</f>
        <v>0</v>
      </c>
      <c r="D58" s="131"/>
      <c r="E58" s="131"/>
      <c r="F58" s="131"/>
      <c r="G58" s="131"/>
      <c r="H58" s="131"/>
      <c r="I58" s="149"/>
      <c r="J58" s="131"/>
      <c r="K58" s="131"/>
      <c r="L58" s="131"/>
      <c r="M58" s="131"/>
      <c r="N58" s="131"/>
      <c r="O58" s="131"/>
      <c r="P58" s="243"/>
      <c r="Q58" s="131"/>
      <c r="R58" s="131"/>
      <c r="S58" s="131"/>
      <c r="T58" s="131">
        <f>SUMIF(G$2:G$33,P58,Y$2:Y$33)</f>
        <v>0</v>
      </c>
      <c r="U58" s="131" t="e">
        <f>T58/Q58</f>
        <v>#DIV/0!</v>
      </c>
      <c r="V58" s="131"/>
      <c r="W58" s="131"/>
      <c r="X58" s="234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</row>
    <row r="59">
      <c r="A59" s="149" t="s">
        <v>110</v>
      </c>
      <c r="B59" s="149" t="s">
        <v>63</v>
      </c>
      <c r="C59" s="131">
        <f>COUNTIF($I$2:$O$31,B59)</f>
        <v>5</v>
      </c>
      <c r="D59" s="131"/>
      <c r="E59" s="149"/>
      <c r="F59" s="149"/>
      <c r="G59" s="131"/>
      <c r="H59" s="131"/>
      <c r="I59" s="149"/>
      <c r="J59" s="131"/>
      <c r="K59" s="131"/>
      <c r="L59" s="131"/>
      <c r="M59" s="131"/>
      <c r="N59" s="131"/>
      <c r="O59" s="131"/>
      <c r="P59" s="243"/>
      <c r="Q59" s="131"/>
      <c r="R59" s="131"/>
      <c r="S59" s="131"/>
      <c r="T59" s="131"/>
      <c r="U59" s="131"/>
      <c r="V59" s="131"/>
      <c r="W59" s="131"/>
      <c r="X59" s="234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</row>
    <row r="60">
      <c r="A60" s="242" t="s">
        <v>169</v>
      </c>
      <c r="B60" s="242" t="s">
        <v>170</v>
      </c>
      <c r="C60" s="131">
        <f>COUNTIF($I$2:$O$31,B60)</f>
        <v>0</v>
      </c>
      <c r="D60" s="131"/>
      <c r="E60" s="131"/>
      <c r="F60" s="131"/>
      <c r="G60" s="131"/>
      <c r="H60" s="131"/>
      <c r="I60" s="149"/>
      <c r="J60" s="131"/>
      <c r="K60" s="131"/>
      <c r="L60" s="131"/>
      <c r="M60" s="131"/>
      <c r="N60" s="131"/>
      <c r="O60" s="131"/>
      <c r="P60" s="213"/>
      <c r="Q60" s="131"/>
      <c r="R60" s="131"/>
      <c r="S60" s="131"/>
      <c r="T60" s="131"/>
      <c r="U60" s="131"/>
      <c r="V60" s="131"/>
      <c r="W60" s="131"/>
      <c r="X60" s="234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</row>
    <row r="61">
      <c r="A61" s="149" t="s">
        <v>139</v>
      </c>
      <c r="B61" s="151" t="s">
        <v>140</v>
      </c>
      <c r="C61" s="131">
        <f>COUNTIF($I$2:$O$31,B61)</f>
        <v>7</v>
      </c>
      <c r="D61" s="131"/>
      <c r="E61" s="149"/>
      <c r="F61" s="149"/>
      <c r="G61" s="131"/>
      <c r="H61" s="131"/>
      <c r="I61" s="149"/>
      <c r="J61" s="131"/>
      <c r="K61" s="131"/>
      <c r="L61" s="131"/>
      <c r="M61" s="131"/>
      <c r="N61" s="131"/>
      <c r="O61" s="131"/>
      <c r="P61" s="243"/>
      <c r="Q61" s="131"/>
      <c r="R61" s="131"/>
      <c r="S61" s="131"/>
      <c r="T61" s="131"/>
      <c r="U61" s="131"/>
      <c r="V61" s="131"/>
      <c r="W61" s="131"/>
      <c r="X61" s="234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</row>
    <row r="62">
      <c r="A62" s="149" t="s">
        <v>123</v>
      </c>
      <c r="B62" s="149" t="s">
        <v>42</v>
      </c>
      <c r="C62" s="131">
        <f>COUNTIF($I$2:$O$31,B62)</f>
        <v>5</v>
      </c>
      <c r="D62" s="131"/>
      <c r="E62" s="149"/>
      <c r="F62" s="149"/>
      <c r="G62" s="131"/>
      <c r="H62" s="131"/>
      <c r="I62" s="149"/>
      <c r="J62" s="131"/>
      <c r="K62" s="131"/>
      <c r="L62" s="131"/>
      <c r="M62" s="131"/>
      <c r="N62" s="131"/>
      <c r="O62" s="131"/>
      <c r="P62" s="243"/>
      <c r="Q62" s="131"/>
      <c r="R62" s="131"/>
      <c r="S62" s="131"/>
      <c r="T62" s="131"/>
      <c r="U62" s="131"/>
      <c r="V62" s="131"/>
      <c r="W62" s="131"/>
      <c r="X62" s="234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</row>
    <row r="63">
      <c r="A63" s="242" t="s">
        <v>167</v>
      </c>
      <c r="B63" s="242" t="s">
        <v>168</v>
      </c>
      <c r="C63" s="131">
        <f>COUNTIF($I$2:$O$31,B63)</f>
        <v>0</v>
      </c>
      <c r="D63" s="131"/>
      <c r="E63" s="149"/>
      <c r="F63" s="149"/>
      <c r="G63" s="131"/>
      <c r="H63" s="131"/>
      <c r="I63" s="149"/>
      <c r="J63" s="131"/>
      <c r="K63" s="131"/>
      <c r="L63" s="131"/>
      <c r="M63" s="131"/>
      <c r="N63" s="131"/>
      <c r="O63" s="131"/>
      <c r="P63" s="243"/>
      <c r="Q63" s="131"/>
      <c r="R63" s="131"/>
      <c r="S63" s="131"/>
      <c r="T63" s="131"/>
      <c r="U63" s="131"/>
      <c r="V63" s="131"/>
      <c r="W63" s="131"/>
      <c r="X63" s="234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</row>
    <row r="64">
      <c r="A64" s="149" t="s">
        <v>137</v>
      </c>
      <c r="B64" s="149" t="s">
        <v>138</v>
      </c>
      <c r="C64" s="131">
        <f>COUNTIF($I$2:$O$31,B64)</f>
        <v>5</v>
      </c>
      <c r="D64" s="131"/>
      <c r="E64" s="149"/>
      <c r="F64" s="149"/>
      <c r="G64" s="131"/>
      <c r="H64" s="131"/>
      <c r="I64" s="149"/>
      <c r="J64" s="131"/>
      <c r="K64" s="131"/>
      <c r="L64" s="131"/>
      <c r="M64" s="131"/>
      <c r="N64" s="131"/>
      <c r="O64" s="131"/>
      <c r="P64" s="243"/>
      <c r="Q64" s="131"/>
      <c r="R64" s="131"/>
      <c r="S64" s="131"/>
      <c r="T64" s="131"/>
      <c r="U64" s="131"/>
      <c r="V64" s="131"/>
      <c r="W64" s="131"/>
      <c r="X64" s="234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</row>
    <row r="65">
      <c r="A65" s="244" t="s">
        <v>165</v>
      </c>
      <c r="B65" s="244" t="s">
        <v>166</v>
      </c>
      <c r="C65" s="131">
        <f>COUNTIF($I$2:$O$31,B65)</f>
        <v>0</v>
      </c>
      <c r="D65" s="131"/>
      <c r="E65" s="131"/>
      <c r="F65" s="131"/>
      <c r="G65" s="131"/>
      <c r="H65" s="131"/>
      <c r="I65" s="149"/>
      <c r="J65" s="131"/>
      <c r="K65" s="131"/>
      <c r="L65" s="131"/>
      <c r="M65" s="131"/>
      <c r="N65" s="131"/>
      <c r="O65" s="131"/>
      <c r="P65" s="243"/>
      <c r="Q65" s="131"/>
      <c r="R65" s="131"/>
      <c r="S65" s="131"/>
      <c r="T65" s="131"/>
      <c r="U65" s="131"/>
      <c r="V65" s="131"/>
      <c r="W65" s="131"/>
      <c r="X65" s="234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</row>
    <row r="66">
      <c r="A66" s="149" t="s">
        <v>126</v>
      </c>
      <c r="B66" s="149" t="s">
        <v>127</v>
      </c>
      <c r="C66" s="131">
        <f>COUNTIF($I$2:$O$31,B66)</f>
        <v>0</v>
      </c>
      <c r="D66" s="131"/>
      <c r="E66" s="149"/>
      <c r="F66" s="149"/>
      <c r="G66" s="131"/>
      <c r="H66" s="131"/>
      <c r="I66" s="149"/>
      <c r="J66" s="131"/>
      <c r="K66" s="131"/>
      <c r="L66" s="131"/>
      <c r="M66" s="131"/>
      <c r="N66" s="131"/>
      <c r="O66" s="131"/>
      <c r="P66" s="243"/>
      <c r="Q66" s="131"/>
      <c r="R66" s="131"/>
      <c r="S66" s="131"/>
      <c r="T66" s="131"/>
      <c r="U66" s="131"/>
      <c r="V66" s="131"/>
      <c r="W66" s="131"/>
      <c r="X66" s="234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</row>
    <row r="67">
      <c r="A67" s="244" t="s">
        <v>160</v>
      </c>
      <c r="B67" s="242" t="s">
        <v>161</v>
      </c>
      <c r="C67" s="131">
        <f>COUNTIF($I$2:$O$31,B67)</f>
        <v>0</v>
      </c>
      <c r="D67" s="131"/>
      <c r="E67" s="149"/>
      <c r="F67" s="149"/>
      <c r="G67" s="131"/>
      <c r="H67" s="131"/>
      <c r="I67" s="149"/>
      <c r="J67" s="131"/>
      <c r="K67" s="131"/>
      <c r="L67" s="131"/>
      <c r="M67" s="131"/>
      <c r="N67" s="131"/>
      <c r="O67" s="131"/>
      <c r="P67" s="243"/>
      <c r="Q67" s="131"/>
      <c r="R67" s="131"/>
      <c r="S67" s="131"/>
      <c r="T67" s="131"/>
      <c r="U67" s="131"/>
      <c r="V67" s="131"/>
      <c r="W67" s="131"/>
      <c r="X67" s="234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</row>
    <row r="68">
      <c r="A68" s="242" t="s">
        <v>162</v>
      </c>
      <c r="B68" s="242" t="s">
        <v>163</v>
      </c>
      <c r="C68" s="131">
        <f>COUNTIF($I$2:$O$31,B68)</f>
        <v>0</v>
      </c>
      <c r="D68" s="131"/>
      <c r="E68" s="149"/>
      <c r="F68" s="149"/>
      <c r="G68" s="131"/>
      <c r="H68" s="131"/>
      <c r="I68" s="149"/>
      <c r="J68" s="131"/>
      <c r="K68" s="131"/>
      <c r="L68" s="131"/>
      <c r="M68" s="131"/>
      <c r="N68" s="131"/>
      <c r="O68" s="131"/>
      <c r="P68" s="213"/>
      <c r="Q68" s="131"/>
      <c r="R68" s="131"/>
      <c r="S68" s="131"/>
      <c r="T68" s="131"/>
      <c r="U68" s="131"/>
      <c r="V68" s="131"/>
      <c r="W68" s="131"/>
      <c r="X68" s="234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</row>
    <row r="69">
      <c r="A69" s="151" t="s">
        <v>188</v>
      </c>
      <c r="B69" s="151" t="s">
        <v>189</v>
      </c>
      <c r="C69" s="131">
        <f>COUNTIF($I$2:$O$31,B69)</f>
        <v>0</v>
      </c>
      <c r="D69" s="131"/>
      <c r="E69" s="131"/>
      <c r="F69" s="131"/>
      <c r="G69" s="131"/>
      <c r="H69" s="131"/>
      <c r="I69" s="149"/>
      <c r="J69" s="131"/>
      <c r="K69" s="131"/>
      <c r="L69" s="131"/>
      <c r="M69" s="131"/>
      <c r="N69" s="131"/>
      <c r="O69" s="131"/>
      <c r="P69" s="243"/>
      <c r="Q69" s="131"/>
      <c r="R69" s="131"/>
      <c r="S69" s="131"/>
      <c r="T69" s="131"/>
      <c r="U69" s="131"/>
      <c r="V69" s="131"/>
      <c r="W69" s="131"/>
      <c r="X69" s="234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</row>
    <row r="70">
      <c r="A70" s="242" t="s">
        <v>125</v>
      </c>
      <c r="B70" s="242" t="s">
        <v>88</v>
      </c>
      <c r="C70" s="131">
        <f>COUNTIF($I$2:$O$31,B70)</f>
        <v>7</v>
      </c>
      <c r="D70" s="131"/>
      <c r="E70" s="149"/>
      <c r="F70" s="149"/>
      <c r="G70" s="131"/>
      <c r="H70" s="131"/>
      <c r="I70" s="149"/>
      <c r="J70" s="131"/>
      <c r="K70" s="131"/>
      <c r="L70" s="131"/>
      <c r="M70" s="131"/>
      <c r="N70" s="131"/>
      <c r="O70" s="131"/>
      <c r="P70" s="243"/>
      <c r="Q70" s="131"/>
      <c r="R70" s="131"/>
      <c r="S70" s="131"/>
      <c r="T70" s="131"/>
      <c r="U70" s="131"/>
      <c r="V70" s="131"/>
      <c r="W70" s="131"/>
      <c r="X70" s="234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</row>
    <row r="71">
      <c r="A71" s="242" t="s">
        <v>158</v>
      </c>
      <c r="B71" s="242" t="s">
        <v>159</v>
      </c>
      <c r="C71" s="131">
        <f>COUNTIF($I$2:$O$31,B71)</f>
        <v>0</v>
      </c>
      <c r="D71" s="131"/>
      <c r="E71" s="149"/>
      <c r="F71" s="149"/>
      <c r="G71" s="131"/>
      <c r="H71" s="131"/>
      <c r="I71" s="149"/>
      <c r="J71" s="131"/>
      <c r="K71" s="131"/>
      <c r="L71" s="131"/>
      <c r="M71" s="131"/>
      <c r="N71" s="131"/>
      <c r="O71" s="131"/>
      <c r="P71" s="213"/>
      <c r="Q71" s="131"/>
      <c r="R71" s="131"/>
      <c r="S71" s="131"/>
      <c r="T71" s="131"/>
      <c r="U71" s="131"/>
      <c r="V71" s="131"/>
      <c r="W71" s="131"/>
      <c r="X71" s="234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</row>
    <row r="72">
      <c r="A72" s="149" t="s">
        <v>118</v>
      </c>
      <c r="B72" s="149" t="s">
        <v>49</v>
      </c>
      <c r="C72" s="131">
        <f>COUNTIF($I$2:$O$31,B72)</f>
        <v>5</v>
      </c>
      <c r="D72" s="131"/>
      <c r="E72" s="131"/>
      <c r="F72" s="131"/>
      <c r="G72" s="131"/>
      <c r="H72" s="131"/>
      <c r="I72" s="149"/>
      <c r="J72" s="131"/>
      <c r="K72" s="131"/>
      <c r="L72" s="131"/>
      <c r="M72" s="131"/>
      <c r="N72" s="131"/>
      <c r="O72" s="131"/>
      <c r="P72" s="243"/>
      <c r="Q72" s="131"/>
      <c r="R72" s="131"/>
      <c r="S72" s="131"/>
      <c r="T72" s="131"/>
      <c r="U72" s="131"/>
      <c r="V72" s="131"/>
      <c r="W72" s="131"/>
      <c r="X72" s="234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</row>
    <row r="73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243"/>
      <c r="Q73" s="131"/>
      <c r="R73" s="235"/>
      <c r="S73" s="235"/>
      <c r="T73" s="235"/>
      <c r="U73" s="235"/>
      <c r="V73" s="235"/>
      <c r="W73" s="235"/>
      <c r="X73" s="234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</row>
    <row r="74">
      <c r="A74" s="245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243"/>
      <c r="Q74" s="131" t="s">
        <f>DATA!I64</f>
      </c>
      <c r="R74" s="235"/>
      <c r="S74" s="235"/>
      <c r="T74" s="235"/>
      <c r="U74" s="235"/>
      <c r="V74" s="235"/>
      <c r="W74" s="235" t="e">
        <f>AVERAGE(W34:W72)</f>
        <v>#DIV/0!</v>
      </c>
      <c r="X74" s="240">
        <v>3</v>
      </c>
      <c r="Y74" s="151" t="s">
        <v>164</v>
      </c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</row>
    <row r="75">
      <c r="A75" s="131"/>
      <c r="B75" s="131"/>
      <c r="C75" s="131"/>
      <c r="D75" s="131"/>
      <c r="E75" s="131"/>
      <c r="F75" s="131"/>
      <c r="G75" s="131"/>
      <c r="H75" s="131"/>
      <c r="I75" s="149"/>
      <c r="J75" s="131"/>
      <c r="K75" s="131"/>
      <c r="L75" s="131"/>
      <c r="M75" s="131"/>
      <c r="N75" s="131"/>
      <c r="O75" s="131"/>
      <c r="P75" s="213"/>
      <c r="Q75" s="131"/>
      <c r="R75" s="131"/>
      <c r="S75" s="131"/>
      <c r="T75" s="131"/>
      <c r="U75" s="131"/>
      <c r="V75" s="131"/>
      <c r="W75" s="131"/>
      <c r="X75" s="234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</row>
    <row r="76">
      <c r="A76" s="131"/>
      <c r="B76" s="131"/>
      <c r="C76" s="131"/>
      <c r="D76" s="131"/>
      <c r="E76" s="131"/>
      <c r="F76" s="131"/>
      <c r="G76" s="131"/>
      <c r="H76" s="131"/>
      <c r="I76" s="149"/>
      <c r="J76" s="131"/>
      <c r="K76" s="131"/>
      <c r="L76" s="131"/>
      <c r="M76" s="131"/>
      <c r="N76" s="131"/>
      <c r="O76" s="131"/>
      <c r="P76" s="243"/>
      <c r="Q76" s="131"/>
      <c r="R76" s="131"/>
      <c r="S76" s="131"/>
      <c r="T76" s="131"/>
      <c r="U76" s="131"/>
      <c r="V76" s="131"/>
      <c r="W76" s="131"/>
      <c r="X76" s="234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</row>
    <row r="77">
      <c r="A77" s="131"/>
      <c r="B77" s="131"/>
      <c r="C77" s="131"/>
      <c r="D77" s="131"/>
      <c r="E77" s="131"/>
      <c r="F77" s="131"/>
      <c r="G77" s="131"/>
      <c r="H77" s="131"/>
      <c r="I77" s="149"/>
      <c r="J77" s="131"/>
      <c r="K77" s="131"/>
      <c r="L77" s="131"/>
      <c r="M77" s="131"/>
      <c r="N77" s="131"/>
      <c r="O77" s="131"/>
      <c r="P77" s="243"/>
      <c r="Q77" s="131"/>
      <c r="R77" s="131"/>
      <c r="S77" s="131"/>
      <c r="T77" s="131"/>
      <c r="U77" s="131"/>
      <c r="V77" s="131"/>
      <c r="W77" s="131"/>
      <c r="X77" s="234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</row>
    <row r="78">
      <c r="A78" s="131"/>
      <c r="B78" s="131"/>
      <c r="C78" s="131"/>
      <c r="D78" s="131"/>
      <c r="E78" s="131"/>
      <c r="F78" s="131"/>
      <c r="G78" s="131"/>
      <c r="H78" s="131"/>
      <c r="I78" s="149"/>
      <c r="J78" s="131"/>
      <c r="K78" s="131"/>
      <c r="L78" s="131"/>
      <c r="M78" s="131"/>
      <c r="N78" s="131"/>
      <c r="O78" s="131"/>
      <c r="P78" s="243"/>
      <c r="Q78" s="131"/>
      <c r="R78" s="131"/>
      <c r="S78" s="131"/>
      <c r="T78" s="131"/>
      <c r="U78" s="131"/>
      <c r="V78" s="131"/>
      <c r="W78" s="131"/>
      <c r="X78" s="234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</row>
    <row r="79">
      <c r="A79" s="131"/>
      <c r="B79" s="131"/>
      <c r="C79" s="131"/>
      <c r="D79" s="131"/>
      <c r="E79" s="131"/>
      <c r="F79" s="131"/>
      <c r="G79" s="131"/>
      <c r="H79" s="131"/>
      <c r="I79" s="149"/>
      <c r="J79" s="131"/>
      <c r="K79" s="131"/>
      <c r="L79" s="131"/>
      <c r="M79" s="131"/>
      <c r="N79" s="131"/>
      <c r="O79" s="131"/>
      <c r="P79" s="213"/>
      <c r="Q79" s="131"/>
      <c r="R79" s="131"/>
      <c r="S79" s="131"/>
      <c r="T79" s="131"/>
      <c r="U79" s="131"/>
      <c r="V79" s="131"/>
      <c r="W79" s="131"/>
      <c r="X79" s="234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</row>
    <row r="80">
      <c r="A80" s="131"/>
      <c r="B80" s="131"/>
      <c r="C80" s="131"/>
      <c r="D80" s="131"/>
      <c r="E80" s="131"/>
      <c r="F80" s="131"/>
      <c r="G80" s="131"/>
      <c r="H80" s="131"/>
      <c r="I80" s="149"/>
      <c r="J80" s="131"/>
      <c r="K80" s="131"/>
      <c r="L80" s="131"/>
      <c r="M80" s="131"/>
      <c r="N80" s="131"/>
      <c r="O80" s="131"/>
      <c r="P80" s="66"/>
      <c r="Q80" s="131"/>
      <c r="R80" s="131"/>
      <c r="S80" s="131"/>
      <c r="T80" s="131"/>
      <c r="U80" s="131"/>
      <c r="V80" s="131"/>
      <c r="W80" s="131"/>
      <c r="X80" s="234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</row>
    <row r="81">
      <c r="A81" s="131"/>
      <c r="B81" s="131"/>
      <c r="C81" s="131"/>
      <c r="D81" s="131"/>
      <c r="E81" s="131"/>
      <c r="F81" s="131"/>
      <c r="G81" s="131"/>
      <c r="H81" s="131"/>
      <c r="I81" s="149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234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</row>
    <row r="82">
      <c r="A82" s="131"/>
      <c r="B82" s="131"/>
      <c r="C82" s="131"/>
      <c r="D82" s="131"/>
      <c r="E82" s="131"/>
      <c r="F82" s="131"/>
      <c r="G82" s="131"/>
      <c r="H82" s="131"/>
      <c r="I82" s="149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234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</row>
    <row r="83">
      <c r="A83" s="131"/>
      <c r="B83" s="131"/>
      <c r="C83" s="131"/>
      <c r="D83" s="131"/>
      <c r="E83" s="131"/>
      <c r="F83" s="131"/>
      <c r="G83" s="131"/>
      <c r="H83" s="131"/>
      <c r="I83" s="149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234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</row>
    <row r="84">
      <c r="A84" s="131"/>
      <c r="B84" s="131"/>
      <c r="C84" s="131"/>
      <c r="D84" s="131"/>
      <c r="E84" s="131"/>
      <c r="F84" s="131"/>
      <c r="G84" s="131"/>
      <c r="H84" s="131"/>
      <c r="I84" s="149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234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</row>
    <row r="85">
      <c r="A85" s="131"/>
      <c r="B85" s="131"/>
      <c r="C85" s="131"/>
      <c r="D85" s="131"/>
      <c r="E85" s="131"/>
      <c r="F85" s="131"/>
      <c r="G85" s="131"/>
      <c r="H85" s="131"/>
      <c r="I85" s="149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234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</row>
    <row r="86">
      <c r="A86" s="131"/>
      <c r="B86" s="131"/>
      <c r="C86" s="131"/>
      <c r="D86" s="131"/>
      <c r="E86" s="131"/>
      <c r="F86" s="131"/>
      <c r="G86" s="131"/>
      <c r="H86" s="131"/>
      <c r="I86" s="149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234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</row>
    <row r="87">
      <c r="A87" s="131"/>
      <c r="B87" s="131"/>
      <c r="C87" s="131"/>
      <c r="D87" s="131"/>
      <c r="E87" s="131"/>
      <c r="F87" s="131"/>
      <c r="G87" s="131"/>
      <c r="H87" s="131"/>
      <c r="I87" s="149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234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</row>
    <row r="88">
      <c r="A88" s="131"/>
      <c r="B88" s="131"/>
      <c r="C88" s="131"/>
      <c r="D88" s="131"/>
      <c r="E88" s="131"/>
      <c r="F88" s="131"/>
      <c r="G88" s="131"/>
      <c r="H88" s="131"/>
      <c r="I88" s="149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234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</row>
    <row r="89">
      <c r="A89" s="131"/>
      <c r="B89" s="131"/>
      <c r="C89" s="131"/>
      <c r="D89" s="131"/>
      <c r="E89" s="131"/>
      <c r="F89" s="131"/>
      <c r="G89" s="131"/>
      <c r="H89" s="131"/>
      <c r="I89" s="149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234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</row>
    <row r="90">
      <c r="A90" s="131"/>
      <c r="B90" s="131"/>
      <c r="C90" s="131"/>
      <c r="D90" s="131"/>
      <c r="E90" s="131"/>
      <c r="F90" s="131"/>
      <c r="G90" s="131"/>
      <c r="H90" s="131"/>
      <c r="I90" s="149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234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</row>
    <row r="91">
      <c r="A91" s="131"/>
      <c r="B91" s="131"/>
      <c r="C91" s="131"/>
      <c r="D91" s="131"/>
      <c r="E91" s="131"/>
      <c r="F91" s="131"/>
      <c r="G91" s="131"/>
      <c r="H91" s="131"/>
      <c r="I91" s="149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234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</row>
    <row r="92">
      <c r="A92" s="131"/>
      <c r="B92" s="131"/>
      <c r="C92" s="131"/>
      <c r="D92" s="131"/>
      <c r="E92" s="131"/>
      <c r="F92" s="131"/>
      <c r="G92" s="131"/>
      <c r="H92" s="131"/>
      <c r="I92" s="149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234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</row>
    <row r="93">
      <c r="A93" s="131"/>
      <c r="B93" s="131"/>
      <c r="C93" s="131"/>
      <c r="D93" s="131"/>
      <c r="E93" s="131"/>
      <c r="F93" s="131"/>
      <c r="G93" s="131"/>
      <c r="H93" s="131"/>
      <c r="I93" s="149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234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</row>
    <row r="94">
      <c r="A94" s="131"/>
      <c r="B94" s="131"/>
      <c r="C94" s="131"/>
      <c r="D94" s="131"/>
      <c r="E94" s="131"/>
      <c r="F94" s="131"/>
      <c r="G94" s="131"/>
      <c r="H94" s="131"/>
      <c r="I94" s="149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234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</row>
    <row r="95">
      <c r="A95" s="131"/>
      <c r="B95" s="131"/>
      <c r="C95" s="131"/>
      <c r="D95" s="131"/>
      <c r="E95" s="131"/>
      <c r="F95" s="131"/>
      <c r="G95" s="131"/>
      <c r="H95" s="131"/>
      <c r="I95" s="149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234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</row>
    <row r="96">
      <c r="A96" s="131"/>
      <c r="B96" s="131"/>
      <c r="C96" s="131"/>
      <c r="D96" s="131"/>
      <c r="E96" s="131"/>
      <c r="F96" s="131"/>
      <c r="G96" s="131"/>
      <c r="H96" s="131"/>
      <c r="I96" s="149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234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</row>
    <row r="97">
      <c r="A97" s="131"/>
      <c r="B97" s="131"/>
      <c r="C97" s="131"/>
      <c r="D97" s="131"/>
      <c r="E97" s="131"/>
      <c r="F97" s="131"/>
      <c r="G97" s="131"/>
      <c r="H97" s="131"/>
      <c r="I97" s="149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234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</row>
    <row r="98">
      <c r="A98" s="131"/>
      <c r="B98" s="131"/>
      <c r="C98" s="131"/>
      <c r="D98" s="131"/>
      <c r="E98" s="131"/>
      <c r="F98" s="131"/>
      <c r="G98" s="131"/>
      <c r="H98" s="131"/>
      <c r="I98" s="149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234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</row>
  </sheetData>
  <autoFilter ref="$A$1:$AG$62"/>
  <conditionalFormatting sqref="I2:P34">
    <cfRule type="containsBlanks" dxfId="0" priority="1">
      <formula>LEN(TRIM(I2))=0</formula>
    </cfRule>
  </conditionalFormatting>
  <conditionalFormatting sqref="I2:P34">
    <cfRule type="notContainsText" dxfId="1" priority="2" operator="notContains" text="(">
      <formula>ISERROR(SEARCH(("("),(I2)))</formula>
    </cfRule>
  </conditionalFormatting>
  <conditionalFormatting sqref="I2:P34">
    <cfRule type="containsText" dxfId="2" priority="3" operator="containsText" text="(">
      <formula>NOT(ISERROR(SEARCH(("("),(I2))))</formula>
    </cfRule>
  </conditionalFormatting>
  <conditionalFormatting sqref="F2:F34">
    <cfRule type="notContainsText" dxfId="3" priority="4" operator="notContains" text="14.00">
      <formula>ISERROR(SEARCH(("14.00"),(F2)))</formula>
    </cfRule>
  </conditionalFormatting>
  <printOptions gridLines="1" horizontalCentered="1"/>
  <pageMargins bottom="0.75" footer="0.0" header="0.0" left="0.7" right="0.7" top="0.75"/>
  <pageSetup paperSize="9" scale="73" cellComments="atEnd" orientation="landscape" pageOrder="overThenDown"/>
  <drawing r:id="rId1"/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</sheetPr>
  <sheetViews>
    <sheetView workbookViewId="0">
      <selection pane="topLeft" activeCell="A1"/>
    </sheetView>
  </sheetViews>
  <sheetFormatPr baseColWidth="8" defaultColWidth="15.13" defaultRowHeight="15"/>
  <cols>
    <col min="3" max="3" width="9.88" customWidth="1"/>
    <col min="4" max="4" width="29.13" customWidth="1"/>
    <col min="5" max="5" width="16.63" customWidth="1"/>
    <col min="6" max="6" width="28.38" hidden="1" customWidth="1"/>
  </cols>
  <sheetData>
    <row r="1">
      <c r="A1" s="128" t="s">
        <v>99</v>
      </c>
      <c r="B1" s="128" t="s">
        <v>100</v>
      </c>
      <c r="C1" s="128" t="s">
        <v>331</v>
      </c>
      <c r="D1" s="135" t="s">
        <v>332</v>
      </c>
      <c r="E1" s="156" t="s">
        <v>333</v>
      </c>
      <c r="F1" s="156" t="s">
        <v>334</v>
      </c>
      <c r="G1" s="246"/>
    </row>
    <row r="2">
      <c r="A2" s="128" t="s">
        <v>275</v>
      </c>
      <c r="B2" s="247" t="s">
        <v>274</v>
      </c>
      <c r="C2" s="128" t="s">
        <v>335</v>
      </c>
      <c r="D2" s="135" t="s">
        <v>336</v>
      </c>
      <c r="E2" s="156" t="s">
        <v>11</v>
      </c>
      <c r="F2" s="156">
        <v>3</v>
      </c>
      <c r="G2" s="248"/>
    </row>
    <row r="3">
      <c r="A3" s="128" t="s">
        <v>114</v>
      </c>
      <c r="B3" s="247" t="s">
        <v>43</v>
      </c>
      <c r="C3" s="128" t="s">
        <v>337</v>
      </c>
      <c r="D3" s="135" t="s">
        <v>338</v>
      </c>
      <c r="E3" s="156" t="s">
        <v>9</v>
      </c>
      <c r="F3" s="156">
        <v>3</v>
      </c>
      <c r="G3" s="248"/>
    </row>
    <row r="4">
      <c r="A4" s="247" t="s">
        <v>150</v>
      </c>
      <c r="B4" s="247" t="s">
        <v>50</v>
      </c>
      <c r="C4" s="128" t="s">
        <v>337</v>
      </c>
      <c r="D4" s="135" t="s">
        <v>339</v>
      </c>
      <c r="E4" s="156" t="s">
        <v>12</v>
      </c>
      <c r="F4" s="156">
        <v>2</v>
      </c>
      <c r="G4" s="248"/>
    </row>
    <row r="5">
      <c r="A5" s="128" t="s">
        <v>221</v>
      </c>
      <c r="B5" s="128" t="s">
        <v>145</v>
      </c>
      <c r="C5" s="128" t="s">
        <v>340</v>
      </c>
      <c r="D5" s="135" t="s">
        <v>341</v>
      </c>
      <c r="E5" s="156" t="s">
        <v>12</v>
      </c>
      <c r="F5" s="156">
        <v>3</v>
      </c>
      <c r="G5" s="248"/>
    </row>
    <row r="6">
      <c r="A6" s="247" t="s">
        <v>184</v>
      </c>
      <c r="B6" s="247" t="s">
        <v>185</v>
      </c>
      <c r="C6" s="128" t="s">
        <v>335</v>
      </c>
      <c r="D6" s="135" t="s">
        <v>342</v>
      </c>
      <c r="E6" s="156" t="s">
        <v>9</v>
      </c>
      <c r="F6" s="156">
        <v>1</v>
      </c>
      <c r="G6" s="248"/>
    </row>
    <row r="7">
      <c r="A7" s="247" t="s">
        <v>146</v>
      </c>
      <c r="B7" s="247" t="s">
        <v>147</v>
      </c>
      <c r="C7" s="128" t="s">
        <v>337</v>
      </c>
      <c r="D7" s="135" t="s">
        <v>343</v>
      </c>
      <c r="E7" s="156" t="s">
        <v>12</v>
      </c>
      <c r="F7" s="156">
        <v>2</v>
      </c>
      <c r="G7" s="248"/>
    </row>
    <row r="8">
      <c r="A8" s="247" t="s">
        <v>142</v>
      </c>
      <c r="B8" s="247" t="s">
        <v>72</v>
      </c>
      <c r="C8" s="128" t="s">
        <v>337</v>
      </c>
      <c r="D8" s="135" t="s">
        <v>344</v>
      </c>
      <c r="E8" s="156" t="s">
        <v>13</v>
      </c>
      <c r="F8" s="156">
        <v>2</v>
      </c>
      <c r="G8" s="248"/>
    </row>
    <row r="9">
      <c r="A9" s="247" t="s">
        <v>113</v>
      </c>
      <c r="B9" s="247" t="s">
        <v>57</v>
      </c>
      <c r="C9" s="128" t="s">
        <v>337</v>
      </c>
      <c r="D9" s="135" t="s">
        <v>345</v>
      </c>
      <c r="E9" s="156" t="s">
        <v>12</v>
      </c>
      <c r="F9" s="156">
        <v>1</v>
      </c>
      <c r="G9" s="248"/>
    </row>
    <row r="10">
      <c r="A10" s="247" t="s">
        <v>111</v>
      </c>
      <c r="B10" s="247" t="s">
        <v>48</v>
      </c>
      <c r="C10" s="128" t="s">
        <v>337</v>
      </c>
      <c r="D10" s="135" t="s">
        <v>345</v>
      </c>
      <c r="E10" s="156" t="s">
        <v>8</v>
      </c>
      <c r="F10" s="156">
        <v>1</v>
      </c>
      <c r="G10" s="248"/>
    </row>
    <row r="11">
      <c r="A11" s="247" t="s">
        <v>330</v>
      </c>
      <c r="B11" s="247" t="s">
        <v>84</v>
      </c>
      <c r="C11" s="128" t="s">
        <v>337</v>
      </c>
      <c r="D11" s="135" t="s">
        <v>346</v>
      </c>
      <c r="E11" s="156" t="s">
        <v>13</v>
      </c>
      <c r="F11" s="156">
        <v>1</v>
      </c>
      <c r="G11" s="248"/>
    </row>
    <row r="12">
      <c r="A12" s="128" t="s">
        <v>128</v>
      </c>
      <c r="B12" s="247" t="s">
        <v>66</v>
      </c>
      <c r="C12" s="128" t="s">
        <v>340</v>
      </c>
      <c r="D12" s="135" t="s">
        <v>339</v>
      </c>
      <c r="E12" s="156" t="s">
        <v>11</v>
      </c>
      <c r="F12" s="156">
        <v>1</v>
      </c>
      <c r="G12" s="248"/>
    </row>
    <row r="13">
      <c r="A13" s="247" t="s">
        <v>124</v>
      </c>
      <c r="B13" s="247" t="s">
        <v>62</v>
      </c>
      <c r="C13" s="128" t="s">
        <v>337</v>
      </c>
      <c r="D13" s="135" t="s">
        <v>343</v>
      </c>
      <c r="E13" s="156" t="s">
        <v>11</v>
      </c>
      <c r="F13" s="156">
        <v>2</v>
      </c>
      <c r="G13" s="248"/>
    </row>
    <row r="14">
      <c r="A14" s="128" t="s">
        <v>347</v>
      </c>
      <c r="B14" s="247" t="s">
        <v>278</v>
      </c>
      <c r="C14" s="128" t="s">
        <v>335</v>
      </c>
      <c r="D14" s="135" t="s">
        <v>7</v>
      </c>
      <c r="E14" s="156" t="s">
        <v>9</v>
      </c>
      <c r="F14" s="156">
        <v>2</v>
      </c>
      <c r="G14" s="248"/>
    </row>
    <row r="15">
      <c r="A15" s="247" t="s">
        <v>141</v>
      </c>
      <c r="B15" s="247" t="s">
        <v>65</v>
      </c>
      <c r="C15" s="128" t="s">
        <v>337</v>
      </c>
      <c r="D15" s="135" t="s">
        <v>345</v>
      </c>
      <c r="E15" s="156" t="s">
        <v>13</v>
      </c>
      <c r="F15" s="156">
        <v>2</v>
      </c>
      <c r="G15" s="248"/>
    </row>
    <row r="16">
      <c r="A16" s="247" t="s">
        <v>136</v>
      </c>
      <c r="B16" s="247" t="s">
        <v>79</v>
      </c>
      <c r="C16" s="128" t="s">
        <v>337</v>
      </c>
      <c r="D16" s="135" t="s">
        <v>345</v>
      </c>
      <c r="E16" s="156" t="s">
        <v>13</v>
      </c>
      <c r="F16" s="156">
        <v>1</v>
      </c>
      <c r="G16" s="248"/>
    </row>
    <row r="17">
      <c r="A17" s="247" t="s">
        <v>171</v>
      </c>
      <c r="B17" s="247" t="s">
        <v>172</v>
      </c>
      <c r="C17" s="128" t="s">
        <v>335</v>
      </c>
      <c r="D17" s="135" t="s">
        <v>7</v>
      </c>
      <c r="E17" s="156" t="s">
        <v>10</v>
      </c>
      <c r="F17" s="156">
        <v>3</v>
      </c>
      <c r="G17" s="248"/>
    </row>
    <row r="18">
      <c r="A18" s="247" t="s">
        <v>194</v>
      </c>
      <c r="B18" s="247" t="s">
        <v>195</v>
      </c>
      <c r="C18" s="128" t="s">
        <v>337</v>
      </c>
      <c r="D18" s="135" t="s">
        <v>340</v>
      </c>
      <c r="E18" s="156" t="s">
        <v>12</v>
      </c>
      <c r="F18" s="156">
        <v>3</v>
      </c>
      <c r="G18" s="248"/>
    </row>
    <row r="19">
      <c r="A19" s="247" t="s">
        <v>129</v>
      </c>
      <c r="B19" s="247" t="s">
        <v>83</v>
      </c>
      <c r="C19" s="128" t="s">
        <v>337</v>
      </c>
      <c r="D19" s="135" t="s">
        <v>348</v>
      </c>
      <c r="E19" s="156" t="s">
        <v>11</v>
      </c>
      <c r="F19" s="156">
        <v>1</v>
      </c>
      <c r="G19" s="248"/>
    </row>
    <row r="20">
      <c r="A20" s="247" t="s">
        <v>110</v>
      </c>
      <c r="B20" s="247" t="s">
        <v>63</v>
      </c>
      <c r="C20" s="128" t="s">
        <v>337</v>
      </c>
      <c r="D20" s="135" t="s">
        <v>339</v>
      </c>
      <c r="E20" s="156" t="s">
        <v>8</v>
      </c>
      <c r="F20" s="156">
        <v>1</v>
      </c>
      <c r="G20" s="248"/>
    </row>
    <row r="21">
      <c r="A21" s="247" t="s">
        <v>139</v>
      </c>
      <c r="B21" s="247" t="s">
        <v>140</v>
      </c>
      <c r="C21" s="128" t="s">
        <v>337</v>
      </c>
      <c r="D21" s="135" t="s">
        <v>348</v>
      </c>
      <c r="E21" s="156" t="s">
        <v>14</v>
      </c>
      <c r="F21" s="156">
        <v>2</v>
      </c>
      <c r="G21" s="248"/>
    </row>
    <row r="22">
      <c r="A22" s="247" t="s">
        <v>123</v>
      </c>
      <c r="B22" s="247" t="s">
        <v>42</v>
      </c>
      <c r="C22" s="128" t="s">
        <v>337</v>
      </c>
      <c r="D22" s="135" t="s">
        <v>345</v>
      </c>
      <c r="E22" s="156" t="s">
        <v>11</v>
      </c>
      <c r="F22" s="156">
        <v>1</v>
      </c>
      <c r="G22" s="248"/>
    </row>
    <row r="23">
      <c r="A23" s="247" t="s">
        <v>137</v>
      </c>
      <c r="B23" s="247" t="s">
        <v>138</v>
      </c>
      <c r="C23" s="128" t="s">
        <v>337</v>
      </c>
      <c r="D23" s="135" t="s">
        <v>348</v>
      </c>
      <c r="E23" s="156" t="s">
        <v>14</v>
      </c>
      <c r="F23" s="156">
        <v>2</v>
      </c>
      <c r="G23" s="248"/>
    </row>
    <row r="24">
      <c r="A24" s="128" t="s">
        <v>186</v>
      </c>
      <c r="B24" s="128" t="s">
        <v>187</v>
      </c>
      <c r="C24" s="128" t="s">
        <v>335</v>
      </c>
      <c r="D24" s="135" t="s">
        <v>7</v>
      </c>
      <c r="E24" s="156" t="s">
        <v>12</v>
      </c>
      <c r="F24" s="156">
        <v>2</v>
      </c>
      <c r="G24" s="248"/>
    </row>
    <row r="25">
      <c r="A25" s="128" t="s">
        <v>349</v>
      </c>
      <c r="B25" s="247" t="s">
        <v>127</v>
      </c>
      <c r="C25" s="128" t="s">
        <v>337</v>
      </c>
      <c r="D25" s="135" t="s">
        <v>350</v>
      </c>
      <c r="E25" s="156" t="s">
        <v>10</v>
      </c>
      <c r="F25" s="156">
        <v>1</v>
      </c>
      <c r="G25" s="248"/>
    </row>
    <row r="26">
      <c r="A26" s="128" t="s">
        <v>192</v>
      </c>
      <c r="B26" s="247" t="s">
        <v>193</v>
      </c>
      <c r="C26" s="128" t="s">
        <v>337</v>
      </c>
      <c r="D26" s="135" t="e">
        <f>#N/A</f>
        <v>#N/A</v>
      </c>
      <c r="E26" s="156" t="s">
        <v>11</v>
      </c>
      <c r="F26" s="156">
        <v>3</v>
      </c>
      <c r="G26" s="248"/>
    </row>
    <row r="27">
      <c r="A27" s="247" t="s">
        <v>188</v>
      </c>
      <c r="B27" s="247" t="s">
        <v>189</v>
      </c>
      <c r="C27" s="128" t="s">
        <v>337</v>
      </c>
      <c r="D27" s="135" t="s">
        <v>351</v>
      </c>
      <c r="E27" s="156" t="s">
        <v>13</v>
      </c>
      <c r="F27" s="156">
        <v>3</v>
      </c>
      <c r="G27" s="248"/>
    </row>
    <row r="28">
      <c r="A28" s="128" t="s">
        <v>125</v>
      </c>
      <c r="B28" s="247" t="s">
        <v>88</v>
      </c>
      <c r="C28" s="128" t="s">
        <v>337</v>
      </c>
      <c r="D28" s="135" t="e">
        <f>#N/A</f>
        <v>#N/A</v>
      </c>
      <c r="E28" s="156" t="s">
        <v>10</v>
      </c>
      <c r="F28" s="156">
        <v>1</v>
      </c>
      <c r="G28" s="248"/>
    </row>
    <row r="29">
      <c r="A29" s="128" t="s">
        <v>158</v>
      </c>
      <c r="B29" s="247" t="s">
        <v>159</v>
      </c>
      <c r="C29" s="128" t="s">
        <v>335</v>
      </c>
      <c r="D29" s="135" t="s">
        <v>7</v>
      </c>
      <c r="E29" s="156" t="s">
        <v>9</v>
      </c>
      <c r="F29" s="246"/>
      <c r="G29" s="248"/>
    </row>
    <row r="30">
      <c r="A30" s="247" t="s">
        <v>118</v>
      </c>
      <c r="B30" s="247" t="s">
        <v>49</v>
      </c>
      <c r="C30" s="128" t="s">
        <v>337</v>
      </c>
      <c r="D30" s="135" t="s">
        <v>345</v>
      </c>
      <c r="E30" s="156" t="s">
        <v>9</v>
      </c>
      <c r="F30" s="156">
        <v>2</v>
      </c>
      <c r="G30" s="248"/>
    </row>
    <row r="31">
      <c r="A31" s="128" t="s">
        <v>352</v>
      </c>
      <c r="B31" s="128" t="s">
        <v>353</v>
      </c>
      <c r="C31" s="128"/>
      <c r="D31" s="128" t="s">
        <v>354</v>
      </c>
      <c r="E31" s="246"/>
      <c r="F31" s="249">
        <v>3</v>
      </c>
    </row>
    <row r="32">
      <c r="D32" s="144"/>
      <c r="E32" s="246"/>
      <c r="F32" s="248"/>
    </row>
    <row r="33">
      <c r="D33" s="144"/>
      <c r="E33" s="246"/>
      <c r="F33" s="248"/>
    </row>
    <row r="34">
      <c r="D34" s="144"/>
      <c r="E34" s="246"/>
      <c r="F34" s="248"/>
    </row>
    <row r="35">
      <c r="D35" s="144"/>
      <c r="E35" s="246"/>
      <c r="F35" s="248"/>
    </row>
    <row r="36">
      <c r="D36" s="144"/>
      <c r="E36" s="246"/>
      <c r="F36" s="248"/>
    </row>
    <row r="37">
      <c r="D37" s="144"/>
      <c r="E37" s="246"/>
      <c r="F37" s="248"/>
    </row>
    <row r="38">
      <c r="D38" s="144"/>
      <c r="E38" s="246"/>
      <c r="F38" s="248"/>
    </row>
    <row r="39">
      <c r="D39" s="144"/>
      <c r="E39" s="246"/>
      <c r="F39" s="248"/>
    </row>
    <row r="40">
      <c r="D40" s="144"/>
      <c r="E40" s="246"/>
      <c r="F40" s="248"/>
    </row>
    <row r="41">
      <c r="D41" s="144"/>
      <c r="E41" s="246"/>
      <c r="F41" s="248"/>
    </row>
    <row r="42">
      <c r="D42" s="144"/>
      <c r="E42" s="246"/>
      <c r="F42" s="248"/>
    </row>
    <row r="43">
      <c r="D43" s="144"/>
      <c r="E43" s="246"/>
      <c r="F43" s="248"/>
    </row>
    <row r="44">
      <c r="D44" s="144"/>
      <c r="E44" s="246"/>
      <c r="F44" s="248"/>
    </row>
    <row r="45">
      <c r="D45" s="144"/>
      <c r="E45" s="246"/>
      <c r="F45" s="248"/>
    </row>
    <row r="46">
      <c r="D46" s="144"/>
      <c r="E46" s="246"/>
      <c r="F46" s="248"/>
    </row>
    <row r="47">
      <c r="D47" s="144"/>
      <c r="E47" s="246"/>
      <c r="F47" s="248"/>
    </row>
    <row r="48">
      <c r="D48" s="144"/>
      <c r="E48" s="246"/>
      <c r="F48" s="248"/>
    </row>
    <row r="49">
      <c r="D49" s="144"/>
      <c r="E49" s="246"/>
      <c r="F49" s="248"/>
    </row>
    <row r="50">
      <c r="D50" s="144"/>
      <c r="E50" s="246"/>
      <c r="F50" s="248"/>
    </row>
    <row r="51">
      <c r="D51" s="144"/>
      <c r="E51" s="246"/>
      <c r="F51" s="248"/>
    </row>
    <row r="52">
      <c r="D52" s="144"/>
      <c r="E52" s="246"/>
      <c r="F52" s="248"/>
    </row>
    <row r="53">
      <c r="D53" s="144"/>
      <c r="E53" s="246"/>
      <c r="F53" s="248"/>
    </row>
    <row r="54">
      <c r="D54" s="144"/>
      <c r="E54" s="246"/>
      <c r="F54" s="248"/>
    </row>
    <row r="55">
      <c r="D55" s="144"/>
      <c r="E55" s="246"/>
      <c r="F55" s="248"/>
    </row>
    <row r="56">
      <c r="D56" s="144"/>
      <c r="E56" s="246"/>
      <c r="F56" s="248"/>
    </row>
    <row r="57">
      <c r="D57" s="144"/>
      <c r="E57" s="246"/>
      <c r="F57" s="248"/>
    </row>
    <row r="58">
      <c r="D58" s="144"/>
      <c r="E58" s="246"/>
      <c r="F58" s="248"/>
    </row>
    <row r="59">
      <c r="D59" s="144"/>
      <c r="E59" s="246"/>
      <c r="F59" s="248"/>
    </row>
    <row r="60">
      <c r="D60" s="144"/>
      <c r="E60" s="246"/>
      <c r="F60" s="248"/>
    </row>
    <row r="61">
      <c r="D61" s="144"/>
      <c r="E61" s="246"/>
      <c r="F61" s="246"/>
    </row>
    <row r="62">
      <c r="D62" s="144"/>
      <c r="E62" s="246"/>
      <c r="F62" s="246"/>
    </row>
    <row r="63">
      <c r="D63" s="144"/>
      <c r="E63" s="246"/>
      <c r="F63" s="246"/>
    </row>
    <row r="64">
      <c r="D64" s="144"/>
      <c r="E64" s="246"/>
      <c r="F64" s="246"/>
    </row>
    <row r="65">
      <c r="D65" s="144"/>
      <c r="E65" s="246"/>
      <c r="F65" s="246"/>
    </row>
    <row r="66">
      <c r="D66" s="144"/>
      <c r="E66" s="246"/>
      <c r="F66" s="246"/>
    </row>
    <row r="67">
      <c r="D67" s="144"/>
      <c r="E67" s="246"/>
      <c r="F67" s="246"/>
    </row>
    <row r="68">
      <c r="D68" s="144"/>
      <c r="E68" s="246"/>
      <c r="F68" s="246"/>
    </row>
    <row r="69">
      <c r="D69" s="144"/>
      <c r="E69" s="246"/>
      <c r="F69" s="246"/>
    </row>
    <row r="70">
      <c r="D70" s="144"/>
      <c r="E70" s="246"/>
      <c r="F70" s="246"/>
    </row>
    <row r="71">
      <c r="D71" s="144"/>
      <c r="E71" s="246"/>
      <c r="F71" s="246"/>
    </row>
    <row r="72">
      <c r="D72" s="144"/>
      <c r="E72" s="246"/>
      <c r="F72" s="246"/>
    </row>
    <row r="73">
      <c r="D73" s="144"/>
      <c r="E73" s="246"/>
      <c r="F73" s="246"/>
    </row>
    <row r="74">
      <c r="D74" s="144"/>
      <c r="E74" s="246"/>
      <c r="F74" s="246"/>
    </row>
    <row r="75">
      <c r="D75" s="144"/>
      <c r="E75" s="246"/>
      <c r="F75" s="246"/>
    </row>
    <row r="76">
      <c r="D76" s="144"/>
      <c r="E76" s="246"/>
      <c r="F76" s="246"/>
    </row>
    <row r="77">
      <c r="D77" s="144"/>
      <c r="E77" s="246"/>
      <c r="F77" s="246"/>
    </row>
    <row r="78">
      <c r="D78" s="144"/>
      <c r="E78" s="246"/>
      <c r="F78" s="246"/>
    </row>
    <row r="79">
      <c r="D79" s="144"/>
      <c r="E79" s="246"/>
      <c r="F79" s="246"/>
    </row>
    <row r="80">
      <c r="D80" s="144"/>
      <c r="E80" s="246"/>
      <c r="F80" s="246"/>
    </row>
    <row r="81">
      <c r="D81" s="144"/>
      <c r="E81" s="246"/>
      <c r="F81" s="246"/>
    </row>
    <row r="82">
      <c r="D82" s="144"/>
      <c r="E82" s="246"/>
      <c r="F82" s="246"/>
    </row>
    <row r="83">
      <c r="D83" s="144"/>
      <c r="E83" s="246"/>
      <c r="F83" s="246"/>
    </row>
    <row r="84">
      <c r="D84" s="144"/>
      <c r="E84" s="246"/>
      <c r="F84" s="246"/>
    </row>
    <row r="85">
      <c r="D85" s="144"/>
      <c r="E85" s="246"/>
      <c r="F85" s="246"/>
    </row>
    <row r="86">
      <c r="D86" s="144"/>
      <c r="E86" s="246"/>
      <c r="F86" s="246"/>
    </row>
    <row r="87">
      <c r="D87" s="144"/>
      <c r="E87" s="246"/>
      <c r="F87" s="246"/>
    </row>
    <row r="88">
      <c r="D88" s="144"/>
      <c r="E88" s="246"/>
      <c r="F88" s="246"/>
    </row>
    <row r="89">
      <c r="D89" s="144"/>
      <c r="E89" s="246"/>
      <c r="F89" s="246"/>
    </row>
    <row r="90">
      <c r="D90" s="144"/>
      <c r="E90" s="246"/>
      <c r="F90" s="246"/>
    </row>
    <row r="91">
      <c r="D91" s="144"/>
      <c r="E91" s="246"/>
      <c r="F91" s="246"/>
    </row>
    <row r="92">
      <c r="D92" s="144"/>
      <c r="E92" s="246"/>
      <c r="F92" s="246"/>
    </row>
    <row r="93">
      <c r="D93" s="144"/>
      <c r="E93" s="246"/>
      <c r="F93" s="246"/>
    </row>
    <row r="94">
      <c r="D94" s="144"/>
      <c r="E94" s="246"/>
      <c r="F94" s="246"/>
    </row>
    <row r="95">
      <c r="D95" s="144"/>
      <c r="E95" s="246"/>
      <c r="F95" s="246"/>
    </row>
    <row r="96">
      <c r="D96" s="144"/>
      <c r="E96" s="246"/>
      <c r="F96" s="246"/>
    </row>
    <row r="97">
      <c r="D97" s="144"/>
      <c r="E97" s="246"/>
      <c r="F97" s="246"/>
    </row>
    <row r="98">
      <c r="D98" s="144"/>
      <c r="E98" s="246"/>
      <c r="F98" s="246"/>
    </row>
    <row r="99">
      <c r="D99" s="144"/>
      <c r="E99" s="246"/>
      <c r="F99" s="246"/>
    </row>
    <row r="100">
      <c r="D100" s="144"/>
      <c r="E100" s="246"/>
      <c r="F100" s="246"/>
    </row>
    <row r="101">
      <c r="D101" s="144"/>
      <c r="E101" s="246"/>
      <c r="F101" s="246"/>
    </row>
    <row r="102">
      <c r="D102" s="144"/>
      <c r="E102" s="246"/>
      <c r="F102" s="246"/>
    </row>
    <row r="103">
      <c r="D103" s="144"/>
      <c r="E103" s="246"/>
      <c r="F103" s="246"/>
    </row>
    <row r="104">
      <c r="D104" s="144"/>
      <c r="E104" s="246"/>
      <c r="F104" s="246"/>
    </row>
    <row r="105">
      <c r="D105" s="144"/>
      <c r="E105" s="246"/>
      <c r="F105" s="246"/>
    </row>
    <row r="106">
      <c r="D106" s="144"/>
      <c r="E106" s="246"/>
      <c r="F106" s="246"/>
    </row>
    <row r="107">
      <c r="D107" s="144"/>
      <c r="E107" s="246"/>
      <c r="F107" s="246"/>
    </row>
    <row r="108">
      <c r="D108" s="144"/>
      <c r="E108" s="246"/>
      <c r="F108" s="246"/>
    </row>
    <row r="109">
      <c r="D109" s="144"/>
      <c r="E109" s="246"/>
      <c r="F109" s="246"/>
    </row>
    <row r="110">
      <c r="D110" s="144"/>
      <c r="E110" s="246"/>
      <c r="F110" s="246"/>
    </row>
    <row r="111">
      <c r="D111" s="144"/>
      <c r="E111" s="246"/>
      <c r="F111" s="246"/>
    </row>
    <row r="112">
      <c r="D112" s="144"/>
      <c r="E112" s="246"/>
      <c r="F112" s="246"/>
    </row>
    <row r="113">
      <c r="D113" s="144"/>
      <c r="E113" s="246"/>
      <c r="F113" s="246"/>
    </row>
    <row r="114">
      <c r="D114" s="144"/>
      <c r="E114" s="246"/>
      <c r="F114" s="246"/>
    </row>
    <row r="115">
      <c r="D115" s="144"/>
      <c r="E115" s="246"/>
      <c r="F115" s="246"/>
    </row>
    <row r="116">
      <c r="D116" s="144"/>
      <c r="E116" s="246"/>
      <c r="F116" s="246"/>
    </row>
    <row r="117">
      <c r="D117" s="144"/>
      <c r="E117" s="246"/>
      <c r="F117" s="246"/>
    </row>
    <row r="118">
      <c r="D118" s="144"/>
      <c r="E118" s="246"/>
      <c r="F118" s="246"/>
    </row>
    <row r="119">
      <c r="D119" s="144"/>
      <c r="E119" s="246"/>
      <c r="F119" s="246"/>
    </row>
    <row r="120">
      <c r="D120" s="144"/>
      <c r="E120" s="246"/>
      <c r="F120" s="246"/>
    </row>
    <row r="121">
      <c r="D121" s="144"/>
      <c r="E121" s="246"/>
      <c r="F121" s="246"/>
    </row>
    <row r="122">
      <c r="D122" s="144"/>
      <c r="E122" s="246"/>
      <c r="F122" s="246"/>
    </row>
    <row r="123">
      <c r="D123" s="144"/>
      <c r="E123" s="246"/>
      <c r="F123" s="246"/>
    </row>
    <row r="124">
      <c r="D124" s="144"/>
      <c r="E124" s="246"/>
      <c r="F124" s="246"/>
    </row>
    <row r="125">
      <c r="D125" s="144"/>
      <c r="E125" s="246"/>
      <c r="F125" s="246"/>
    </row>
    <row r="126">
      <c r="D126" s="144"/>
      <c r="E126" s="246"/>
      <c r="F126" s="246"/>
    </row>
    <row r="127">
      <c r="D127" s="144"/>
      <c r="E127" s="246"/>
      <c r="F127" s="246"/>
    </row>
    <row r="128">
      <c r="D128" s="144"/>
      <c r="E128" s="246"/>
      <c r="F128" s="246"/>
    </row>
    <row r="129">
      <c r="D129" s="144"/>
      <c r="E129" s="246"/>
      <c r="F129" s="246"/>
    </row>
    <row r="130">
      <c r="D130" s="144"/>
      <c r="E130" s="246"/>
      <c r="F130" s="246"/>
    </row>
    <row r="131">
      <c r="D131" s="144"/>
      <c r="E131" s="246"/>
      <c r="F131" s="246"/>
    </row>
    <row r="132">
      <c r="D132" s="144"/>
      <c r="E132" s="246"/>
      <c r="F132" s="246"/>
    </row>
    <row r="133">
      <c r="D133" s="144"/>
      <c r="E133" s="246"/>
      <c r="F133" s="246"/>
    </row>
    <row r="134">
      <c r="D134" s="144"/>
      <c r="E134" s="246"/>
      <c r="F134" s="246"/>
    </row>
    <row r="135">
      <c r="D135" s="144"/>
      <c r="E135" s="246"/>
      <c r="F135" s="246"/>
    </row>
    <row r="136">
      <c r="D136" s="144"/>
      <c r="E136" s="246"/>
      <c r="F136" s="246"/>
    </row>
    <row r="137">
      <c r="D137" s="144"/>
      <c r="E137" s="246"/>
      <c r="F137" s="246"/>
    </row>
    <row r="138">
      <c r="D138" s="144"/>
      <c r="E138" s="246"/>
      <c r="F138" s="246"/>
    </row>
    <row r="139">
      <c r="D139" s="144"/>
      <c r="E139" s="246"/>
      <c r="F139" s="246"/>
    </row>
    <row r="140">
      <c r="D140" s="144"/>
      <c r="E140" s="246"/>
      <c r="F140" s="246"/>
    </row>
    <row r="141">
      <c r="D141" s="144"/>
      <c r="E141" s="246"/>
      <c r="F141" s="246"/>
    </row>
    <row r="142">
      <c r="D142" s="144"/>
      <c r="E142" s="246"/>
      <c r="F142" s="246"/>
    </row>
    <row r="143">
      <c r="D143" s="144"/>
      <c r="E143" s="246"/>
      <c r="F143" s="246"/>
    </row>
    <row r="144">
      <c r="D144" s="144"/>
      <c r="E144" s="246"/>
      <c r="F144" s="246"/>
    </row>
    <row r="145">
      <c r="D145" s="144"/>
      <c r="E145" s="246"/>
      <c r="F145" s="246"/>
    </row>
    <row r="146">
      <c r="D146" s="144"/>
      <c r="E146" s="246"/>
      <c r="F146" s="246"/>
    </row>
    <row r="147">
      <c r="D147" s="144"/>
      <c r="E147" s="246"/>
      <c r="F147" s="246"/>
    </row>
    <row r="148">
      <c r="D148" s="144"/>
      <c r="E148" s="246"/>
      <c r="F148" s="246"/>
    </row>
    <row r="149">
      <c r="D149" s="144"/>
      <c r="E149" s="246"/>
      <c r="F149" s="246"/>
    </row>
    <row r="150">
      <c r="D150" s="144"/>
      <c r="E150" s="246"/>
      <c r="F150" s="246"/>
    </row>
    <row r="151">
      <c r="D151" s="144"/>
      <c r="E151" s="246"/>
      <c r="F151" s="246"/>
    </row>
    <row r="152">
      <c r="D152" s="144"/>
      <c r="E152" s="246"/>
      <c r="F152" s="246"/>
    </row>
    <row r="153">
      <c r="D153" s="144"/>
      <c r="E153" s="246"/>
      <c r="F153" s="246"/>
    </row>
    <row r="154">
      <c r="D154" s="144"/>
      <c r="E154" s="246"/>
      <c r="F154" s="246"/>
    </row>
    <row r="155">
      <c r="D155" s="144"/>
      <c r="E155" s="246"/>
      <c r="F155" s="246"/>
    </row>
    <row r="156">
      <c r="D156" s="144"/>
      <c r="E156" s="246"/>
      <c r="F156" s="246"/>
    </row>
    <row r="157">
      <c r="D157" s="144"/>
      <c r="E157" s="246"/>
      <c r="F157" s="246"/>
    </row>
    <row r="158">
      <c r="D158" s="144"/>
      <c r="E158" s="246"/>
      <c r="F158" s="246"/>
    </row>
    <row r="159">
      <c r="D159" s="144"/>
      <c r="E159" s="246"/>
      <c r="F159" s="246"/>
    </row>
    <row r="160">
      <c r="D160" s="144"/>
      <c r="E160" s="246"/>
      <c r="F160" s="246"/>
    </row>
    <row r="161">
      <c r="D161" s="144"/>
      <c r="E161" s="246"/>
      <c r="F161" s="246"/>
    </row>
    <row r="162">
      <c r="D162" s="144"/>
      <c r="E162" s="246"/>
      <c r="F162" s="246"/>
    </row>
    <row r="163">
      <c r="D163" s="144"/>
      <c r="E163" s="246"/>
      <c r="F163" s="246"/>
    </row>
    <row r="164">
      <c r="D164" s="144"/>
      <c r="E164" s="246"/>
      <c r="F164" s="246"/>
    </row>
    <row r="165">
      <c r="D165" s="144"/>
      <c r="E165" s="246"/>
      <c r="F165" s="246"/>
    </row>
    <row r="166">
      <c r="D166" s="144"/>
      <c r="E166" s="246"/>
      <c r="F166" s="246"/>
    </row>
    <row r="167">
      <c r="D167" s="144"/>
      <c r="E167" s="246"/>
      <c r="F167" s="246"/>
    </row>
    <row r="168">
      <c r="D168" s="144"/>
      <c r="E168" s="246"/>
      <c r="F168" s="246"/>
    </row>
    <row r="169">
      <c r="D169" s="144"/>
      <c r="E169" s="246"/>
      <c r="F169" s="246"/>
    </row>
    <row r="170">
      <c r="D170" s="144"/>
      <c r="E170" s="246"/>
      <c r="F170" s="246"/>
    </row>
    <row r="171">
      <c r="D171" s="144"/>
      <c r="E171" s="246"/>
      <c r="F171" s="246"/>
    </row>
    <row r="172">
      <c r="D172" s="144"/>
      <c r="E172" s="246"/>
      <c r="F172" s="246"/>
    </row>
    <row r="173">
      <c r="D173" s="144"/>
      <c r="E173" s="246"/>
      <c r="F173" s="246"/>
    </row>
    <row r="174">
      <c r="D174" s="144"/>
      <c r="E174" s="246"/>
      <c r="F174" s="246"/>
    </row>
    <row r="175">
      <c r="D175" s="144"/>
      <c r="E175" s="246"/>
      <c r="F175" s="246"/>
    </row>
    <row r="176">
      <c r="D176" s="144"/>
      <c r="E176" s="246"/>
      <c r="F176" s="246"/>
    </row>
    <row r="177">
      <c r="D177" s="144"/>
      <c r="E177" s="246"/>
      <c r="F177" s="246"/>
    </row>
    <row r="178">
      <c r="D178" s="144"/>
      <c r="E178" s="246"/>
      <c r="F178" s="246"/>
    </row>
    <row r="179">
      <c r="D179" s="144"/>
      <c r="E179" s="246"/>
      <c r="F179" s="246"/>
    </row>
    <row r="180">
      <c r="D180" s="144"/>
      <c r="E180" s="246"/>
      <c r="F180" s="246"/>
    </row>
    <row r="181">
      <c r="D181" s="144"/>
      <c r="E181" s="246"/>
      <c r="F181" s="246"/>
    </row>
    <row r="182">
      <c r="D182" s="144"/>
      <c r="E182" s="246"/>
      <c r="F182" s="246"/>
    </row>
    <row r="183">
      <c r="D183" s="144"/>
      <c r="E183" s="246"/>
      <c r="F183" s="246"/>
    </row>
    <row r="184">
      <c r="D184" s="144"/>
      <c r="E184" s="246"/>
      <c r="F184" s="246"/>
    </row>
    <row r="185">
      <c r="D185" s="144"/>
      <c r="E185" s="246"/>
      <c r="F185" s="246"/>
    </row>
    <row r="186">
      <c r="D186" s="144"/>
      <c r="E186" s="246"/>
      <c r="F186" s="246"/>
    </row>
    <row r="187">
      <c r="D187" s="144"/>
      <c r="E187" s="246"/>
      <c r="F187" s="246"/>
    </row>
    <row r="188">
      <c r="D188" s="144"/>
      <c r="E188" s="246"/>
      <c r="F188" s="246"/>
    </row>
    <row r="189">
      <c r="D189" s="144"/>
      <c r="E189" s="246"/>
      <c r="F189" s="246"/>
    </row>
    <row r="190">
      <c r="D190" s="144"/>
      <c r="E190" s="246"/>
      <c r="F190" s="246"/>
    </row>
    <row r="191">
      <c r="D191" s="144"/>
      <c r="E191" s="246"/>
      <c r="F191" s="246"/>
    </row>
    <row r="192">
      <c r="D192" s="144"/>
      <c r="E192" s="246"/>
      <c r="F192" s="246"/>
    </row>
    <row r="193">
      <c r="D193" s="144"/>
      <c r="E193" s="246"/>
      <c r="F193" s="246"/>
    </row>
    <row r="194">
      <c r="D194" s="144"/>
      <c r="E194" s="246"/>
      <c r="F194" s="246"/>
    </row>
    <row r="195">
      <c r="D195" s="144"/>
      <c r="E195" s="246"/>
      <c r="F195" s="246"/>
    </row>
    <row r="196">
      <c r="D196" s="144"/>
      <c r="E196" s="246"/>
      <c r="F196" s="246"/>
    </row>
    <row r="197">
      <c r="D197" s="144"/>
      <c r="E197" s="246"/>
      <c r="F197" s="246"/>
    </row>
    <row r="198">
      <c r="D198" s="144"/>
      <c r="E198" s="246"/>
      <c r="F198" s="246"/>
    </row>
    <row r="199">
      <c r="D199" s="144"/>
      <c r="E199" s="246"/>
      <c r="F199" s="246"/>
    </row>
    <row r="200">
      <c r="D200" s="144"/>
      <c r="E200" s="246"/>
      <c r="F200" s="246"/>
    </row>
    <row r="201">
      <c r="D201" s="144"/>
      <c r="E201" s="246"/>
      <c r="F201" s="246"/>
    </row>
    <row r="202">
      <c r="D202" s="144"/>
      <c r="E202" s="246"/>
      <c r="F202" s="246"/>
    </row>
    <row r="203">
      <c r="D203" s="144"/>
      <c r="E203" s="246"/>
      <c r="F203" s="246"/>
    </row>
    <row r="204">
      <c r="D204" s="144"/>
      <c r="E204" s="246"/>
      <c r="F204" s="246"/>
    </row>
    <row r="205">
      <c r="D205" s="144"/>
      <c r="E205" s="246"/>
      <c r="F205" s="246"/>
    </row>
    <row r="206">
      <c r="D206" s="144"/>
      <c r="E206" s="246"/>
      <c r="F206" s="246"/>
    </row>
    <row r="207">
      <c r="D207" s="144"/>
      <c r="E207" s="246"/>
      <c r="F207" s="246"/>
    </row>
    <row r="208">
      <c r="D208" s="144"/>
      <c r="E208" s="246"/>
      <c r="F208" s="246"/>
    </row>
    <row r="209">
      <c r="D209" s="144"/>
      <c r="E209" s="246"/>
      <c r="F209" s="246"/>
    </row>
    <row r="210">
      <c r="D210" s="144"/>
      <c r="E210" s="246"/>
      <c r="F210" s="246"/>
    </row>
    <row r="211">
      <c r="D211" s="144"/>
      <c r="E211" s="246"/>
      <c r="F211" s="246"/>
    </row>
    <row r="212">
      <c r="D212" s="144"/>
      <c r="E212" s="246"/>
      <c r="F212" s="246"/>
    </row>
    <row r="213">
      <c r="D213" s="144"/>
      <c r="E213" s="246"/>
      <c r="F213" s="246"/>
    </row>
    <row r="214">
      <c r="D214" s="144"/>
      <c r="E214" s="246"/>
      <c r="F214" s="246"/>
    </row>
    <row r="215">
      <c r="D215" s="144"/>
      <c r="E215" s="246"/>
      <c r="F215" s="246"/>
    </row>
    <row r="216">
      <c r="D216" s="144"/>
      <c r="E216" s="246"/>
      <c r="F216" s="246"/>
    </row>
    <row r="217">
      <c r="D217" s="144"/>
      <c r="E217" s="246"/>
      <c r="F217" s="246"/>
    </row>
    <row r="218">
      <c r="D218" s="144"/>
      <c r="E218" s="246"/>
      <c r="F218" s="246"/>
    </row>
    <row r="219">
      <c r="D219" s="144"/>
      <c r="E219" s="246"/>
      <c r="F219" s="246"/>
    </row>
    <row r="220">
      <c r="D220" s="144"/>
      <c r="E220" s="246"/>
      <c r="F220" s="246"/>
    </row>
    <row r="221">
      <c r="D221" s="144"/>
      <c r="E221" s="246"/>
      <c r="F221" s="246"/>
    </row>
    <row r="222">
      <c r="D222" s="144"/>
      <c r="E222" s="246"/>
      <c r="F222" s="246"/>
    </row>
    <row r="223">
      <c r="D223" s="144"/>
      <c r="E223" s="246"/>
      <c r="F223" s="246"/>
    </row>
    <row r="224">
      <c r="D224" s="144"/>
      <c r="E224" s="246"/>
      <c r="F224" s="246"/>
    </row>
    <row r="225">
      <c r="D225" s="144"/>
      <c r="E225" s="246"/>
      <c r="F225" s="246"/>
    </row>
    <row r="226">
      <c r="D226" s="144"/>
      <c r="E226" s="246"/>
      <c r="F226" s="246"/>
    </row>
    <row r="227">
      <c r="D227" s="144"/>
      <c r="E227" s="246"/>
      <c r="F227" s="246"/>
    </row>
    <row r="228">
      <c r="D228" s="144"/>
      <c r="E228" s="246"/>
      <c r="F228" s="246"/>
    </row>
    <row r="229">
      <c r="D229" s="144"/>
      <c r="E229" s="246"/>
      <c r="F229" s="246"/>
    </row>
    <row r="230">
      <c r="D230" s="144"/>
      <c r="E230" s="246"/>
      <c r="F230" s="246"/>
    </row>
    <row r="231">
      <c r="D231" s="144"/>
      <c r="E231" s="246"/>
      <c r="F231" s="246"/>
    </row>
    <row r="232">
      <c r="D232" s="144"/>
      <c r="E232" s="246"/>
      <c r="F232" s="246"/>
    </row>
    <row r="233">
      <c r="D233" s="144"/>
      <c r="E233" s="246"/>
      <c r="F233" s="246"/>
    </row>
    <row r="234">
      <c r="D234" s="144"/>
      <c r="E234" s="246"/>
      <c r="F234" s="246"/>
    </row>
    <row r="235">
      <c r="D235" s="144"/>
      <c r="E235" s="246"/>
      <c r="F235" s="246"/>
    </row>
    <row r="236">
      <c r="D236" s="144"/>
      <c r="E236" s="246"/>
      <c r="F236" s="246"/>
    </row>
    <row r="237">
      <c r="D237" s="144"/>
      <c r="E237" s="246"/>
      <c r="F237" s="246"/>
    </row>
    <row r="238">
      <c r="D238" s="144"/>
      <c r="E238" s="246"/>
      <c r="F238" s="246"/>
    </row>
    <row r="239">
      <c r="D239" s="144"/>
      <c r="E239" s="246"/>
      <c r="F239" s="246"/>
    </row>
    <row r="240">
      <c r="D240" s="144"/>
      <c r="E240" s="246"/>
      <c r="F240" s="246"/>
    </row>
    <row r="241">
      <c r="D241" s="144"/>
      <c r="E241" s="246"/>
      <c r="F241" s="246"/>
    </row>
    <row r="242">
      <c r="D242" s="144"/>
      <c r="E242" s="246"/>
      <c r="F242" s="246"/>
    </row>
    <row r="243">
      <c r="D243" s="144"/>
      <c r="E243" s="246"/>
      <c r="F243" s="246"/>
    </row>
    <row r="244">
      <c r="D244" s="144"/>
      <c r="E244" s="246"/>
      <c r="F244" s="246"/>
    </row>
    <row r="245">
      <c r="D245" s="144"/>
      <c r="E245" s="246"/>
      <c r="F245" s="246"/>
    </row>
    <row r="246">
      <c r="D246" s="144"/>
      <c r="E246" s="246"/>
      <c r="F246" s="246"/>
    </row>
    <row r="247">
      <c r="D247" s="144"/>
      <c r="E247" s="246"/>
      <c r="F247" s="246"/>
    </row>
    <row r="248">
      <c r="D248" s="144"/>
      <c r="E248" s="246"/>
      <c r="F248" s="246"/>
    </row>
    <row r="249">
      <c r="D249" s="144"/>
      <c r="E249" s="246"/>
      <c r="F249" s="246"/>
    </row>
    <row r="250">
      <c r="D250" s="144"/>
      <c r="E250" s="246"/>
      <c r="F250" s="246"/>
    </row>
    <row r="251">
      <c r="D251" s="144"/>
      <c r="E251" s="246"/>
      <c r="F251" s="246"/>
    </row>
    <row r="252">
      <c r="D252" s="144"/>
      <c r="E252" s="246"/>
      <c r="F252" s="246"/>
    </row>
    <row r="253">
      <c r="D253" s="144"/>
      <c r="E253" s="246"/>
      <c r="F253" s="246"/>
    </row>
    <row r="254">
      <c r="D254" s="144"/>
      <c r="E254" s="246"/>
      <c r="F254" s="246"/>
    </row>
    <row r="255">
      <c r="D255" s="144"/>
      <c r="E255" s="246"/>
      <c r="F255" s="246"/>
    </row>
    <row r="256">
      <c r="D256" s="144"/>
      <c r="E256" s="246"/>
      <c r="F256" s="246"/>
    </row>
    <row r="257">
      <c r="D257" s="144"/>
      <c r="E257" s="246"/>
      <c r="F257" s="246"/>
    </row>
    <row r="258">
      <c r="D258" s="144"/>
      <c r="E258" s="246"/>
      <c r="F258" s="246"/>
    </row>
    <row r="259">
      <c r="D259" s="144"/>
      <c r="E259" s="246"/>
      <c r="F259" s="246"/>
    </row>
    <row r="260">
      <c r="D260" s="144"/>
      <c r="E260" s="246"/>
      <c r="F260" s="246"/>
    </row>
    <row r="261">
      <c r="D261" s="144"/>
      <c r="E261" s="246"/>
      <c r="F261" s="246"/>
    </row>
    <row r="262">
      <c r="D262" s="144"/>
      <c r="E262" s="246"/>
      <c r="F262" s="246"/>
    </row>
    <row r="263">
      <c r="D263" s="144"/>
      <c r="E263" s="246"/>
      <c r="F263" s="246"/>
    </row>
    <row r="264">
      <c r="D264" s="144"/>
      <c r="E264" s="246"/>
      <c r="F264" s="246"/>
    </row>
    <row r="265">
      <c r="D265" s="144"/>
      <c r="E265" s="246"/>
      <c r="F265" s="246"/>
    </row>
    <row r="266">
      <c r="D266" s="144"/>
      <c r="E266" s="246"/>
      <c r="F266" s="246"/>
    </row>
    <row r="267">
      <c r="D267" s="144"/>
      <c r="E267" s="246"/>
      <c r="F267" s="246"/>
    </row>
    <row r="268">
      <c r="D268" s="144"/>
      <c r="E268" s="246"/>
      <c r="F268" s="246"/>
    </row>
    <row r="269">
      <c r="D269" s="144"/>
      <c r="E269" s="246"/>
      <c r="F269" s="246"/>
    </row>
    <row r="270">
      <c r="D270" s="144"/>
      <c r="E270" s="246"/>
      <c r="F270" s="246"/>
    </row>
    <row r="271">
      <c r="D271" s="144"/>
      <c r="E271" s="246"/>
      <c r="F271" s="246"/>
    </row>
    <row r="272">
      <c r="D272" s="144"/>
      <c r="E272" s="246"/>
      <c r="F272" s="246"/>
    </row>
    <row r="273">
      <c r="D273" s="144"/>
      <c r="E273" s="246"/>
      <c r="F273" s="246"/>
    </row>
    <row r="274">
      <c r="D274" s="144"/>
      <c r="E274" s="246"/>
      <c r="F274" s="246"/>
    </row>
    <row r="275">
      <c r="D275" s="144"/>
      <c r="E275" s="246"/>
      <c r="F275" s="246"/>
    </row>
    <row r="276">
      <c r="D276" s="144"/>
      <c r="E276" s="246"/>
      <c r="F276" s="246"/>
    </row>
    <row r="277">
      <c r="D277" s="144"/>
      <c r="E277" s="246"/>
      <c r="F277" s="246"/>
    </row>
    <row r="278">
      <c r="D278" s="144"/>
      <c r="E278" s="246"/>
      <c r="F278" s="246"/>
    </row>
    <row r="279">
      <c r="D279" s="144"/>
      <c r="E279" s="246"/>
      <c r="F279" s="246"/>
    </row>
    <row r="280">
      <c r="D280" s="144"/>
      <c r="E280" s="246"/>
      <c r="F280" s="246"/>
    </row>
    <row r="281">
      <c r="D281" s="144"/>
      <c r="E281" s="246"/>
      <c r="F281" s="246"/>
    </row>
    <row r="282">
      <c r="D282" s="144"/>
      <c r="E282" s="246"/>
      <c r="F282" s="246"/>
    </row>
    <row r="283">
      <c r="D283" s="144"/>
      <c r="E283" s="246"/>
      <c r="F283" s="246"/>
    </row>
    <row r="284">
      <c r="D284" s="144"/>
      <c r="E284" s="246"/>
      <c r="F284" s="246"/>
    </row>
    <row r="285">
      <c r="D285" s="144"/>
      <c r="E285" s="246"/>
      <c r="F285" s="246"/>
    </row>
    <row r="286">
      <c r="D286" s="144"/>
      <c r="E286" s="246"/>
      <c r="F286" s="246"/>
    </row>
    <row r="287">
      <c r="D287" s="144"/>
      <c r="E287" s="246"/>
      <c r="F287" s="246"/>
    </row>
    <row r="288">
      <c r="D288" s="144"/>
      <c r="E288" s="246"/>
      <c r="F288" s="246"/>
    </row>
    <row r="289">
      <c r="D289" s="144"/>
      <c r="E289" s="246"/>
      <c r="F289" s="246"/>
    </row>
    <row r="290">
      <c r="D290" s="144"/>
      <c r="E290" s="246"/>
      <c r="F290" s="246"/>
    </row>
    <row r="291">
      <c r="D291" s="144"/>
      <c r="E291" s="246"/>
      <c r="F291" s="246"/>
    </row>
    <row r="292">
      <c r="D292" s="144"/>
      <c r="E292" s="246"/>
      <c r="F292" s="246"/>
    </row>
    <row r="293">
      <c r="D293" s="144"/>
      <c r="E293" s="246"/>
      <c r="F293" s="246"/>
    </row>
    <row r="294">
      <c r="D294" s="144"/>
      <c r="E294" s="246"/>
      <c r="F294" s="246"/>
    </row>
    <row r="295">
      <c r="D295" s="144"/>
      <c r="E295" s="246"/>
      <c r="F295" s="246"/>
    </row>
    <row r="296">
      <c r="D296" s="144"/>
      <c r="E296" s="246"/>
      <c r="F296" s="246"/>
    </row>
    <row r="297">
      <c r="D297" s="144"/>
      <c r="E297" s="246"/>
      <c r="F297" s="246"/>
    </row>
    <row r="298">
      <c r="D298" s="144"/>
      <c r="E298" s="246"/>
      <c r="F298" s="246"/>
    </row>
    <row r="299">
      <c r="D299" s="144"/>
      <c r="E299" s="246"/>
      <c r="F299" s="246"/>
    </row>
    <row r="300">
      <c r="D300" s="144"/>
      <c r="E300" s="246"/>
      <c r="F300" s="246"/>
    </row>
    <row r="301">
      <c r="D301" s="144"/>
      <c r="E301" s="246"/>
      <c r="F301" s="246"/>
    </row>
    <row r="302">
      <c r="D302" s="144"/>
      <c r="E302" s="246"/>
      <c r="F302" s="246"/>
    </row>
    <row r="303">
      <c r="D303" s="144"/>
      <c r="E303" s="246"/>
      <c r="F303" s="246"/>
    </row>
    <row r="304">
      <c r="D304" s="144"/>
      <c r="E304" s="246"/>
      <c r="F304" s="246"/>
    </row>
    <row r="305">
      <c r="D305" s="144"/>
      <c r="E305" s="246"/>
      <c r="F305" s="246"/>
    </row>
    <row r="306">
      <c r="D306" s="144"/>
      <c r="E306" s="246"/>
      <c r="F306" s="246"/>
    </row>
    <row r="307">
      <c r="D307" s="144"/>
      <c r="E307" s="246"/>
      <c r="F307" s="246"/>
    </row>
    <row r="308">
      <c r="D308" s="144"/>
      <c r="E308" s="246"/>
      <c r="F308" s="246"/>
    </row>
    <row r="309">
      <c r="D309" s="144"/>
      <c r="E309" s="246"/>
      <c r="F309" s="246"/>
    </row>
    <row r="310">
      <c r="D310" s="144"/>
      <c r="E310" s="246"/>
      <c r="F310" s="246"/>
    </row>
    <row r="311">
      <c r="D311" s="144"/>
      <c r="E311" s="246"/>
      <c r="F311" s="246"/>
    </row>
    <row r="312">
      <c r="D312" s="144"/>
      <c r="E312" s="246"/>
      <c r="F312" s="246"/>
    </row>
    <row r="313">
      <c r="D313" s="144"/>
      <c r="E313" s="246"/>
      <c r="F313" s="246"/>
    </row>
    <row r="314">
      <c r="D314" s="144"/>
      <c r="E314" s="246"/>
      <c r="F314" s="246"/>
    </row>
    <row r="315">
      <c r="D315" s="144"/>
      <c r="E315" s="246"/>
      <c r="F315" s="246"/>
    </row>
    <row r="316">
      <c r="D316" s="144"/>
      <c r="E316" s="246"/>
      <c r="F316" s="246"/>
    </row>
    <row r="317">
      <c r="D317" s="144"/>
      <c r="E317" s="246"/>
      <c r="F317" s="246"/>
    </row>
    <row r="318">
      <c r="D318" s="144"/>
      <c r="E318" s="246"/>
      <c r="F318" s="246"/>
    </row>
    <row r="319">
      <c r="D319" s="144"/>
      <c r="E319" s="246"/>
      <c r="F319" s="246"/>
    </row>
    <row r="320">
      <c r="D320" s="144"/>
      <c r="E320" s="246"/>
      <c r="F320" s="246"/>
    </row>
    <row r="321">
      <c r="D321" s="144"/>
      <c r="E321" s="246"/>
      <c r="F321" s="246"/>
    </row>
    <row r="322">
      <c r="D322" s="144"/>
      <c r="E322" s="246"/>
      <c r="F322" s="246"/>
    </row>
    <row r="323">
      <c r="D323" s="144"/>
      <c r="E323" s="246"/>
      <c r="F323" s="246"/>
    </row>
    <row r="324">
      <c r="D324" s="144"/>
      <c r="E324" s="246"/>
      <c r="F324" s="246"/>
    </row>
    <row r="325">
      <c r="D325" s="144"/>
      <c r="E325" s="246"/>
      <c r="F325" s="246"/>
    </row>
    <row r="326">
      <c r="D326" s="144"/>
      <c r="E326" s="246"/>
      <c r="F326" s="246"/>
    </row>
    <row r="327">
      <c r="D327" s="144"/>
      <c r="E327" s="246"/>
      <c r="F327" s="246"/>
    </row>
    <row r="328">
      <c r="D328" s="144"/>
      <c r="E328" s="246"/>
      <c r="F328" s="246"/>
    </row>
    <row r="329">
      <c r="D329" s="144"/>
      <c r="E329" s="246"/>
      <c r="F329" s="246"/>
    </row>
    <row r="330">
      <c r="D330" s="144"/>
      <c r="E330" s="246"/>
      <c r="F330" s="246"/>
    </row>
    <row r="331">
      <c r="D331" s="144"/>
      <c r="E331" s="246"/>
      <c r="F331" s="246"/>
    </row>
    <row r="332">
      <c r="D332" s="144"/>
      <c r="E332" s="246"/>
      <c r="F332" s="246"/>
    </row>
    <row r="333">
      <c r="D333" s="144"/>
      <c r="E333" s="246"/>
      <c r="F333" s="246"/>
    </row>
    <row r="334">
      <c r="D334" s="144"/>
      <c r="E334" s="246"/>
      <c r="F334" s="246"/>
    </row>
    <row r="335">
      <c r="D335" s="144"/>
      <c r="E335" s="246"/>
      <c r="F335" s="246"/>
    </row>
    <row r="336">
      <c r="D336" s="144"/>
      <c r="E336" s="246"/>
      <c r="F336" s="246"/>
    </row>
    <row r="337">
      <c r="D337" s="144"/>
      <c r="E337" s="246"/>
      <c r="F337" s="246"/>
    </row>
    <row r="338">
      <c r="D338" s="144"/>
      <c r="E338" s="246"/>
      <c r="F338" s="246"/>
    </row>
    <row r="339">
      <c r="D339" s="144"/>
      <c r="E339" s="246"/>
      <c r="F339" s="246"/>
    </row>
    <row r="340">
      <c r="D340" s="144"/>
      <c r="E340" s="246"/>
      <c r="F340" s="246"/>
    </row>
    <row r="341">
      <c r="D341" s="144"/>
      <c r="E341" s="246"/>
      <c r="F341" s="246"/>
    </row>
    <row r="342">
      <c r="D342" s="144"/>
      <c r="E342" s="246"/>
      <c r="F342" s="246"/>
    </row>
    <row r="343">
      <c r="D343" s="144"/>
      <c r="E343" s="246"/>
      <c r="F343" s="246"/>
    </row>
    <row r="344">
      <c r="D344" s="144"/>
      <c r="E344" s="246"/>
      <c r="F344" s="246"/>
    </row>
    <row r="345">
      <c r="D345" s="144"/>
      <c r="E345" s="246"/>
      <c r="F345" s="246"/>
    </row>
    <row r="346">
      <c r="D346" s="144"/>
      <c r="E346" s="246"/>
      <c r="F346" s="246"/>
    </row>
    <row r="347">
      <c r="D347" s="144"/>
      <c r="E347" s="246"/>
      <c r="F347" s="246"/>
    </row>
    <row r="348">
      <c r="D348" s="144"/>
      <c r="E348" s="246"/>
      <c r="F348" s="246"/>
    </row>
    <row r="349">
      <c r="D349" s="144"/>
      <c r="E349" s="246"/>
      <c r="F349" s="246"/>
    </row>
    <row r="350">
      <c r="D350" s="144"/>
      <c r="E350" s="246"/>
      <c r="F350" s="246"/>
    </row>
    <row r="351">
      <c r="D351" s="144"/>
      <c r="E351" s="246"/>
      <c r="F351" s="246"/>
    </row>
    <row r="352">
      <c r="D352" s="144"/>
      <c r="E352" s="246"/>
      <c r="F352" s="246"/>
    </row>
    <row r="353">
      <c r="D353" s="144"/>
      <c r="E353" s="246"/>
      <c r="F353" s="246"/>
    </row>
    <row r="354">
      <c r="D354" s="144"/>
      <c r="E354" s="246"/>
      <c r="F354" s="246"/>
    </row>
    <row r="355">
      <c r="D355" s="144"/>
      <c r="E355" s="246"/>
      <c r="F355" s="246"/>
    </row>
    <row r="356">
      <c r="D356" s="144"/>
      <c r="E356" s="246"/>
      <c r="F356" s="246"/>
    </row>
    <row r="357">
      <c r="D357" s="144"/>
      <c r="E357" s="246"/>
      <c r="F357" s="246"/>
    </row>
    <row r="358">
      <c r="D358" s="144"/>
      <c r="E358" s="246"/>
      <c r="F358" s="246"/>
    </row>
    <row r="359">
      <c r="D359" s="144"/>
      <c r="E359" s="246"/>
      <c r="F359" s="246"/>
    </row>
    <row r="360">
      <c r="D360" s="144"/>
      <c r="E360" s="246"/>
      <c r="F360" s="246"/>
    </row>
    <row r="361">
      <c r="D361" s="144"/>
      <c r="E361" s="246"/>
      <c r="F361" s="246"/>
    </row>
    <row r="362">
      <c r="D362" s="144"/>
      <c r="E362" s="246"/>
      <c r="F362" s="246"/>
    </row>
    <row r="363">
      <c r="D363" s="144"/>
      <c r="E363" s="246"/>
      <c r="F363" s="246"/>
    </row>
    <row r="364">
      <c r="D364" s="144"/>
      <c r="E364" s="246"/>
      <c r="F364" s="246"/>
    </row>
    <row r="365">
      <c r="D365" s="144"/>
      <c r="E365" s="246"/>
      <c r="F365" s="246"/>
    </row>
    <row r="366">
      <c r="D366" s="144"/>
      <c r="E366" s="246"/>
      <c r="F366" s="246"/>
    </row>
    <row r="367">
      <c r="D367" s="144"/>
      <c r="E367" s="246"/>
      <c r="F367" s="246"/>
    </row>
    <row r="368">
      <c r="D368" s="144"/>
      <c r="E368" s="246"/>
      <c r="F368" s="246"/>
    </row>
    <row r="369">
      <c r="D369" s="144"/>
      <c r="E369" s="246"/>
      <c r="F369" s="246"/>
    </row>
    <row r="370">
      <c r="D370" s="144"/>
      <c r="E370" s="246"/>
      <c r="F370" s="246"/>
    </row>
    <row r="371">
      <c r="D371" s="144"/>
      <c r="E371" s="246"/>
      <c r="F371" s="246"/>
    </row>
    <row r="372">
      <c r="D372" s="144"/>
      <c r="E372" s="246"/>
      <c r="F372" s="246"/>
    </row>
    <row r="373">
      <c r="D373" s="144"/>
      <c r="E373" s="246"/>
      <c r="F373" s="246"/>
    </row>
    <row r="374">
      <c r="D374" s="144"/>
      <c r="E374" s="246"/>
      <c r="F374" s="246"/>
    </row>
    <row r="375">
      <c r="D375" s="144"/>
      <c r="E375" s="246"/>
      <c r="F375" s="246"/>
    </row>
    <row r="376">
      <c r="D376" s="144"/>
      <c r="E376" s="246"/>
      <c r="F376" s="246"/>
    </row>
    <row r="377">
      <c r="D377" s="144"/>
      <c r="E377" s="246"/>
      <c r="F377" s="246"/>
    </row>
    <row r="378">
      <c r="D378" s="144"/>
      <c r="E378" s="246"/>
      <c r="F378" s="246"/>
    </row>
    <row r="379">
      <c r="D379" s="144"/>
      <c r="E379" s="246"/>
      <c r="F379" s="246"/>
    </row>
    <row r="380">
      <c r="D380" s="144"/>
      <c r="E380" s="246"/>
      <c r="F380" s="246"/>
    </row>
    <row r="381">
      <c r="D381" s="144"/>
      <c r="E381" s="246"/>
      <c r="F381" s="246"/>
    </row>
    <row r="382">
      <c r="D382" s="144"/>
      <c r="E382" s="246"/>
      <c r="F382" s="246"/>
    </row>
    <row r="383">
      <c r="D383" s="144"/>
      <c r="E383" s="246"/>
      <c r="F383" s="246"/>
    </row>
    <row r="384">
      <c r="D384" s="144"/>
      <c r="E384" s="246"/>
      <c r="F384" s="246"/>
    </row>
    <row r="385">
      <c r="D385" s="144"/>
      <c r="E385" s="246"/>
      <c r="F385" s="246"/>
    </row>
    <row r="386">
      <c r="D386" s="144"/>
      <c r="E386" s="246"/>
      <c r="F386" s="246"/>
    </row>
    <row r="387">
      <c r="D387" s="144"/>
      <c r="E387" s="246"/>
      <c r="F387" s="246"/>
    </row>
    <row r="388">
      <c r="D388" s="144"/>
      <c r="E388" s="246"/>
      <c r="F388" s="246"/>
    </row>
    <row r="389">
      <c r="D389" s="144"/>
      <c r="E389" s="246"/>
      <c r="F389" s="246"/>
    </row>
    <row r="390">
      <c r="D390" s="144"/>
      <c r="E390" s="246"/>
      <c r="F390" s="246"/>
    </row>
    <row r="391">
      <c r="D391" s="144"/>
      <c r="E391" s="246"/>
      <c r="F391" s="246"/>
    </row>
    <row r="392">
      <c r="D392" s="144"/>
      <c r="E392" s="246"/>
      <c r="F392" s="246"/>
    </row>
    <row r="393">
      <c r="D393" s="144"/>
      <c r="E393" s="246"/>
      <c r="F393" s="246"/>
    </row>
    <row r="394">
      <c r="D394" s="144"/>
      <c r="E394" s="246"/>
      <c r="F394" s="246"/>
    </row>
    <row r="395">
      <c r="D395" s="144"/>
      <c r="E395" s="246"/>
      <c r="F395" s="246"/>
    </row>
    <row r="396">
      <c r="D396" s="144"/>
      <c r="E396" s="246"/>
      <c r="F396" s="246"/>
    </row>
    <row r="397">
      <c r="D397" s="144"/>
      <c r="E397" s="246"/>
      <c r="F397" s="246"/>
    </row>
    <row r="398">
      <c r="D398" s="144"/>
      <c r="E398" s="246"/>
      <c r="F398" s="246"/>
    </row>
    <row r="399">
      <c r="D399" s="144"/>
      <c r="E399" s="246"/>
      <c r="F399" s="246"/>
    </row>
    <row r="400">
      <c r="D400" s="144"/>
      <c r="E400" s="246"/>
      <c r="F400" s="246"/>
    </row>
    <row r="401">
      <c r="D401" s="144"/>
      <c r="E401" s="246"/>
      <c r="F401" s="246"/>
    </row>
    <row r="402">
      <c r="D402" s="144"/>
      <c r="E402" s="246"/>
      <c r="F402" s="246"/>
    </row>
    <row r="403">
      <c r="D403" s="144"/>
      <c r="E403" s="246"/>
      <c r="F403" s="246"/>
    </row>
    <row r="404">
      <c r="D404" s="144"/>
      <c r="E404" s="246"/>
      <c r="F404" s="246"/>
    </row>
    <row r="405">
      <c r="D405" s="144"/>
      <c r="E405" s="246"/>
      <c r="F405" s="246"/>
    </row>
    <row r="406">
      <c r="D406" s="144"/>
      <c r="E406" s="246"/>
      <c r="F406" s="246"/>
    </row>
    <row r="407">
      <c r="D407" s="144"/>
      <c r="E407" s="246"/>
      <c r="F407" s="246"/>
    </row>
    <row r="408">
      <c r="D408" s="144"/>
      <c r="E408" s="246"/>
      <c r="F408" s="246"/>
    </row>
    <row r="409">
      <c r="D409" s="144"/>
      <c r="E409" s="246"/>
      <c r="F409" s="246"/>
    </row>
    <row r="410">
      <c r="D410" s="144"/>
      <c r="E410" s="246"/>
      <c r="F410" s="246"/>
    </row>
    <row r="411">
      <c r="D411" s="144"/>
      <c r="E411" s="246"/>
      <c r="F411" s="246"/>
    </row>
    <row r="412">
      <c r="D412" s="144"/>
      <c r="E412" s="246"/>
      <c r="F412" s="246"/>
    </row>
    <row r="413">
      <c r="D413" s="144"/>
      <c r="E413" s="246"/>
      <c r="F413" s="246"/>
    </row>
    <row r="414">
      <c r="D414" s="144"/>
      <c r="E414" s="246"/>
      <c r="F414" s="246"/>
    </row>
    <row r="415">
      <c r="D415" s="144"/>
      <c r="E415" s="246"/>
      <c r="F415" s="246"/>
    </row>
    <row r="416">
      <c r="D416" s="144"/>
      <c r="E416" s="246"/>
      <c r="F416" s="246"/>
    </row>
    <row r="417">
      <c r="D417" s="144"/>
      <c r="E417" s="246"/>
      <c r="F417" s="246"/>
    </row>
    <row r="418">
      <c r="D418" s="144"/>
      <c r="E418" s="246"/>
      <c r="F418" s="246"/>
    </row>
    <row r="419">
      <c r="D419" s="144"/>
      <c r="E419" s="246"/>
      <c r="F419" s="246"/>
    </row>
    <row r="420">
      <c r="D420" s="144"/>
      <c r="E420" s="246"/>
      <c r="F420" s="246"/>
    </row>
    <row r="421">
      <c r="D421" s="144"/>
      <c r="E421" s="246"/>
      <c r="F421" s="246"/>
    </row>
    <row r="422">
      <c r="D422" s="144"/>
      <c r="E422" s="246"/>
      <c r="F422" s="246"/>
    </row>
    <row r="423">
      <c r="D423" s="144"/>
      <c r="E423" s="246"/>
      <c r="F423" s="246"/>
    </row>
    <row r="424">
      <c r="D424" s="144"/>
      <c r="E424" s="246"/>
      <c r="F424" s="246"/>
    </row>
    <row r="425">
      <c r="D425" s="144"/>
      <c r="E425" s="246"/>
      <c r="F425" s="246"/>
    </row>
    <row r="426">
      <c r="D426" s="144"/>
      <c r="E426" s="246"/>
      <c r="F426" s="246"/>
    </row>
    <row r="427">
      <c r="D427" s="144"/>
      <c r="E427" s="246"/>
      <c r="F427" s="246"/>
    </row>
    <row r="428">
      <c r="D428" s="144"/>
      <c r="E428" s="246"/>
      <c r="F428" s="246"/>
    </row>
    <row r="429">
      <c r="D429" s="144"/>
      <c r="E429" s="246"/>
      <c r="F429" s="246"/>
    </row>
    <row r="430">
      <c r="D430" s="144"/>
      <c r="E430" s="246"/>
      <c r="F430" s="246"/>
    </row>
    <row r="431">
      <c r="D431" s="144"/>
      <c r="E431" s="246"/>
      <c r="F431" s="246"/>
    </row>
    <row r="432">
      <c r="D432" s="144"/>
      <c r="E432" s="246"/>
      <c r="F432" s="246"/>
    </row>
    <row r="433">
      <c r="D433" s="144"/>
      <c r="E433" s="246"/>
      <c r="F433" s="246"/>
    </row>
    <row r="434">
      <c r="D434" s="144"/>
      <c r="E434" s="246"/>
      <c r="F434" s="246"/>
    </row>
    <row r="435">
      <c r="D435" s="144"/>
      <c r="E435" s="246"/>
      <c r="F435" s="246"/>
    </row>
    <row r="436">
      <c r="D436" s="144"/>
      <c r="E436" s="246"/>
      <c r="F436" s="246"/>
    </row>
    <row r="437">
      <c r="D437" s="144"/>
      <c r="E437" s="246"/>
      <c r="F437" s="246"/>
    </row>
    <row r="438">
      <c r="D438" s="144"/>
      <c r="E438" s="246"/>
      <c r="F438" s="246"/>
    </row>
    <row r="439">
      <c r="D439" s="144"/>
      <c r="E439" s="246"/>
      <c r="F439" s="246"/>
    </row>
    <row r="440">
      <c r="D440" s="144"/>
      <c r="E440" s="246"/>
      <c r="F440" s="246"/>
    </row>
    <row r="441">
      <c r="D441" s="144"/>
      <c r="E441" s="246"/>
      <c r="F441" s="246"/>
    </row>
    <row r="442">
      <c r="D442" s="144"/>
      <c r="E442" s="246"/>
      <c r="F442" s="246"/>
    </row>
    <row r="443">
      <c r="D443" s="144"/>
      <c r="E443" s="246"/>
      <c r="F443" s="246"/>
    </row>
    <row r="444">
      <c r="D444" s="144"/>
      <c r="E444" s="246"/>
      <c r="F444" s="246"/>
    </row>
    <row r="445">
      <c r="D445" s="144"/>
      <c r="E445" s="246"/>
      <c r="F445" s="246"/>
    </row>
    <row r="446">
      <c r="D446" s="144"/>
      <c r="E446" s="246"/>
      <c r="F446" s="246"/>
    </row>
    <row r="447">
      <c r="D447" s="144"/>
      <c r="E447" s="246"/>
      <c r="F447" s="246"/>
    </row>
    <row r="448">
      <c r="D448" s="144"/>
      <c r="E448" s="246"/>
      <c r="F448" s="246"/>
    </row>
    <row r="449">
      <c r="D449" s="144"/>
      <c r="E449" s="246"/>
      <c r="F449" s="246"/>
    </row>
    <row r="450">
      <c r="D450" s="144"/>
      <c r="E450" s="246"/>
      <c r="F450" s="246"/>
    </row>
    <row r="451">
      <c r="D451" s="144"/>
      <c r="E451" s="246"/>
      <c r="F451" s="246"/>
    </row>
    <row r="452">
      <c r="D452" s="144"/>
      <c r="E452" s="246"/>
      <c r="F452" s="246"/>
    </row>
    <row r="453">
      <c r="D453" s="144"/>
      <c r="E453" s="246"/>
      <c r="F453" s="246"/>
    </row>
    <row r="454">
      <c r="D454" s="144"/>
      <c r="E454" s="246"/>
      <c r="F454" s="246"/>
    </row>
    <row r="455">
      <c r="D455" s="144"/>
      <c r="E455" s="246"/>
      <c r="F455" s="246"/>
    </row>
    <row r="456">
      <c r="D456" s="144"/>
      <c r="E456" s="246"/>
      <c r="F456" s="246"/>
    </row>
    <row r="457">
      <c r="D457" s="144"/>
      <c r="E457" s="246"/>
      <c r="F457" s="246"/>
    </row>
    <row r="458">
      <c r="D458" s="144"/>
      <c r="E458" s="246"/>
      <c r="F458" s="246"/>
    </row>
    <row r="459">
      <c r="D459" s="144"/>
      <c r="E459" s="246"/>
      <c r="F459" s="246"/>
    </row>
    <row r="460">
      <c r="D460" s="144"/>
      <c r="E460" s="246"/>
      <c r="F460" s="246"/>
    </row>
    <row r="461">
      <c r="D461" s="144"/>
      <c r="E461" s="246"/>
      <c r="F461" s="246"/>
    </row>
    <row r="462">
      <c r="D462" s="144"/>
      <c r="E462" s="246"/>
      <c r="F462" s="246"/>
    </row>
    <row r="463">
      <c r="D463" s="144"/>
      <c r="E463" s="246"/>
      <c r="F463" s="246"/>
    </row>
    <row r="464">
      <c r="D464" s="144"/>
      <c r="E464" s="246"/>
      <c r="F464" s="246"/>
    </row>
    <row r="465">
      <c r="D465" s="144"/>
      <c r="E465" s="246"/>
      <c r="F465" s="246"/>
    </row>
    <row r="466">
      <c r="D466" s="144"/>
      <c r="E466" s="246"/>
      <c r="F466" s="246"/>
    </row>
    <row r="467">
      <c r="D467" s="144"/>
      <c r="E467" s="246"/>
      <c r="F467" s="246"/>
    </row>
    <row r="468">
      <c r="D468" s="144"/>
      <c r="E468" s="246"/>
      <c r="F468" s="246"/>
    </row>
    <row r="469">
      <c r="D469" s="144"/>
      <c r="E469" s="246"/>
      <c r="F469" s="246"/>
    </row>
    <row r="470">
      <c r="D470" s="144"/>
      <c r="E470" s="246"/>
      <c r="F470" s="246"/>
    </row>
    <row r="471">
      <c r="D471" s="144"/>
      <c r="E471" s="246"/>
      <c r="F471" s="246"/>
    </row>
    <row r="472">
      <c r="D472" s="144"/>
      <c r="E472" s="246"/>
      <c r="F472" s="246"/>
    </row>
    <row r="473">
      <c r="D473" s="144"/>
      <c r="E473" s="246"/>
      <c r="F473" s="246"/>
    </row>
    <row r="474">
      <c r="D474" s="144"/>
      <c r="E474" s="246"/>
      <c r="F474" s="246"/>
    </row>
    <row r="475">
      <c r="D475" s="144"/>
      <c r="E475" s="246"/>
      <c r="F475" s="246"/>
    </row>
    <row r="476">
      <c r="D476" s="144"/>
      <c r="E476" s="246"/>
      <c r="F476" s="246"/>
    </row>
    <row r="477">
      <c r="D477" s="144"/>
      <c r="E477" s="246"/>
      <c r="F477" s="246"/>
    </row>
    <row r="478">
      <c r="D478" s="144"/>
      <c r="E478" s="246"/>
      <c r="F478" s="246"/>
    </row>
    <row r="479">
      <c r="D479" s="144"/>
      <c r="E479" s="246"/>
      <c r="F479" s="246"/>
    </row>
    <row r="480">
      <c r="D480" s="144"/>
      <c r="E480" s="246"/>
      <c r="F480" s="246"/>
    </row>
    <row r="481">
      <c r="D481" s="144"/>
      <c r="E481" s="246"/>
      <c r="F481" s="246"/>
    </row>
    <row r="482">
      <c r="D482" s="144"/>
      <c r="E482" s="246"/>
      <c r="F482" s="246"/>
    </row>
    <row r="483">
      <c r="D483" s="144"/>
      <c r="E483" s="246"/>
      <c r="F483" s="246"/>
    </row>
    <row r="484">
      <c r="D484" s="144"/>
      <c r="E484" s="246"/>
      <c r="F484" s="246"/>
    </row>
    <row r="485">
      <c r="D485" s="144"/>
      <c r="E485" s="246"/>
      <c r="F485" s="246"/>
    </row>
    <row r="486">
      <c r="D486" s="144"/>
      <c r="E486" s="246"/>
      <c r="F486" s="246"/>
    </row>
    <row r="487">
      <c r="D487" s="144"/>
      <c r="E487" s="246"/>
      <c r="F487" s="246"/>
    </row>
    <row r="488">
      <c r="D488" s="144"/>
      <c r="E488" s="246"/>
      <c r="F488" s="246"/>
    </row>
    <row r="489">
      <c r="D489" s="144"/>
      <c r="E489" s="246"/>
      <c r="F489" s="246"/>
    </row>
    <row r="490">
      <c r="D490" s="144"/>
      <c r="E490" s="246"/>
      <c r="F490" s="246"/>
    </row>
    <row r="491">
      <c r="D491" s="144"/>
      <c r="E491" s="246"/>
      <c r="F491" s="246"/>
    </row>
    <row r="492">
      <c r="D492" s="144"/>
      <c r="E492" s="246"/>
      <c r="F492" s="246"/>
    </row>
    <row r="493">
      <c r="D493" s="144"/>
      <c r="E493" s="246"/>
      <c r="F493" s="246"/>
    </row>
    <row r="494">
      <c r="D494" s="144"/>
      <c r="E494" s="246"/>
      <c r="F494" s="246"/>
    </row>
    <row r="495">
      <c r="D495" s="144"/>
      <c r="E495" s="246"/>
      <c r="F495" s="246"/>
    </row>
    <row r="496">
      <c r="D496" s="144"/>
      <c r="E496" s="246"/>
      <c r="F496" s="246"/>
    </row>
    <row r="497">
      <c r="D497" s="144"/>
      <c r="E497" s="246"/>
      <c r="F497" s="246"/>
    </row>
    <row r="498">
      <c r="D498" s="144"/>
      <c r="E498" s="246"/>
      <c r="F498" s="246"/>
    </row>
    <row r="499">
      <c r="D499" s="144"/>
      <c r="E499" s="246"/>
      <c r="F499" s="246"/>
    </row>
    <row r="500">
      <c r="D500" s="144"/>
      <c r="E500" s="246"/>
      <c r="F500" s="246"/>
    </row>
    <row r="501">
      <c r="D501" s="144"/>
      <c r="E501" s="246"/>
      <c r="F501" s="246"/>
    </row>
    <row r="502">
      <c r="D502" s="144"/>
      <c r="E502" s="246"/>
      <c r="F502" s="246"/>
    </row>
    <row r="503">
      <c r="D503" s="144"/>
      <c r="E503" s="246"/>
      <c r="F503" s="246"/>
    </row>
    <row r="504">
      <c r="D504" s="144"/>
      <c r="E504" s="246"/>
      <c r="F504" s="246"/>
    </row>
    <row r="505">
      <c r="D505" s="144"/>
      <c r="E505" s="246"/>
      <c r="F505" s="246"/>
    </row>
    <row r="506">
      <c r="D506" s="144"/>
      <c r="E506" s="246"/>
      <c r="F506" s="246"/>
    </row>
    <row r="507">
      <c r="D507" s="144"/>
      <c r="E507" s="246"/>
      <c r="F507" s="246"/>
    </row>
    <row r="508">
      <c r="D508" s="144"/>
      <c r="E508" s="246"/>
      <c r="F508" s="246"/>
    </row>
    <row r="509">
      <c r="D509" s="144"/>
      <c r="E509" s="246"/>
      <c r="F509" s="246"/>
    </row>
    <row r="510">
      <c r="D510" s="144"/>
      <c r="E510" s="246"/>
      <c r="F510" s="246"/>
    </row>
    <row r="511">
      <c r="D511" s="144"/>
      <c r="E511" s="246"/>
      <c r="F511" s="246"/>
    </row>
    <row r="512">
      <c r="D512" s="144"/>
      <c r="E512" s="246"/>
      <c r="F512" s="246"/>
    </row>
    <row r="513">
      <c r="D513" s="144"/>
      <c r="E513" s="246"/>
      <c r="F513" s="246"/>
    </row>
    <row r="514">
      <c r="D514" s="144"/>
      <c r="E514" s="246"/>
      <c r="F514" s="246"/>
    </row>
    <row r="515">
      <c r="D515" s="144"/>
      <c r="E515" s="246"/>
      <c r="F515" s="246"/>
    </row>
    <row r="516">
      <c r="D516" s="144"/>
      <c r="E516" s="246"/>
      <c r="F516" s="246"/>
    </row>
    <row r="517">
      <c r="D517" s="144"/>
      <c r="E517" s="246"/>
      <c r="F517" s="246"/>
    </row>
    <row r="518">
      <c r="D518" s="144"/>
      <c r="E518" s="246"/>
      <c r="F518" s="246"/>
    </row>
    <row r="519">
      <c r="D519" s="144"/>
      <c r="E519" s="246"/>
      <c r="F519" s="246"/>
    </row>
    <row r="520">
      <c r="D520" s="144"/>
      <c r="E520" s="246"/>
      <c r="F520" s="246"/>
    </row>
    <row r="521">
      <c r="D521" s="144"/>
      <c r="E521" s="246"/>
      <c r="F521" s="246"/>
    </row>
    <row r="522">
      <c r="D522" s="144"/>
      <c r="E522" s="246"/>
      <c r="F522" s="246"/>
    </row>
    <row r="523">
      <c r="D523" s="144"/>
      <c r="E523" s="246"/>
      <c r="F523" s="246"/>
    </row>
    <row r="524">
      <c r="D524" s="144"/>
      <c r="E524" s="246"/>
      <c r="F524" s="246"/>
    </row>
    <row r="525">
      <c r="D525" s="144"/>
      <c r="E525" s="246"/>
      <c r="F525" s="246"/>
    </row>
    <row r="526">
      <c r="D526" s="144"/>
      <c r="E526" s="246"/>
      <c r="F526" s="246"/>
    </row>
    <row r="527">
      <c r="D527" s="144"/>
      <c r="E527" s="246"/>
      <c r="F527" s="246"/>
    </row>
    <row r="528">
      <c r="D528" s="144"/>
      <c r="E528" s="246"/>
      <c r="F528" s="246"/>
    </row>
    <row r="529">
      <c r="D529" s="144"/>
      <c r="E529" s="246"/>
      <c r="F529" s="246"/>
    </row>
    <row r="530">
      <c r="D530" s="144"/>
      <c r="E530" s="246"/>
      <c r="F530" s="246"/>
    </row>
    <row r="531">
      <c r="D531" s="144"/>
      <c r="E531" s="246"/>
      <c r="F531" s="246"/>
    </row>
    <row r="532">
      <c r="D532" s="144"/>
      <c r="E532" s="246"/>
      <c r="F532" s="246"/>
    </row>
    <row r="533">
      <c r="D533" s="144"/>
      <c r="E533" s="246"/>
      <c r="F533" s="246"/>
    </row>
    <row r="534">
      <c r="D534" s="144"/>
      <c r="E534" s="246"/>
      <c r="F534" s="246"/>
    </row>
    <row r="535">
      <c r="D535" s="144"/>
      <c r="E535" s="246"/>
      <c r="F535" s="246"/>
    </row>
    <row r="536">
      <c r="D536" s="144"/>
      <c r="E536" s="246"/>
      <c r="F536" s="246"/>
    </row>
    <row r="537">
      <c r="D537" s="144"/>
      <c r="E537" s="246"/>
      <c r="F537" s="246"/>
    </row>
    <row r="538">
      <c r="D538" s="144"/>
      <c r="E538" s="246"/>
      <c r="F538" s="246"/>
    </row>
    <row r="539">
      <c r="D539" s="144"/>
      <c r="E539" s="246"/>
      <c r="F539" s="246"/>
    </row>
    <row r="540">
      <c r="D540" s="144"/>
      <c r="E540" s="246"/>
      <c r="F540" s="246"/>
    </row>
    <row r="541">
      <c r="D541" s="144"/>
      <c r="E541" s="246"/>
      <c r="F541" s="246"/>
    </row>
    <row r="542">
      <c r="D542" s="144"/>
      <c r="E542" s="246"/>
      <c r="F542" s="246"/>
    </row>
    <row r="543">
      <c r="D543" s="144"/>
      <c r="E543" s="246"/>
      <c r="F543" s="246"/>
    </row>
    <row r="544">
      <c r="D544" s="144"/>
      <c r="E544" s="246"/>
      <c r="F544" s="246"/>
    </row>
    <row r="545">
      <c r="D545" s="144"/>
      <c r="E545" s="246"/>
      <c r="F545" s="246"/>
    </row>
    <row r="546">
      <c r="D546" s="144"/>
      <c r="E546" s="246"/>
      <c r="F546" s="246"/>
    </row>
    <row r="547">
      <c r="D547" s="144"/>
      <c r="E547" s="246"/>
      <c r="F547" s="246"/>
    </row>
    <row r="548">
      <c r="D548" s="144"/>
      <c r="E548" s="246"/>
      <c r="F548" s="246"/>
    </row>
    <row r="549">
      <c r="D549" s="144"/>
      <c r="E549" s="246"/>
      <c r="F549" s="246"/>
    </row>
    <row r="550">
      <c r="D550" s="144"/>
      <c r="E550" s="246"/>
      <c r="F550" s="246"/>
    </row>
    <row r="551">
      <c r="D551" s="144"/>
      <c r="E551" s="246"/>
      <c r="F551" s="246"/>
    </row>
    <row r="552">
      <c r="D552" s="144"/>
      <c r="E552" s="246"/>
      <c r="F552" s="246"/>
    </row>
    <row r="553">
      <c r="D553" s="144"/>
      <c r="E553" s="246"/>
      <c r="F553" s="246"/>
    </row>
    <row r="554">
      <c r="D554" s="144"/>
      <c r="E554" s="246"/>
      <c r="F554" s="246"/>
    </row>
    <row r="555">
      <c r="D555" s="144"/>
      <c r="E555" s="246"/>
      <c r="F555" s="246"/>
    </row>
    <row r="556">
      <c r="D556" s="144"/>
      <c r="E556" s="246"/>
      <c r="F556" s="246"/>
    </row>
    <row r="557">
      <c r="D557" s="144"/>
      <c r="E557" s="246"/>
      <c r="F557" s="246"/>
    </row>
    <row r="558">
      <c r="D558" s="144"/>
      <c r="E558" s="246"/>
      <c r="F558" s="246"/>
    </row>
    <row r="559">
      <c r="D559" s="144"/>
      <c r="E559" s="246"/>
      <c r="F559" s="246"/>
    </row>
    <row r="560">
      <c r="D560" s="144"/>
      <c r="E560" s="246"/>
      <c r="F560" s="246"/>
    </row>
    <row r="561">
      <c r="D561" s="144"/>
      <c r="E561" s="246"/>
      <c r="F561" s="246"/>
    </row>
    <row r="562">
      <c r="D562" s="144"/>
      <c r="E562" s="246"/>
      <c r="F562" s="246"/>
    </row>
    <row r="563">
      <c r="D563" s="144"/>
      <c r="E563" s="246"/>
      <c r="F563" s="246"/>
    </row>
    <row r="564">
      <c r="D564" s="144"/>
      <c r="E564" s="246"/>
      <c r="F564" s="246"/>
    </row>
    <row r="565">
      <c r="D565" s="144"/>
      <c r="E565" s="246"/>
      <c r="F565" s="246"/>
    </row>
    <row r="566">
      <c r="D566" s="144"/>
      <c r="E566" s="246"/>
      <c r="F566" s="246"/>
    </row>
    <row r="567">
      <c r="D567" s="144"/>
      <c r="E567" s="246"/>
      <c r="F567" s="246"/>
    </row>
    <row r="568">
      <c r="D568" s="144"/>
      <c r="E568" s="246"/>
      <c r="F568" s="246"/>
    </row>
    <row r="569">
      <c r="D569" s="144"/>
      <c r="E569" s="246"/>
      <c r="F569" s="246"/>
    </row>
    <row r="570">
      <c r="D570" s="144"/>
      <c r="E570" s="246"/>
      <c r="F570" s="246"/>
    </row>
    <row r="571">
      <c r="D571" s="144"/>
      <c r="E571" s="246"/>
      <c r="F571" s="246"/>
    </row>
    <row r="572">
      <c r="D572" s="144"/>
      <c r="E572" s="246"/>
      <c r="F572" s="246"/>
    </row>
    <row r="573">
      <c r="D573" s="144"/>
      <c r="E573" s="246"/>
      <c r="F573" s="246"/>
    </row>
    <row r="574">
      <c r="D574" s="144"/>
      <c r="E574" s="246"/>
      <c r="F574" s="246"/>
    </row>
    <row r="575">
      <c r="D575" s="144"/>
      <c r="E575" s="246"/>
      <c r="F575" s="246"/>
    </row>
    <row r="576">
      <c r="D576" s="144"/>
      <c r="E576" s="246"/>
      <c r="F576" s="246"/>
    </row>
    <row r="577">
      <c r="D577" s="144"/>
      <c r="E577" s="246"/>
      <c r="F577" s="246"/>
    </row>
    <row r="578">
      <c r="D578" s="144"/>
      <c r="E578" s="246"/>
      <c r="F578" s="246"/>
    </row>
    <row r="579">
      <c r="D579" s="144"/>
      <c r="E579" s="246"/>
      <c r="F579" s="246"/>
    </row>
    <row r="580">
      <c r="D580" s="144"/>
      <c r="E580" s="246"/>
      <c r="F580" s="246"/>
    </row>
    <row r="581">
      <c r="D581" s="144"/>
      <c r="E581" s="246"/>
      <c r="F581" s="246"/>
    </row>
    <row r="582">
      <c r="D582" s="144"/>
      <c r="E582" s="246"/>
      <c r="F582" s="246"/>
    </row>
    <row r="583">
      <c r="D583" s="144"/>
      <c r="E583" s="246"/>
      <c r="F583" s="246"/>
    </row>
    <row r="584">
      <c r="D584" s="144"/>
      <c r="E584" s="246"/>
      <c r="F584" s="246"/>
    </row>
    <row r="585">
      <c r="D585" s="144"/>
      <c r="E585" s="246"/>
      <c r="F585" s="246"/>
    </row>
    <row r="586">
      <c r="D586" s="144"/>
      <c r="E586" s="246"/>
      <c r="F586" s="246"/>
    </row>
    <row r="587">
      <c r="D587" s="144"/>
      <c r="E587" s="246"/>
      <c r="F587" s="246"/>
    </row>
    <row r="588">
      <c r="D588" s="144"/>
      <c r="E588" s="246"/>
      <c r="F588" s="246"/>
    </row>
    <row r="589">
      <c r="D589" s="144"/>
      <c r="E589" s="246"/>
      <c r="F589" s="246"/>
    </row>
    <row r="590">
      <c r="D590" s="144"/>
      <c r="E590" s="246"/>
      <c r="F590" s="246"/>
    </row>
    <row r="591">
      <c r="D591" s="144"/>
      <c r="E591" s="246"/>
      <c r="F591" s="246"/>
    </row>
    <row r="592">
      <c r="D592" s="144"/>
      <c r="E592" s="246"/>
      <c r="F592" s="246"/>
    </row>
    <row r="593">
      <c r="D593" s="144"/>
      <c r="E593" s="246"/>
      <c r="F593" s="246"/>
    </row>
    <row r="594">
      <c r="D594" s="144"/>
      <c r="E594" s="246"/>
      <c r="F594" s="246"/>
    </row>
    <row r="595">
      <c r="D595" s="144"/>
      <c r="E595" s="246"/>
      <c r="F595" s="246"/>
    </row>
    <row r="596">
      <c r="D596" s="144"/>
      <c r="E596" s="246"/>
      <c r="F596" s="246"/>
    </row>
    <row r="597">
      <c r="D597" s="144"/>
      <c r="E597" s="246"/>
      <c r="F597" s="246"/>
    </row>
    <row r="598">
      <c r="D598" s="144"/>
      <c r="E598" s="246"/>
      <c r="F598" s="246"/>
    </row>
    <row r="599">
      <c r="D599" s="144"/>
      <c r="E599" s="246"/>
      <c r="F599" s="246"/>
    </row>
    <row r="600">
      <c r="D600" s="144"/>
      <c r="E600" s="246"/>
      <c r="F600" s="246"/>
    </row>
    <row r="601">
      <c r="D601" s="144"/>
      <c r="E601" s="246"/>
      <c r="F601" s="246"/>
    </row>
    <row r="602">
      <c r="D602" s="144"/>
      <c r="E602" s="246"/>
      <c r="F602" s="246"/>
    </row>
    <row r="603">
      <c r="D603" s="144"/>
      <c r="E603" s="246"/>
      <c r="F603" s="246"/>
    </row>
    <row r="604">
      <c r="D604" s="144"/>
      <c r="E604" s="246"/>
      <c r="F604" s="246"/>
    </row>
    <row r="605">
      <c r="D605" s="144"/>
      <c r="E605" s="246"/>
      <c r="F605" s="246"/>
    </row>
    <row r="606">
      <c r="D606" s="144"/>
      <c r="E606" s="246"/>
      <c r="F606" s="246"/>
    </row>
    <row r="607">
      <c r="D607" s="144"/>
      <c r="E607" s="246"/>
      <c r="F607" s="246"/>
    </row>
    <row r="608">
      <c r="D608" s="144"/>
      <c r="E608" s="246"/>
      <c r="F608" s="246"/>
    </row>
    <row r="609">
      <c r="D609" s="144"/>
      <c r="E609" s="246"/>
      <c r="F609" s="246"/>
    </row>
    <row r="610">
      <c r="D610" s="144"/>
      <c r="E610" s="246"/>
      <c r="F610" s="246"/>
    </row>
    <row r="611">
      <c r="D611" s="144"/>
      <c r="E611" s="246"/>
      <c r="F611" s="246"/>
    </row>
    <row r="612">
      <c r="D612" s="144"/>
      <c r="E612" s="246"/>
      <c r="F612" s="246"/>
    </row>
    <row r="613">
      <c r="D613" s="144"/>
      <c r="E613" s="246"/>
      <c r="F613" s="246"/>
    </row>
    <row r="614">
      <c r="D614" s="144"/>
      <c r="E614" s="246"/>
      <c r="F614" s="246"/>
    </row>
    <row r="615">
      <c r="D615" s="144"/>
      <c r="E615" s="246"/>
      <c r="F615" s="246"/>
    </row>
    <row r="616">
      <c r="D616" s="144"/>
      <c r="E616" s="246"/>
      <c r="F616" s="246"/>
    </row>
    <row r="617">
      <c r="D617" s="144"/>
      <c r="E617" s="246"/>
      <c r="F617" s="246"/>
    </row>
    <row r="618">
      <c r="D618" s="144"/>
      <c r="E618" s="246"/>
      <c r="F618" s="246"/>
    </row>
    <row r="619">
      <c r="D619" s="144"/>
      <c r="E619" s="246"/>
      <c r="F619" s="246"/>
    </row>
    <row r="620">
      <c r="D620" s="144"/>
      <c r="E620" s="246"/>
      <c r="F620" s="246"/>
    </row>
    <row r="621">
      <c r="D621" s="144"/>
      <c r="E621" s="246"/>
      <c r="F621" s="246"/>
    </row>
    <row r="622">
      <c r="D622" s="144"/>
      <c r="E622" s="246"/>
      <c r="F622" s="246"/>
    </row>
    <row r="623">
      <c r="D623" s="144"/>
      <c r="E623" s="246"/>
      <c r="F623" s="246"/>
    </row>
    <row r="624">
      <c r="D624" s="144"/>
      <c r="E624" s="246"/>
      <c r="F624" s="246"/>
    </row>
    <row r="625">
      <c r="D625" s="144"/>
      <c r="E625" s="246"/>
      <c r="F625" s="246"/>
    </row>
    <row r="626">
      <c r="D626" s="144"/>
      <c r="E626" s="246"/>
      <c r="F626" s="246"/>
    </row>
    <row r="627">
      <c r="D627" s="144"/>
      <c r="E627" s="246"/>
      <c r="F627" s="246"/>
    </row>
    <row r="628">
      <c r="D628" s="144"/>
      <c r="E628" s="246"/>
      <c r="F628" s="246"/>
    </row>
    <row r="629">
      <c r="D629" s="144"/>
      <c r="E629" s="246"/>
      <c r="F629" s="246"/>
    </row>
    <row r="630">
      <c r="D630" s="144"/>
      <c r="E630" s="246"/>
      <c r="F630" s="246"/>
    </row>
    <row r="631">
      <c r="D631" s="144"/>
      <c r="E631" s="246"/>
      <c r="F631" s="246"/>
    </row>
    <row r="632">
      <c r="D632" s="144"/>
      <c r="E632" s="246"/>
      <c r="F632" s="246"/>
    </row>
    <row r="633">
      <c r="D633" s="144"/>
      <c r="E633" s="246"/>
      <c r="F633" s="246"/>
    </row>
    <row r="634">
      <c r="D634" s="144"/>
      <c r="E634" s="246"/>
      <c r="F634" s="246"/>
    </row>
    <row r="635">
      <c r="D635" s="144"/>
      <c r="E635" s="246"/>
      <c r="F635" s="246"/>
    </row>
    <row r="636">
      <c r="D636" s="144"/>
      <c r="E636" s="246"/>
      <c r="F636" s="246"/>
    </row>
    <row r="637">
      <c r="D637" s="144"/>
      <c r="E637" s="246"/>
      <c r="F637" s="246"/>
    </row>
    <row r="638">
      <c r="D638" s="144"/>
      <c r="E638" s="246"/>
      <c r="F638" s="246"/>
    </row>
    <row r="639">
      <c r="D639" s="144"/>
      <c r="E639" s="246"/>
      <c r="F639" s="246"/>
    </row>
    <row r="640">
      <c r="D640" s="144"/>
      <c r="E640" s="246"/>
      <c r="F640" s="246"/>
    </row>
    <row r="641">
      <c r="D641" s="144"/>
      <c r="E641" s="246"/>
      <c r="F641" s="246"/>
    </row>
    <row r="642">
      <c r="D642" s="144"/>
      <c r="E642" s="246"/>
      <c r="F642" s="246"/>
    </row>
    <row r="643">
      <c r="D643" s="144"/>
      <c r="E643" s="246"/>
      <c r="F643" s="246"/>
    </row>
    <row r="644">
      <c r="D644" s="144"/>
      <c r="E644" s="246"/>
      <c r="F644" s="246"/>
    </row>
    <row r="645">
      <c r="D645" s="144"/>
      <c r="E645" s="246"/>
      <c r="F645" s="246"/>
    </row>
    <row r="646">
      <c r="D646" s="144"/>
      <c r="E646" s="246"/>
      <c r="F646" s="246"/>
    </row>
    <row r="647">
      <c r="D647" s="144"/>
      <c r="E647" s="246"/>
      <c r="F647" s="246"/>
    </row>
    <row r="648">
      <c r="D648" s="144"/>
      <c r="E648" s="246"/>
      <c r="F648" s="246"/>
    </row>
    <row r="649">
      <c r="D649" s="144"/>
      <c r="E649" s="246"/>
      <c r="F649" s="246"/>
    </row>
    <row r="650">
      <c r="D650" s="144"/>
      <c r="E650" s="246"/>
      <c r="F650" s="246"/>
    </row>
    <row r="651">
      <c r="D651" s="144"/>
      <c r="E651" s="246"/>
      <c r="F651" s="246"/>
    </row>
    <row r="652">
      <c r="D652" s="144"/>
      <c r="E652" s="246"/>
      <c r="F652" s="246"/>
    </row>
    <row r="653">
      <c r="D653" s="144"/>
      <c r="E653" s="246"/>
      <c r="F653" s="246"/>
    </row>
    <row r="654">
      <c r="D654" s="144"/>
      <c r="E654" s="246"/>
      <c r="F654" s="246"/>
    </row>
    <row r="655">
      <c r="D655" s="144"/>
      <c r="E655" s="246"/>
      <c r="F655" s="246"/>
    </row>
    <row r="656">
      <c r="D656" s="144"/>
      <c r="E656" s="246"/>
      <c r="F656" s="246"/>
    </row>
    <row r="657">
      <c r="D657" s="144"/>
      <c r="E657" s="246"/>
      <c r="F657" s="246"/>
    </row>
    <row r="658">
      <c r="D658" s="144"/>
      <c r="E658" s="246"/>
      <c r="F658" s="246"/>
    </row>
    <row r="659">
      <c r="D659" s="144"/>
      <c r="E659" s="246"/>
      <c r="F659" s="246"/>
    </row>
    <row r="660">
      <c r="D660" s="144"/>
      <c r="E660" s="246"/>
      <c r="F660" s="246"/>
    </row>
    <row r="661">
      <c r="D661" s="144"/>
      <c r="E661" s="246"/>
      <c r="F661" s="246"/>
    </row>
    <row r="662">
      <c r="D662" s="144"/>
      <c r="E662" s="246"/>
      <c r="F662" s="246"/>
    </row>
    <row r="663">
      <c r="D663" s="144"/>
      <c r="E663" s="246"/>
      <c r="F663" s="246"/>
    </row>
    <row r="664">
      <c r="D664" s="144"/>
      <c r="E664" s="246"/>
      <c r="F664" s="246"/>
    </row>
    <row r="665">
      <c r="D665" s="144"/>
      <c r="E665" s="246"/>
      <c r="F665" s="246"/>
    </row>
    <row r="666">
      <c r="D666" s="144"/>
      <c r="E666" s="246"/>
      <c r="F666" s="246"/>
    </row>
    <row r="667">
      <c r="D667" s="144"/>
      <c r="E667" s="246"/>
      <c r="F667" s="246"/>
    </row>
    <row r="668">
      <c r="D668" s="144"/>
      <c r="E668" s="246"/>
      <c r="F668" s="246"/>
    </row>
    <row r="669">
      <c r="D669" s="144"/>
      <c r="E669" s="246"/>
      <c r="F669" s="246"/>
    </row>
    <row r="670">
      <c r="D670" s="144"/>
      <c r="E670" s="246"/>
      <c r="F670" s="246"/>
    </row>
    <row r="671">
      <c r="D671" s="144"/>
      <c r="E671" s="246"/>
      <c r="F671" s="246"/>
    </row>
    <row r="672">
      <c r="D672" s="144"/>
      <c r="E672" s="246"/>
      <c r="F672" s="246"/>
    </row>
    <row r="673">
      <c r="D673" s="144"/>
      <c r="E673" s="246"/>
      <c r="F673" s="246"/>
    </row>
    <row r="674">
      <c r="D674" s="144"/>
      <c r="E674" s="246"/>
      <c r="F674" s="246"/>
    </row>
    <row r="675">
      <c r="D675" s="144"/>
      <c r="E675" s="246"/>
      <c r="F675" s="246"/>
    </row>
    <row r="676">
      <c r="D676" s="144"/>
      <c r="E676" s="246"/>
      <c r="F676" s="246"/>
    </row>
    <row r="677">
      <c r="D677" s="144"/>
      <c r="E677" s="246"/>
      <c r="F677" s="246"/>
    </row>
    <row r="678">
      <c r="D678" s="144"/>
      <c r="E678" s="246"/>
      <c r="F678" s="246"/>
    </row>
    <row r="679">
      <c r="D679" s="144"/>
      <c r="E679" s="246"/>
      <c r="F679" s="246"/>
    </row>
    <row r="680">
      <c r="D680" s="144"/>
      <c r="E680" s="246"/>
      <c r="F680" s="246"/>
    </row>
    <row r="681">
      <c r="D681" s="144"/>
      <c r="E681" s="246"/>
      <c r="F681" s="246"/>
    </row>
    <row r="682">
      <c r="D682" s="144"/>
      <c r="E682" s="246"/>
      <c r="F682" s="246"/>
    </row>
    <row r="683">
      <c r="D683" s="144"/>
      <c r="E683" s="246"/>
      <c r="F683" s="246"/>
    </row>
    <row r="684">
      <c r="D684" s="144"/>
      <c r="E684" s="246"/>
      <c r="F684" s="246"/>
    </row>
    <row r="685">
      <c r="D685" s="144"/>
      <c r="E685" s="246"/>
      <c r="F685" s="246"/>
    </row>
    <row r="686">
      <c r="D686" s="144"/>
      <c r="E686" s="246"/>
      <c r="F686" s="246"/>
    </row>
    <row r="687">
      <c r="D687" s="144"/>
      <c r="E687" s="246"/>
      <c r="F687" s="246"/>
    </row>
    <row r="688">
      <c r="D688" s="144"/>
      <c r="E688" s="246"/>
      <c r="F688" s="246"/>
    </row>
    <row r="689">
      <c r="D689" s="144"/>
      <c r="E689" s="246"/>
      <c r="F689" s="246"/>
    </row>
    <row r="690">
      <c r="D690" s="144"/>
      <c r="E690" s="246"/>
      <c r="F690" s="246"/>
    </row>
    <row r="691">
      <c r="D691" s="144"/>
      <c r="E691" s="246"/>
      <c r="F691" s="246"/>
    </row>
    <row r="692">
      <c r="D692" s="144"/>
      <c r="E692" s="246"/>
      <c r="F692" s="246"/>
    </row>
    <row r="693">
      <c r="D693" s="144"/>
      <c r="E693" s="246"/>
      <c r="F693" s="246"/>
    </row>
    <row r="694">
      <c r="D694" s="144"/>
      <c r="E694" s="246"/>
      <c r="F694" s="246"/>
    </row>
    <row r="695">
      <c r="D695" s="144"/>
      <c r="E695" s="246"/>
      <c r="F695" s="246"/>
    </row>
    <row r="696">
      <c r="D696" s="144"/>
      <c r="E696" s="246"/>
      <c r="F696" s="246"/>
    </row>
    <row r="697">
      <c r="D697" s="144"/>
      <c r="E697" s="246"/>
      <c r="F697" s="246"/>
    </row>
    <row r="698">
      <c r="D698" s="144"/>
      <c r="E698" s="246"/>
      <c r="F698" s="246"/>
    </row>
    <row r="699">
      <c r="D699" s="144"/>
      <c r="E699" s="246"/>
      <c r="F699" s="246"/>
    </row>
    <row r="700">
      <c r="D700" s="144"/>
      <c r="E700" s="246"/>
      <c r="F700" s="246"/>
    </row>
    <row r="701">
      <c r="D701" s="144"/>
      <c r="E701" s="246"/>
      <c r="F701" s="246"/>
    </row>
    <row r="702">
      <c r="D702" s="144"/>
      <c r="E702" s="246"/>
      <c r="F702" s="246"/>
    </row>
    <row r="703">
      <c r="D703" s="144"/>
      <c r="E703" s="246"/>
      <c r="F703" s="246"/>
    </row>
    <row r="704">
      <c r="D704" s="144"/>
      <c r="E704" s="246"/>
      <c r="F704" s="246"/>
    </row>
    <row r="705">
      <c r="D705" s="144"/>
      <c r="E705" s="246"/>
      <c r="F705" s="246"/>
    </row>
    <row r="706">
      <c r="D706" s="144"/>
      <c r="E706" s="246"/>
      <c r="F706" s="246"/>
    </row>
    <row r="707">
      <c r="D707" s="144"/>
      <c r="E707" s="246"/>
      <c r="F707" s="246"/>
    </row>
    <row r="708">
      <c r="D708" s="144"/>
      <c r="E708" s="246"/>
      <c r="F708" s="246"/>
    </row>
    <row r="709">
      <c r="D709" s="144"/>
      <c r="E709" s="246"/>
      <c r="F709" s="246"/>
    </row>
    <row r="710">
      <c r="D710" s="144"/>
      <c r="E710" s="246"/>
      <c r="F710" s="246"/>
    </row>
    <row r="711">
      <c r="D711" s="144"/>
      <c r="E711" s="246"/>
      <c r="F711" s="246"/>
    </row>
    <row r="712">
      <c r="D712" s="144"/>
      <c r="E712" s="246"/>
      <c r="F712" s="246"/>
    </row>
    <row r="713">
      <c r="D713" s="144"/>
      <c r="E713" s="246"/>
      <c r="F713" s="246"/>
    </row>
    <row r="714">
      <c r="D714" s="144"/>
      <c r="E714" s="246"/>
      <c r="F714" s="246"/>
    </row>
    <row r="715">
      <c r="D715" s="144"/>
      <c r="E715" s="246"/>
      <c r="F715" s="246"/>
    </row>
    <row r="716">
      <c r="D716" s="144"/>
      <c r="E716" s="246"/>
      <c r="F716" s="246"/>
    </row>
    <row r="717">
      <c r="D717" s="144"/>
      <c r="E717" s="246"/>
      <c r="F717" s="246"/>
    </row>
    <row r="718">
      <c r="D718" s="144"/>
      <c r="E718" s="246"/>
      <c r="F718" s="246"/>
    </row>
    <row r="719">
      <c r="D719" s="144"/>
      <c r="E719" s="246"/>
      <c r="F719" s="246"/>
    </row>
    <row r="720">
      <c r="D720" s="144"/>
      <c r="E720" s="246"/>
      <c r="F720" s="246"/>
    </row>
    <row r="721">
      <c r="D721" s="144"/>
      <c r="E721" s="246"/>
      <c r="F721" s="246"/>
    </row>
    <row r="722">
      <c r="D722" s="144"/>
      <c r="E722" s="246"/>
      <c r="F722" s="246"/>
    </row>
    <row r="723">
      <c r="D723" s="144"/>
      <c r="E723" s="246"/>
      <c r="F723" s="246"/>
    </row>
    <row r="724">
      <c r="D724" s="144"/>
      <c r="E724" s="246"/>
      <c r="F724" s="246"/>
    </row>
    <row r="725">
      <c r="D725" s="144"/>
      <c r="E725" s="246"/>
      <c r="F725" s="246"/>
    </row>
    <row r="726">
      <c r="D726" s="144"/>
      <c r="E726" s="246"/>
      <c r="F726" s="246"/>
    </row>
    <row r="727">
      <c r="D727" s="144"/>
      <c r="E727" s="246"/>
      <c r="F727" s="246"/>
    </row>
    <row r="728">
      <c r="D728" s="144"/>
      <c r="E728" s="246"/>
      <c r="F728" s="246"/>
    </row>
    <row r="729">
      <c r="D729" s="144"/>
      <c r="E729" s="246"/>
      <c r="F729" s="246"/>
    </row>
    <row r="730">
      <c r="D730" s="144"/>
      <c r="E730" s="246"/>
      <c r="F730" s="246"/>
    </row>
    <row r="731">
      <c r="D731" s="144"/>
      <c r="E731" s="246"/>
      <c r="F731" s="246"/>
    </row>
    <row r="732">
      <c r="D732" s="144"/>
      <c r="E732" s="246"/>
      <c r="F732" s="246"/>
    </row>
    <row r="733">
      <c r="D733" s="144"/>
      <c r="E733" s="246"/>
      <c r="F733" s="246"/>
    </row>
    <row r="734">
      <c r="D734" s="144"/>
      <c r="E734" s="246"/>
      <c r="F734" s="246"/>
    </row>
    <row r="735">
      <c r="D735" s="144"/>
      <c r="E735" s="246"/>
      <c r="F735" s="246"/>
    </row>
    <row r="736">
      <c r="D736" s="144"/>
      <c r="E736" s="246"/>
      <c r="F736" s="246"/>
    </row>
    <row r="737">
      <c r="D737" s="144"/>
      <c r="E737" s="246"/>
      <c r="F737" s="246"/>
    </row>
    <row r="738">
      <c r="D738" s="144"/>
      <c r="E738" s="246"/>
      <c r="F738" s="246"/>
    </row>
    <row r="739">
      <c r="D739" s="144"/>
      <c r="E739" s="246"/>
      <c r="F739" s="246"/>
    </row>
    <row r="740">
      <c r="D740" s="144"/>
      <c r="E740" s="246"/>
      <c r="F740" s="246"/>
    </row>
    <row r="741">
      <c r="D741" s="144"/>
      <c r="E741" s="246"/>
      <c r="F741" s="246"/>
    </row>
    <row r="742">
      <c r="D742" s="144"/>
      <c r="E742" s="246"/>
      <c r="F742" s="246"/>
    </row>
    <row r="743">
      <c r="D743" s="144"/>
      <c r="E743" s="246"/>
      <c r="F743" s="246"/>
    </row>
    <row r="744">
      <c r="D744" s="144"/>
      <c r="E744" s="246"/>
      <c r="F744" s="246"/>
    </row>
    <row r="745">
      <c r="D745" s="144"/>
      <c r="E745" s="246"/>
      <c r="F745" s="246"/>
    </row>
    <row r="746">
      <c r="D746" s="144"/>
      <c r="E746" s="246"/>
      <c r="F746" s="246"/>
    </row>
    <row r="747">
      <c r="D747" s="144"/>
      <c r="E747" s="246"/>
      <c r="F747" s="246"/>
    </row>
    <row r="748">
      <c r="D748" s="144"/>
      <c r="E748" s="246"/>
      <c r="F748" s="246"/>
    </row>
    <row r="749">
      <c r="D749" s="144"/>
      <c r="E749" s="246"/>
      <c r="F749" s="246"/>
    </row>
    <row r="750">
      <c r="D750" s="144"/>
      <c r="E750" s="246"/>
      <c r="F750" s="246"/>
    </row>
    <row r="751">
      <c r="D751" s="144"/>
      <c r="E751" s="246"/>
      <c r="F751" s="246"/>
    </row>
    <row r="752">
      <c r="D752" s="144"/>
      <c r="E752" s="246"/>
      <c r="F752" s="246"/>
    </row>
    <row r="753">
      <c r="D753" s="144"/>
      <c r="E753" s="246"/>
      <c r="F753" s="246"/>
    </row>
    <row r="754">
      <c r="D754" s="144"/>
      <c r="E754" s="246"/>
      <c r="F754" s="246"/>
    </row>
    <row r="755">
      <c r="D755" s="144"/>
      <c r="E755" s="246"/>
      <c r="F755" s="246"/>
    </row>
    <row r="756">
      <c r="D756" s="144"/>
      <c r="E756" s="246"/>
      <c r="F756" s="246"/>
    </row>
    <row r="757">
      <c r="D757" s="144"/>
      <c r="E757" s="246"/>
      <c r="F757" s="246"/>
    </row>
    <row r="758">
      <c r="D758" s="144"/>
      <c r="E758" s="246"/>
      <c r="F758" s="246"/>
    </row>
    <row r="759">
      <c r="D759" s="144"/>
      <c r="E759" s="246"/>
      <c r="F759" s="246"/>
    </row>
    <row r="760">
      <c r="D760" s="144"/>
      <c r="E760" s="246"/>
      <c r="F760" s="246"/>
    </row>
    <row r="761">
      <c r="D761" s="144"/>
      <c r="E761" s="246"/>
      <c r="F761" s="246"/>
    </row>
    <row r="762">
      <c r="D762" s="144"/>
      <c r="E762" s="246"/>
      <c r="F762" s="246"/>
    </row>
    <row r="763">
      <c r="D763" s="144"/>
      <c r="E763" s="246"/>
      <c r="F763" s="246"/>
    </row>
    <row r="764">
      <c r="D764" s="144"/>
      <c r="E764" s="246"/>
      <c r="F764" s="246"/>
    </row>
    <row r="765">
      <c r="D765" s="144"/>
      <c r="E765" s="246"/>
      <c r="F765" s="246"/>
    </row>
    <row r="766">
      <c r="D766" s="144"/>
      <c r="E766" s="246"/>
      <c r="F766" s="246"/>
    </row>
    <row r="767">
      <c r="D767" s="144"/>
      <c r="E767" s="246"/>
      <c r="F767" s="246"/>
    </row>
    <row r="768">
      <c r="D768" s="144"/>
      <c r="E768" s="246"/>
      <c r="F768" s="246"/>
    </row>
    <row r="769">
      <c r="D769" s="144"/>
      <c r="E769" s="246"/>
      <c r="F769" s="246"/>
    </row>
    <row r="770">
      <c r="D770" s="144"/>
      <c r="E770" s="246"/>
      <c r="F770" s="246"/>
    </row>
    <row r="771">
      <c r="D771" s="144"/>
      <c r="E771" s="246"/>
      <c r="F771" s="246"/>
    </row>
    <row r="772">
      <c r="D772" s="144"/>
      <c r="E772" s="246"/>
      <c r="F772" s="246"/>
    </row>
    <row r="773">
      <c r="D773" s="144"/>
      <c r="E773" s="246"/>
      <c r="F773" s="246"/>
    </row>
    <row r="774">
      <c r="D774" s="144"/>
      <c r="E774" s="246"/>
      <c r="F774" s="246"/>
    </row>
    <row r="775">
      <c r="D775" s="144"/>
      <c r="E775" s="246"/>
      <c r="F775" s="246"/>
    </row>
    <row r="776">
      <c r="D776" s="144"/>
      <c r="E776" s="246"/>
      <c r="F776" s="246"/>
    </row>
    <row r="777">
      <c r="D777" s="144"/>
      <c r="E777" s="246"/>
      <c r="F777" s="246"/>
    </row>
    <row r="778">
      <c r="D778" s="144"/>
      <c r="E778" s="246"/>
      <c r="F778" s="246"/>
    </row>
    <row r="779">
      <c r="D779" s="144"/>
      <c r="E779" s="246"/>
      <c r="F779" s="246"/>
    </row>
    <row r="780">
      <c r="D780" s="144"/>
      <c r="E780" s="246"/>
      <c r="F780" s="246"/>
    </row>
    <row r="781">
      <c r="D781" s="144"/>
      <c r="E781" s="246"/>
      <c r="F781" s="246"/>
    </row>
    <row r="782">
      <c r="D782" s="144"/>
      <c r="E782" s="246"/>
      <c r="F782" s="246"/>
    </row>
    <row r="783">
      <c r="D783" s="144"/>
      <c r="E783" s="246"/>
      <c r="F783" s="246"/>
    </row>
    <row r="784">
      <c r="D784" s="144"/>
      <c r="E784" s="246"/>
      <c r="F784" s="246"/>
    </row>
    <row r="785">
      <c r="D785" s="144"/>
      <c r="E785" s="246"/>
      <c r="F785" s="246"/>
    </row>
    <row r="786">
      <c r="D786" s="144"/>
      <c r="E786" s="246"/>
      <c r="F786" s="246"/>
    </row>
    <row r="787">
      <c r="D787" s="144"/>
      <c r="E787" s="246"/>
      <c r="F787" s="246"/>
    </row>
    <row r="788">
      <c r="D788" s="144"/>
      <c r="E788" s="246"/>
      <c r="F788" s="246"/>
    </row>
    <row r="789">
      <c r="D789" s="144"/>
      <c r="E789" s="246"/>
      <c r="F789" s="246"/>
    </row>
    <row r="790">
      <c r="D790" s="144"/>
      <c r="E790" s="246"/>
      <c r="F790" s="246"/>
    </row>
    <row r="791">
      <c r="D791" s="144"/>
      <c r="E791" s="246"/>
      <c r="F791" s="246"/>
    </row>
    <row r="792">
      <c r="D792" s="144"/>
      <c r="E792" s="246"/>
      <c r="F792" s="246"/>
    </row>
    <row r="793">
      <c r="D793" s="144"/>
      <c r="E793" s="246"/>
      <c r="F793" s="246"/>
    </row>
    <row r="794">
      <c r="D794" s="144"/>
      <c r="E794" s="246"/>
      <c r="F794" s="246"/>
    </row>
    <row r="795">
      <c r="D795" s="144"/>
      <c r="E795" s="246"/>
      <c r="F795" s="246"/>
    </row>
    <row r="796">
      <c r="D796" s="144"/>
      <c r="E796" s="246"/>
      <c r="F796" s="246"/>
    </row>
    <row r="797">
      <c r="D797" s="144"/>
      <c r="E797" s="246"/>
      <c r="F797" s="246"/>
    </row>
    <row r="798">
      <c r="D798" s="144"/>
      <c r="E798" s="246"/>
      <c r="F798" s="246"/>
    </row>
    <row r="799">
      <c r="D799" s="144"/>
      <c r="E799" s="246"/>
      <c r="F799" s="246"/>
    </row>
    <row r="800">
      <c r="D800" s="144"/>
      <c r="E800" s="246"/>
      <c r="F800" s="246"/>
    </row>
    <row r="801">
      <c r="D801" s="144"/>
      <c r="E801" s="246"/>
      <c r="F801" s="246"/>
    </row>
    <row r="802">
      <c r="D802" s="144"/>
      <c r="E802" s="246"/>
      <c r="F802" s="246"/>
    </row>
    <row r="803">
      <c r="D803" s="144"/>
      <c r="E803" s="246"/>
      <c r="F803" s="246"/>
    </row>
    <row r="804">
      <c r="D804" s="144"/>
      <c r="E804" s="246"/>
      <c r="F804" s="246"/>
    </row>
    <row r="805">
      <c r="D805" s="144"/>
      <c r="E805" s="246"/>
      <c r="F805" s="246"/>
    </row>
    <row r="806">
      <c r="D806" s="144"/>
      <c r="E806" s="246"/>
      <c r="F806" s="246"/>
    </row>
    <row r="807">
      <c r="D807" s="144"/>
      <c r="E807" s="246"/>
      <c r="F807" s="246"/>
    </row>
    <row r="808">
      <c r="D808" s="144"/>
      <c r="E808" s="246"/>
      <c r="F808" s="246"/>
    </row>
    <row r="809">
      <c r="D809" s="144"/>
      <c r="E809" s="246"/>
      <c r="F809" s="246"/>
    </row>
    <row r="810">
      <c r="D810" s="144"/>
      <c r="E810" s="246"/>
      <c r="F810" s="246"/>
    </row>
    <row r="811">
      <c r="D811" s="144"/>
      <c r="E811" s="246"/>
      <c r="F811" s="246"/>
    </row>
    <row r="812">
      <c r="D812" s="144"/>
      <c r="E812" s="246"/>
      <c r="F812" s="246"/>
    </row>
    <row r="813">
      <c r="D813" s="144"/>
      <c r="E813" s="246"/>
      <c r="F813" s="246"/>
    </row>
    <row r="814">
      <c r="D814" s="144"/>
      <c r="E814" s="246"/>
      <c r="F814" s="246"/>
    </row>
    <row r="815">
      <c r="D815" s="144"/>
      <c r="E815" s="246"/>
      <c r="F815" s="246"/>
    </row>
    <row r="816">
      <c r="D816" s="144"/>
      <c r="E816" s="246"/>
      <c r="F816" s="246"/>
    </row>
    <row r="817">
      <c r="D817" s="144"/>
      <c r="E817" s="246"/>
      <c r="F817" s="246"/>
    </row>
    <row r="818">
      <c r="D818" s="144"/>
      <c r="E818" s="246"/>
      <c r="F818" s="246"/>
    </row>
    <row r="819">
      <c r="D819" s="144"/>
      <c r="E819" s="246"/>
      <c r="F819" s="246"/>
    </row>
    <row r="820">
      <c r="D820" s="144"/>
      <c r="E820" s="246"/>
      <c r="F820" s="246"/>
    </row>
    <row r="821">
      <c r="D821" s="144"/>
      <c r="E821" s="246"/>
      <c r="F821" s="246"/>
    </row>
    <row r="822">
      <c r="D822" s="144"/>
      <c r="E822" s="246"/>
      <c r="F822" s="246"/>
    </row>
    <row r="823">
      <c r="D823" s="144"/>
      <c r="E823" s="246"/>
      <c r="F823" s="246"/>
    </row>
    <row r="824">
      <c r="D824" s="144"/>
      <c r="E824" s="246"/>
      <c r="F824" s="246"/>
    </row>
    <row r="825">
      <c r="D825" s="144"/>
      <c r="E825" s="246"/>
      <c r="F825" s="246"/>
    </row>
    <row r="826">
      <c r="D826" s="144"/>
      <c r="E826" s="246"/>
      <c r="F826" s="246"/>
    </row>
    <row r="827">
      <c r="D827" s="144"/>
      <c r="E827" s="246"/>
      <c r="F827" s="246"/>
    </row>
    <row r="828">
      <c r="D828" s="144"/>
      <c r="E828" s="246"/>
      <c r="F828" s="246"/>
    </row>
    <row r="829">
      <c r="D829" s="144"/>
      <c r="E829" s="246"/>
      <c r="F829" s="246"/>
    </row>
    <row r="830">
      <c r="D830" s="144"/>
      <c r="E830" s="246"/>
      <c r="F830" s="246"/>
    </row>
    <row r="831">
      <c r="D831" s="144"/>
      <c r="E831" s="246"/>
      <c r="F831" s="246"/>
    </row>
    <row r="832">
      <c r="D832" s="144"/>
      <c r="E832" s="246"/>
      <c r="F832" s="246"/>
    </row>
    <row r="833">
      <c r="D833" s="144"/>
      <c r="E833" s="246"/>
      <c r="F833" s="246"/>
    </row>
    <row r="834">
      <c r="D834" s="144"/>
      <c r="E834" s="246"/>
      <c r="F834" s="246"/>
    </row>
    <row r="835">
      <c r="D835" s="144"/>
      <c r="E835" s="246"/>
      <c r="F835" s="246"/>
    </row>
    <row r="836">
      <c r="D836" s="144"/>
      <c r="E836" s="246"/>
      <c r="F836" s="246"/>
    </row>
    <row r="837">
      <c r="D837" s="144"/>
      <c r="E837" s="246"/>
      <c r="F837" s="246"/>
    </row>
    <row r="838">
      <c r="D838" s="144"/>
      <c r="E838" s="246"/>
      <c r="F838" s="246"/>
    </row>
    <row r="839">
      <c r="D839" s="144"/>
      <c r="E839" s="246"/>
      <c r="F839" s="246"/>
    </row>
    <row r="840">
      <c r="D840" s="144"/>
      <c r="E840" s="246"/>
      <c r="F840" s="246"/>
    </row>
    <row r="841">
      <c r="D841" s="144"/>
      <c r="E841" s="246"/>
      <c r="F841" s="246"/>
    </row>
    <row r="842">
      <c r="D842" s="144"/>
      <c r="E842" s="246"/>
      <c r="F842" s="246"/>
    </row>
    <row r="843">
      <c r="D843" s="144"/>
      <c r="E843" s="246"/>
      <c r="F843" s="246"/>
    </row>
    <row r="844">
      <c r="D844" s="144"/>
      <c r="E844" s="246"/>
      <c r="F844" s="246"/>
    </row>
    <row r="845">
      <c r="D845" s="144"/>
      <c r="E845" s="246"/>
      <c r="F845" s="246"/>
    </row>
    <row r="846">
      <c r="D846" s="144"/>
      <c r="E846" s="246"/>
      <c r="F846" s="246"/>
    </row>
    <row r="847">
      <c r="D847" s="144"/>
      <c r="E847" s="246"/>
      <c r="F847" s="246"/>
    </row>
    <row r="848">
      <c r="D848" s="144"/>
      <c r="E848" s="246"/>
      <c r="F848" s="246"/>
    </row>
    <row r="849">
      <c r="D849" s="144"/>
      <c r="E849" s="246"/>
      <c r="F849" s="246"/>
    </row>
    <row r="850">
      <c r="D850" s="144"/>
      <c r="E850" s="246"/>
      <c r="F850" s="246"/>
    </row>
    <row r="851">
      <c r="D851" s="144"/>
      <c r="E851" s="246"/>
      <c r="F851" s="246"/>
    </row>
    <row r="852">
      <c r="D852" s="144"/>
      <c r="E852" s="246"/>
      <c r="F852" s="246"/>
    </row>
    <row r="853">
      <c r="D853" s="144"/>
      <c r="E853" s="246"/>
      <c r="F853" s="246"/>
    </row>
    <row r="854">
      <c r="D854" s="144"/>
      <c r="E854" s="246"/>
      <c r="F854" s="246"/>
    </row>
    <row r="855">
      <c r="D855" s="144"/>
      <c r="E855" s="246"/>
      <c r="F855" s="246"/>
    </row>
    <row r="856">
      <c r="D856" s="144"/>
      <c r="E856" s="246"/>
      <c r="F856" s="246"/>
    </row>
    <row r="857">
      <c r="D857" s="144"/>
      <c r="E857" s="246"/>
      <c r="F857" s="246"/>
    </row>
    <row r="858">
      <c r="D858" s="144"/>
      <c r="E858" s="246"/>
      <c r="F858" s="246"/>
    </row>
    <row r="859">
      <c r="D859" s="144"/>
      <c r="E859" s="246"/>
      <c r="F859" s="246"/>
    </row>
    <row r="860">
      <c r="D860" s="144"/>
      <c r="E860" s="246"/>
      <c r="F860" s="246"/>
    </row>
    <row r="861">
      <c r="D861" s="144"/>
      <c r="E861" s="246"/>
      <c r="F861" s="246"/>
    </row>
    <row r="862">
      <c r="D862" s="144"/>
      <c r="E862" s="246"/>
      <c r="F862" s="246"/>
    </row>
    <row r="863">
      <c r="D863" s="144"/>
      <c r="E863" s="246"/>
      <c r="F863" s="246"/>
    </row>
    <row r="864">
      <c r="D864" s="144"/>
      <c r="E864" s="246"/>
      <c r="F864" s="246"/>
    </row>
    <row r="865">
      <c r="D865" s="144"/>
      <c r="E865" s="246"/>
      <c r="F865" s="246"/>
    </row>
    <row r="866">
      <c r="D866" s="144"/>
      <c r="E866" s="246"/>
      <c r="F866" s="246"/>
    </row>
    <row r="867">
      <c r="D867" s="144"/>
      <c r="E867" s="246"/>
      <c r="F867" s="246"/>
    </row>
    <row r="868">
      <c r="D868" s="144"/>
      <c r="E868" s="246"/>
      <c r="F868" s="246"/>
    </row>
    <row r="869">
      <c r="D869" s="144"/>
      <c r="E869" s="246"/>
      <c r="F869" s="246"/>
    </row>
    <row r="870">
      <c r="D870" s="144"/>
      <c r="E870" s="246"/>
      <c r="F870" s="246"/>
    </row>
    <row r="871">
      <c r="D871" s="144"/>
      <c r="E871" s="246"/>
      <c r="F871" s="246"/>
    </row>
    <row r="872">
      <c r="D872" s="144"/>
      <c r="E872" s="246"/>
      <c r="F872" s="246"/>
    </row>
    <row r="873">
      <c r="D873" s="144"/>
      <c r="E873" s="246"/>
      <c r="F873" s="246"/>
    </row>
    <row r="874">
      <c r="D874" s="144"/>
      <c r="E874" s="246"/>
      <c r="F874" s="246"/>
    </row>
    <row r="875">
      <c r="D875" s="144"/>
      <c r="E875" s="246"/>
      <c r="F875" s="246"/>
    </row>
    <row r="876">
      <c r="D876" s="144"/>
      <c r="E876" s="246"/>
      <c r="F876" s="246"/>
    </row>
    <row r="877">
      <c r="D877" s="144"/>
      <c r="E877" s="246"/>
      <c r="F877" s="246"/>
    </row>
    <row r="878">
      <c r="D878" s="144"/>
      <c r="E878" s="246"/>
      <c r="F878" s="246"/>
    </row>
    <row r="879">
      <c r="D879" s="144"/>
      <c r="E879" s="246"/>
      <c r="F879" s="246"/>
    </row>
    <row r="880">
      <c r="D880" s="144"/>
      <c r="E880" s="246"/>
      <c r="F880" s="246"/>
    </row>
    <row r="881">
      <c r="D881" s="144"/>
      <c r="E881" s="246"/>
      <c r="F881" s="246"/>
    </row>
    <row r="882">
      <c r="D882" s="144"/>
      <c r="E882" s="246"/>
      <c r="F882" s="246"/>
    </row>
    <row r="883">
      <c r="D883" s="144"/>
      <c r="E883" s="246"/>
      <c r="F883" s="246"/>
    </row>
    <row r="884">
      <c r="D884" s="144"/>
      <c r="E884" s="246"/>
      <c r="F884" s="246"/>
    </row>
    <row r="885">
      <c r="D885" s="144"/>
      <c r="E885" s="246"/>
      <c r="F885" s="246"/>
    </row>
    <row r="886">
      <c r="D886" s="144"/>
      <c r="E886" s="246"/>
      <c r="F886" s="246"/>
    </row>
    <row r="887">
      <c r="D887" s="144"/>
      <c r="E887" s="246"/>
      <c r="F887" s="246"/>
    </row>
    <row r="888">
      <c r="D888" s="144"/>
      <c r="E888" s="246"/>
      <c r="F888" s="246"/>
    </row>
    <row r="889">
      <c r="D889" s="144"/>
      <c r="E889" s="246"/>
      <c r="F889" s="246"/>
    </row>
    <row r="890">
      <c r="D890" s="144"/>
      <c r="E890" s="246"/>
      <c r="F890" s="246"/>
    </row>
    <row r="891">
      <c r="D891" s="144"/>
      <c r="E891" s="246"/>
      <c r="F891" s="246"/>
    </row>
    <row r="892">
      <c r="D892" s="144"/>
      <c r="E892" s="246"/>
      <c r="F892" s="246"/>
    </row>
    <row r="893">
      <c r="D893" s="144"/>
      <c r="E893" s="246"/>
      <c r="F893" s="246"/>
    </row>
    <row r="894">
      <c r="D894" s="144"/>
      <c r="E894" s="246"/>
      <c r="F894" s="246"/>
    </row>
    <row r="895">
      <c r="D895" s="144"/>
      <c r="E895" s="246"/>
      <c r="F895" s="246"/>
    </row>
    <row r="896">
      <c r="D896" s="144"/>
      <c r="E896" s="246"/>
      <c r="F896" s="246"/>
    </row>
    <row r="897">
      <c r="D897" s="144"/>
      <c r="E897" s="246"/>
      <c r="F897" s="246"/>
    </row>
    <row r="898">
      <c r="D898" s="144"/>
      <c r="E898" s="246"/>
      <c r="F898" s="246"/>
    </row>
    <row r="899">
      <c r="D899" s="144"/>
      <c r="E899" s="246"/>
      <c r="F899" s="246"/>
    </row>
    <row r="900">
      <c r="D900" s="144"/>
      <c r="E900" s="246"/>
      <c r="F900" s="246"/>
    </row>
    <row r="901">
      <c r="D901" s="144"/>
      <c r="E901" s="246"/>
      <c r="F901" s="246"/>
    </row>
    <row r="902">
      <c r="D902" s="144"/>
      <c r="E902" s="246"/>
      <c r="F902" s="246"/>
    </row>
    <row r="903">
      <c r="D903" s="144"/>
      <c r="E903" s="246"/>
      <c r="F903" s="246"/>
    </row>
    <row r="904">
      <c r="D904" s="144"/>
      <c r="E904" s="246"/>
      <c r="F904" s="246"/>
    </row>
    <row r="905">
      <c r="D905" s="144"/>
      <c r="E905" s="246"/>
      <c r="F905" s="246"/>
    </row>
    <row r="906">
      <c r="D906" s="144"/>
      <c r="E906" s="246"/>
      <c r="F906" s="246"/>
    </row>
    <row r="907">
      <c r="D907" s="144"/>
      <c r="E907" s="246"/>
      <c r="F907" s="246"/>
    </row>
    <row r="908">
      <c r="D908" s="144"/>
      <c r="E908" s="246"/>
      <c r="F908" s="246"/>
    </row>
    <row r="909">
      <c r="D909" s="144"/>
      <c r="E909" s="246"/>
      <c r="F909" s="246"/>
    </row>
    <row r="910">
      <c r="D910" s="144"/>
      <c r="E910" s="246"/>
      <c r="F910" s="246"/>
    </row>
    <row r="911">
      <c r="D911" s="144"/>
      <c r="E911" s="246"/>
      <c r="F911" s="246"/>
    </row>
    <row r="912">
      <c r="D912" s="144"/>
      <c r="E912" s="246"/>
      <c r="F912" s="246"/>
    </row>
    <row r="913">
      <c r="D913" s="144"/>
      <c r="E913" s="246"/>
      <c r="F913" s="246"/>
    </row>
    <row r="914">
      <c r="D914" s="144"/>
      <c r="E914" s="246"/>
      <c r="F914" s="246"/>
    </row>
    <row r="915">
      <c r="D915" s="144"/>
      <c r="E915" s="246"/>
      <c r="F915" s="246"/>
    </row>
    <row r="916">
      <c r="D916" s="144"/>
      <c r="E916" s="246"/>
      <c r="F916" s="246"/>
    </row>
    <row r="917">
      <c r="D917" s="144"/>
      <c r="E917" s="246"/>
      <c r="F917" s="246"/>
    </row>
    <row r="918">
      <c r="D918" s="144"/>
      <c r="E918" s="246"/>
      <c r="F918" s="246"/>
    </row>
    <row r="919">
      <c r="D919" s="144"/>
      <c r="E919" s="246"/>
      <c r="F919" s="246"/>
    </row>
    <row r="920">
      <c r="D920" s="144"/>
      <c r="E920" s="246"/>
      <c r="F920" s="246"/>
    </row>
    <row r="921">
      <c r="D921" s="144"/>
      <c r="E921" s="246"/>
      <c r="F921" s="246"/>
    </row>
    <row r="922">
      <c r="D922" s="144"/>
      <c r="E922" s="246"/>
      <c r="F922" s="246"/>
    </row>
    <row r="923">
      <c r="D923" s="144"/>
      <c r="E923" s="246"/>
      <c r="F923" s="246"/>
    </row>
    <row r="924">
      <c r="D924" s="144"/>
      <c r="E924" s="246"/>
      <c r="F924" s="246"/>
    </row>
    <row r="925">
      <c r="D925" s="144"/>
      <c r="E925" s="246"/>
      <c r="F925" s="246"/>
    </row>
    <row r="926">
      <c r="D926" s="144"/>
      <c r="E926" s="246"/>
      <c r="F926" s="246"/>
    </row>
    <row r="927">
      <c r="D927" s="144"/>
      <c r="E927" s="246"/>
      <c r="F927" s="246"/>
    </row>
    <row r="928">
      <c r="D928" s="144"/>
      <c r="E928" s="246"/>
      <c r="F928" s="246"/>
    </row>
    <row r="929">
      <c r="D929" s="144"/>
      <c r="E929" s="246"/>
      <c r="F929" s="246"/>
    </row>
    <row r="930">
      <c r="D930" s="144"/>
      <c r="E930" s="246"/>
      <c r="F930" s="246"/>
    </row>
    <row r="931">
      <c r="D931" s="144"/>
      <c r="E931" s="246"/>
      <c r="F931" s="246"/>
    </row>
    <row r="932">
      <c r="D932" s="144"/>
      <c r="E932" s="246"/>
      <c r="F932" s="246"/>
    </row>
    <row r="933">
      <c r="D933" s="144"/>
      <c r="E933" s="246"/>
      <c r="F933" s="246"/>
    </row>
    <row r="934">
      <c r="D934" s="144"/>
      <c r="E934" s="246"/>
      <c r="F934" s="246"/>
    </row>
    <row r="935">
      <c r="D935" s="144"/>
      <c r="E935" s="246"/>
      <c r="F935" s="246"/>
    </row>
    <row r="936">
      <c r="D936" s="144"/>
      <c r="E936" s="246"/>
      <c r="F936" s="246"/>
    </row>
    <row r="937">
      <c r="D937" s="144"/>
      <c r="E937" s="246"/>
      <c r="F937" s="246"/>
    </row>
    <row r="938">
      <c r="D938" s="144"/>
      <c r="E938" s="246"/>
      <c r="F938" s="246"/>
    </row>
    <row r="939">
      <c r="D939" s="144"/>
      <c r="E939" s="246"/>
      <c r="F939" s="246"/>
    </row>
    <row r="940">
      <c r="D940" s="144"/>
      <c r="E940" s="246"/>
      <c r="F940" s="246"/>
    </row>
    <row r="941">
      <c r="D941" s="144"/>
      <c r="E941" s="246"/>
      <c r="F941" s="246"/>
    </row>
    <row r="942">
      <c r="D942" s="144"/>
      <c r="E942" s="246"/>
      <c r="F942" s="246"/>
    </row>
    <row r="943">
      <c r="D943" s="144"/>
      <c r="E943" s="246"/>
      <c r="F943" s="246"/>
    </row>
    <row r="944">
      <c r="D944" s="144"/>
      <c r="E944" s="246"/>
      <c r="F944" s="246"/>
    </row>
    <row r="945">
      <c r="D945" s="144"/>
      <c r="E945" s="246"/>
      <c r="F945" s="246"/>
    </row>
    <row r="946">
      <c r="D946" s="144"/>
      <c r="E946" s="246"/>
      <c r="F946" s="246"/>
    </row>
    <row r="947">
      <c r="D947" s="144"/>
      <c r="E947" s="246"/>
      <c r="F947" s="246"/>
    </row>
    <row r="948">
      <c r="D948" s="144"/>
      <c r="E948" s="246"/>
      <c r="F948" s="246"/>
    </row>
    <row r="949">
      <c r="D949" s="144"/>
      <c r="E949" s="246"/>
      <c r="F949" s="246"/>
    </row>
    <row r="950">
      <c r="D950" s="144"/>
      <c r="E950" s="246"/>
      <c r="F950" s="246"/>
    </row>
    <row r="951">
      <c r="D951" s="144"/>
      <c r="E951" s="246"/>
      <c r="F951" s="246"/>
    </row>
    <row r="952">
      <c r="D952" s="144"/>
      <c r="E952" s="246"/>
      <c r="F952" s="246"/>
    </row>
    <row r="953">
      <c r="D953" s="144"/>
      <c r="E953" s="246"/>
      <c r="F953" s="246"/>
    </row>
    <row r="954">
      <c r="D954" s="144"/>
      <c r="E954" s="246"/>
      <c r="F954" s="246"/>
    </row>
    <row r="955">
      <c r="D955" s="144"/>
      <c r="E955" s="246"/>
      <c r="F955" s="246"/>
    </row>
    <row r="956">
      <c r="D956" s="144"/>
      <c r="E956" s="246"/>
      <c r="F956" s="246"/>
    </row>
    <row r="957">
      <c r="D957" s="144"/>
      <c r="E957" s="246"/>
      <c r="F957" s="246"/>
    </row>
    <row r="958">
      <c r="D958" s="144"/>
      <c r="E958" s="246"/>
      <c r="F958" s="246"/>
    </row>
    <row r="959">
      <c r="D959" s="144"/>
      <c r="E959" s="246"/>
      <c r="F959" s="246"/>
    </row>
    <row r="960">
      <c r="D960" s="144"/>
      <c r="E960" s="246"/>
      <c r="F960" s="246"/>
    </row>
    <row r="961">
      <c r="D961" s="144"/>
      <c r="E961" s="246"/>
      <c r="F961" s="246"/>
    </row>
    <row r="962">
      <c r="D962" s="144"/>
      <c r="E962" s="246"/>
      <c r="F962" s="246"/>
    </row>
    <row r="963">
      <c r="D963" s="144"/>
      <c r="E963" s="246"/>
      <c r="F963" s="246"/>
    </row>
    <row r="964">
      <c r="D964" s="144"/>
      <c r="E964" s="246"/>
      <c r="F964" s="246"/>
    </row>
    <row r="965">
      <c r="D965" s="144"/>
      <c r="E965" s="246"/>
      <c r="F965" s="246"/>
    </row>
    <row r="966">
      <c r="D966" s="144"/>
      <c r="E966" s="246"/>
      <c r="F966" s="246"/>
    </row>
    <row r="967">
      <c r="D967" s="144"/>
      <c r="E967" s="246"/>
      <c r="F967" s="246"/>
    </row>
    <row r="968">
      <c r="D968" s="144"/>
      <c r="E968" s="246"/>
      <c r="F968" s="246"/>
    </row>
    <row r="969">
      <c r="D969" s="144"/>
      <c r="E969" s="246"/>
      <c r="F969" s="246"/>
    </row>
    <row r="970">
      <c r="D970" s="144"/>
      <c r="E970" s="246"/>
      <c r="F970" s="246"/>
    </row>
    <row r="971">
      <c r="D971" s="144"/>
      <c r="E971" s="246"/>
      <c r="F971" s="246"/>
    </row>
    <row r="972">
      <c r="D972" s="144"/>
      <c r="E972" s="246"/>
      <c r="F972" s="246"/>
    </row>
    <row r="973">
      <c r="D973" s="144"/>
      <c r="E973" s="246"/>
      <c r="F973" s="246"/>
    </row>
    <row r="974">
      <c r="D974" s="144"/>
      <c r="E974" s="246"/>
      <c r="F974" s="246"/>
    </row>
    <row r="975">
      <c r="D975" s="144"/>
      <c r="E975" s="246"/>
      <c r="F975" s="246"/>
    </row>
    <row r="976">
      <c r="D976" s="144"/>
      <c r="E976" s="246"/>
      <c r="F976" s="246"/>
    </row>
    <row r="977">
      <c r="D977" s="144"/>
      <c r="E977" s="246"/>
      <c r="F977" s="246"/>
    </row>
    <row r="978">
      <c r="D978" s="144"/>
      <c r="E978" s="246"/>
      <c r="F978" s="246"/>
    </row>
    <row r="979">
      <c r="D979" s="144"/>
      <c r="E979" s="246"/>
      <c r="F979" s="246"/>
    </row>
    <row r="980">
      <c r="D980" s="144"/>
      <c r="E980" s="246"/>
      <c r="F980" s="246"/>
    </row>
    <row r="981">
      <c r="D981" s="144"/>
      <c r="E981" s="246"/>
      <c r="F981" s="246"/>
    </row>
    <row r="982">
      <c r="D982" s="144"/>
      <c r="E982" s="246"/>
      <c r="F982" s="246"/>
    </row>
    <row r="983">
      <c r="D983" s="144"/>
      <c r="E983" s="246"/>
      <c r="F983" s="246"/>
    </row>
    <row r="984">
      <c r="D984" s="144"/>
      <c r="E984" s="246"/>
      <c r="F984" s="246"/>
    </row>
    <row r="985">
      <c r="D985" s="144"/>
      <c r="E985" s="246"/>
      <c r="F985" s="246"/>
    </row>
    <row r="986">
      <c r="D986" s="144"/>
      <c r="E986" s="246"/>
      <c r="F986" s="246"/>
    </row>
    <row r="987">
      <c r="D987" s="144"/>
      <c r="E987" s="246"/>
      <c r="F987" s="246"/>
    </row>
    <row r="988">
      <c r="D988" s="144"/>
      <c r="E988" s="246"/>
      <c r="F988" s="246"/>
    </row>
    <row r="989">
      <c r="D989" s="144"/>
      <c r="E989" s="246"/>
      <c r="F989" s="246"/>
    </row>
    <row r="990">
      <c r="D990" s="144"/>
      <c r="E990" s="246"/>
      <c r="F990" s="246"/>
    </row>
    <row r="991">
      <c r="D991" s="144"/>
      <c r="E991" s="246"/>
      <c r="F991" s="246"/>
    </row>
    <row r="992">
      <c r="D992" s="144"/>
      <c r="E992" s="246"/>
      <c r="F992" s="246"/>
    </row>
    <row r="993">
      <c r="D993" s="144"/>
      <c r="E993" s="246"/>
      <c r="F993" s="246"/>
    </row>
    <row r="994">
      <c r="D994" s="144"/>
      <c r="E994" s="246"/>
      <c r="F994" s="246"/>
    </row>
    <row r="995">
      <c r="D995" s="144"/>
      <c r="E995" s="246"/>
      <c r="F995" s="246"/>
    </row>
    <row r="996">
      <c r="D996" s="144"/>
      <c r="E996" s="246"/>
      <c r="F996" s="246"/>
    </row>
    <row r="997">
      <c r="D997" s="144"/>
      <c r="E997" s="246"/>
      <c r="F997" s="246"/>
    </row>
    <row r="998">
      <c r="D998" s="144"/>
      <c r="E998" s="246"/>
      <c r="F998" s="246"/>
    </row>
    <row r="999">
      <c r="D999" s="144"/>
      <c r="E999" s="246"/>
      <c r="F999" s="246"/>
    </row>
  </sheetData>
  <autoFilter ref="$A$1:$F$31"/>
  <drawing r:id="rId1"/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</sheetPr>
  <sheetViews>
    <sheetView workbookViewId="0">
      <selection pane="topLeft" activeCell="A1"/>
    </sheetView>
  </sheetViews>
  <sheetFormatPr baseColWidth="8" defaultColWidth="15.13" defaultRowHeight="15"/>
  <sheetData>
    <row r="1">
      <c r="A1" s="247" t="s">
        <v>8</v>
      </c>
      <c r="B1" s="247" t="s">
        <v>9</v>
      </c>
      <c r="C1" s="247" t="s">
        <v>10</v>
      </c>
      <c r="D1" s="247" t="s">
        <v>11</v>
      </c>
      <c r="E1" s="247" t="s">
        <v>12</v>
      </c>
      <c r="F1" s="247" t="s">
        <v>13</v>
      </c>
      <c r="G1" s="247" t="s">
        <v>14</v>
      </c>
      <c r="H1" s="247" t="s">
        <v>15</v>
      </c>
    </row>
    <row r="2">
      <c r="A2" s="156">
        <f>VLOOKUP('Plan - NL'!I11,'2021 status'!$B$2:$F$30,5,FALSE)</f>
        <v>1</v>
      </c>
      <c r="B2" t="e">
        <f>VLOOKUP('Plan - NL'!J11,'2021 status'!$B$2:$F$30,5,FALSE)</f>
        <v>#N/A</v>
      </c>
      <c r="C2" s="156">
        <f>VLOOKUP('Plan - NL'!K11,'2021 status'!$B$2:$F$30,5,FALSE)</f>
        <v>1</v>
      </c>
      <c r="D2" s="156">
        <f>VLOOKUP('Plan - NL'!L11,'2021 status'!$B$2:$F$30,5,FALSE)</f>
        <v>1</v>
      </c>
      <c r="E2" s="156">
        <f>VLOOKUP('Plan - NL'!M11,'2021 status'!$B$2:$F$30,5,FALSE)</f>
        <v>1</v>
      </c>
      <c r="F2" s="156">
        <f>VLOOKUP('Plan - NL'!N11,'2021 status'!$B$2:$F$30,5,FALSE)</f>
        <v>2</v>
      </c>
      <c r="G2" s="156">
        <f>VLOOKUP('Plan - NL'!O11,'2021 status'!$B$2:$F$30,5,FALSE)</f>
        <v>2</v>
      </c>
      <c r="H2" t="e">
        <f>VLOOKUP('Plan - NL'!P11,'2021 status'!$B$2:$F$30,5,FALSE)</f>
        <v>#N/A</v>
      </c>
    </row>
    <row r="3">
      <c r="A3" t="e">
        <f>VLOOKUP(#REF!,'2021 status'!$B$2:$F$30,5,FALSE)</f>
        <v>#REF!</v>
      </c>
      <c r="B3" t="e">
        <f>VLOOKUP(#REF!,'2021 status'!$B$2:$F$30,5,FALSE)</f>
        <v>#REF!</v>
      </c>
      <c r="C3" t="e">
        <f>VLOOKUP(#REF!,'2021 status'!$B$2:$F$30,5,FALSE)</f>
        <v>#REF!</v>
      </c>
      <c r="D3" t="e">
        <f>VLOOKUP(#REF!,'2021 status'!$B$2:$F$30,5,FALSE)</f>
        <v>#REF!</v>
      </c>
      <c r="E3" t="e">
        <f>VLOOKUP(#REF!,'2021 status'!$B$2:$F$30,5,FALSE)</f>
        <v>#REF!</v>
      </c>
      <c r="F3" t="e">
        <f>VLOOKUP(#REF!,'2021 status'!$B$2:$F$30,5,FALSE)</f>
        <v>#REF!</v>
      </c>
      <c r="G3" t="e">
        <f>VLOOKUP(#REF!,'2021 status'!$B$2:$F$30,5,FALSE)</f>
        <v>#REF!</v>
      </c>
      <c r="H3" t="e">
        <f>VLOOKUP(#REF!,'2021 status'!$B$2:$F$30,5,FALSE)</f>
        <v>#REF!</v>
      </c>
    </row>
    <row r="4">
      <c r="A4" t="e">
        <f>VLOOKUP(#REF!,'2021 status'!$B$2:$F$30,5,FALSE)</f>
        <v>#REF!</v>
      </c>
      <c r="B4" t="e">
        <f>VLOOKUP(#REF!,'2021 status'!$B$2:$F$30,5,FALSE)</f>
        <v>#REF!</v>
      </c>
      <c r="C4" t="e">
        <f>VLOOKUP(#REF!,'2021 status'!$B$2:$F$30,5,FALSE)</f>
        <v>#REF!</v>
      </c>
      <c r="D4" t="e">
        <f>VLOOKUP(#REF!,'2021 status'!$B$2:$F$30,5,FALSE)</f>
        <v>#REF!</v>
      </c>
      <c r="E4" t="e">
        <f>VLOOKUP(#REF!,'2021 status'!$B$2:$F$30,5,FALSE)</f>
        <v>#REF!</v>
      </c>
      <c r="F4" t="e">
        <f>VLOOKUP(#REF!,'2021 status'!$B$2:$F$30,5,FALSE)</f>
        <v>#REF!</v>
      </c>
      <c r="G4" t="e">
        <f>VLOOKUP(#REF!,'2021 status'!$B$2:$F$30,5,FALSE)</f>
        <v>#REF!</v>
      </c>
      <c r="H4" t="e">
        <f>VLOOKUP(#REF!,'2021 status'!$B$2:$F$30,5,FALSE)</f>
        <v>#REF!</v>
      </c>
    </row>
    <row r="5">
      <c r="A5" t="e">
        <f>VLOOKUP(#REF!,'2021 status'!$B$2:$F$30,5,FALSE)</f>
        <v>#REF!</v>
      </c>
      <c r="B5" t="e">
        <f>VLOOKUP(#REF!,'2021 status'!$B$2:$F$30,5,FALSE)</f>
        <v>#REF!</v>
      </c>
      <c r="C5" t="e">
        <f>VLOOKUP(#REF!,'2021 status'!$B$2:$F$30,5,FALSE)</f>
        <v>#REF!</v>
      </c>
      <c r="D5" t="e">
        <f>VLOOKUP(#REF!,'2021 status'!$B$2:$F$30,5,FALSE)</f>
        <v>#REF!</v>
      </c>
      <c r="E5" t="e">
        <f>VLOOKUP(#REF!,'2021 status'!$B$2:$F$30,5,FALSE)</f>
        <v>#REF!</v>
      </c>
      <c r="F5" t="e">
        <f>VLOOKUP(#REF!,'2021 status'!$B$2:$F$30,5,FALSE)</f>
        <v>#REF!</v>
      </c>
      <c r="G5" t="e">
        <f>VLOOKUP(#REF!,'2021 status'!$B$2:$F$30,5,FALSE)</f>
        <v>#REF!</v>
      </c>
      <c r="H5" t="e">
        <f>VLOOKUP(#REF!,'2021 status'!$B$2:$F$30,5,FALSE)</f>
        <v>#REF!</v>
      </c>
    </row>
    <row r="6">
      <c r="A6" s="156">
        <f>VLOOKUP('Plan - NL'!I12,'2021 status'!$B$2:$F$30,5,FALSE)</f>
        <v>1</v>
      </c>
      <c r="B6" s="156">
        <f>VLOOKUP('Plan - NL'!J12,'2021 status'!$B$2:$F$30,5,FALSE)</f>
        <v>3</v>
      </c>
      <c r="C6" s="156">
        <f>VLOOKUP('Plan - NL'!K12,'2021 status'!$B$2:$F$30,5,FALSE)</f>
        <v>2</v>
      </c>
      <c r="D6" t="e">
        <f>VLOOKUP('Plan - NL'!L12,'2021 status'!$B$2:$F$30,5,FALSE)</f>
        <v>#N/A</v>
      </c>
      <c r="E6" t="e">
        <f>VLOOKUP('Plan - NL'!M12,'2021 status'!$B$2:$F$30,5,FALSE)</f>
        <v>#N/A</v>
      </c>
      <c r="F6" s="156">
        <f>VLOOKUP('Plan - NL'!N12,'2021 status'!$B$2:$F$30,5,FALSE)</f>
        <v>1</v>
      </c>
      <c r="G6" t="e">
        <f>VLOOKUP('Plan - NL'!O12,'2021 status'!$B$2:$F$30,5,FALSE)</f>
        <v>#N/A</v>
      </c>
      <c r="H6" t="e">
        <f>VLOOKUP('Plan - NL'!P12,'2021 status'!$B$2:$F$30,5,FALSE)</f>
        <v>#N/A</v>
      </c>
    </row>
    <row r="7">
      <c r="A7" t="e">
        <f>VLOOKUP(#REF!,'2021 status'!$B$2:$F$30,5,FALSE)</f>
        <v>#REF!</v>
      </c>
      <c r="B7" t="e">
        <f>VLOOKUP(#REF!,'2021 status'!$B$2:$F$30,5,FALSE)</f>
        <v>#REF!</v>
      </c>
      <c r="C7" t="e">
        <f>VLOOKUP(#REF!,'2021 status'!$B$2:$F$30,5,FALSE)</f>
        <v>#REF!</v>
      </c>
      <c r="D7" t="e">
        <f>VLOOKUP(#REF!,'2021 status'!$B$2:$F$30,5,FALSE)</f>
        <v>#REF!</v>
      </c>
      <c r="E7" t="e">
        <f>VLOOKUP(#REF!,'2021 status'!$B$2:$F$30,5,FALSE)</f>
        <v>#REF!</v>
      </c>
      <c r="F7" t="e">
        <f>VLOOKUP(#REF!,'2021 status'!$B$2:$F$30,5,FALSE)</f>
        <v>#REF!</v>
      </c>
      <c r="G7" t="e">
        <f>VLOOKUP(#REF!,'2021 status'!$B$2:$F$30,5,FALSE)</f>
        <v>#REF!</v>
      </c>
      <c r="H7" t="e">
        <f>VLOOKUP(#REF!,'2021 status'!$B$2:$F$30,5,FALSE)</f>
        <v>#REF!</v>
      </c>
    </row>
    <row r="8">
      <c r="A8" t="e">
        <f>VLOOKUP(#REF!,'2021 status'!$B$2:$F$30,5,FALSE)</f>
        <v>#REF!</v>
      </c>
      <c r="B8" t="e">
        <f>VLOOKUP(#REF!,'2021 status'!$B$2:$F$30,5,FALSE)</f>
        <v>#REF!</v>
      </c>
      <c r="C8" t="e">
        <f>VLOOKUP(#REF!,'2021 status'!$B$2:$F$30,5,FALSE)</f>
        <v>#REF!</v>
      </c>
      <c r="D8" t="e">
        <f>VLOOKUP(#REF!,'2021 status'!$B$2:$F$30,5,FALSE)</f>
        <v>#REF!</v>
      </c>
      <c r="E8" t="e">
        <f>VLOOKUP(#REF!,'2021 status'!$B$2:$F$30,5,FALSE)</f>
        <v>#REF!</v>
      </c>
      <c r="F8" t="e">
        <f>VLOOKUP(#REF!,'2021 status'!$B$2:$F$30,5,FALSE)</f>
        <v>#REF!</v>
      </c>
      <c r="G8" t="e">
        <f>VLOOKUP(#REF!,'2021 status'!$B$2:$F$30,5,FALSE)</f>
        <v>#REF!</v>
      </c>
      <c r="H8" t="e">
        <f>VLOOKUP(#REF!,'2021 status'!$B$2:$F$30,5,FALSE)</f>
        <v>#REF!</v>
      </c>
    </row>
    <row r="9">
      <c r="A9" t="e">
        <f>VLOOKUP(#REF!,'2021 status'!$B$2:$F$30,5,FALSE)</f>
        <v>#REF!</v>
      </c>
      <c r="B9" t="e">
        <f>VLOOKUP(#REF!,'2021 status'!$B$2:$F$30,5,FALSE)</f>
        <v>#REF!</v>
      </c>
      <c r="C9" t="e">
        <f>VLOOKUP(#REF!,'2021 status'!$B$2:$F$30,5,FALSE)</f>
        <v>#REF!</v>
      </c>
      <c r="D9" t="e">
        <f>VLOOKUP(#REF!,'2021 status'!$B$2:$F$30,5,FALSE)</f>
        <v>#REF!</v>
      </c>
      <c r="E9" t="e">
        <f>VLOOKUP(#REF!,'2021 status'!$B$2:$F$30,5,FALSE)</f>
        <v>#REF!</v>
      </c>
      <c r="F9" t="e">
        <f>VLOOKUP(#REF!,'2021 status'!$B$2:$F$30,5,FALSE)</f>
        <v>#REF!</v>
      </c>
      <c r="G9" t="e">
        <f>VLOOKUP(#REF!,'2021 status'!$B$2:$F$30,5,FALSE)</f>
        <v>#REF!</v>
      </c>
      <c r="H9" t="e">
        <f>VLOOKUP(#REF!,'2021 status'!$B$2:$F$30,5,FALSE)</f>
        <v>#REF!</v>
      </c>
    </row>
    <row r="10">
      <c r="A10" t="e">
        <f>VLOOKUP(#REF!,'2021 status'!$B$2:$F$30,5,FALSE)</f>
        <v>#REF!</v>
      </c>
      <c r="B10" t="e">
        <f>VLOOKUP(#REF!,'2021 status'!$B$2:$F$30,5,FALSE)</f>
        <v>#REF!</v>
      </c>
      <c r="C10" t="e">
        <f>VLOOKUP(#REF!,'2021 status'!$B$2:$F$30,5,FALSE)</f>
        <v>#REF!</v>
      </c>
      <c r="D10" t="e">
        <f>VLOOKUP(#REF!,'2021 status'!$B$2:$F$30,5,FALSE)</f>
        <v>#REF!</v>
      </c>
      <c r="E10" t="e">
        <f>VLOOKUP(#REF!,'2021 status'!$B$2:$F$30,5,FALSE)</f>
        <v>#REF!</v>
      </c>
      <c r="F10" t="e">
        <f>VLOOKUP(#REF!,'2021 status'!$B$2:$F$30,5,FALSE)</f>
        <v>#REF!</v>
      </c>
      <c r="G10" t="e">
        <f>VLOOKUP(#REF!,'2021 status'!$B$2:$F$30,5,FALSE)</f>
        <v>#REF!</v>
      </c>
      <c r="H10" t="e">
        <f>VLOOKUP(#REF!,'2021 status'!$B$2:$F$30,5,FALSE)</f>
        <v>#REF!</v>
      </c>
    </row>
    <row r="11">
      <c r="A11" t="e">
        <f>VLOOKUP(#REF!,'2021 status'!$B$2:$F$30,5,FALSE)</f>
        <v>#REF!</v>
      </c>
      <c r="B11" t="e">
        <f>VLOOKUP(#REF!,'2021 status'!$B$2:$F$30,5,FALSE)</f>
        <v>#REF!</v>
      </c>
      <c r="C11" t="e">
        <f>VLOOKUP(#REF!,'2021 status'!$B$2:$F$30,5,FALSE)</f>
        <v>#REF!</v>
      </c>
      <c r="D11" t="e">
        <f>VLOOKUP(#REF!,'2021 status'!$B$2:$F$30,5,FALSE)</f>
        <v>#REF!</v>
      </c>
      <c r="E11" t="e">
        <f>VLOOKUP(#REF!,'2021 status'!$B$2:$F$30,5,FALSE)</f>
        <v>#REF!</v>
      </c>
      <c r="F11" t="e">
        <f>VLOOKUP(#REF!,'2021 status'!$B$2:$F$30,5,FALSE)</f>
        <v>#REF!</v>
      </c>
      <c r="G11" t="e">
        <f>VLOOKUP(#REF!,'2021 status'!$B$2:$F$30,5,FALSE)</f>
        <v>#REF!</v>
      </c>
      <c r="H11" t="e">
        <f>VLOOKUP(#REF!,'2021 status'!$B$2:$F$30,5,FALSE)</f>
        <v>#REF!</v>
      </c>
    </row>
    <row r="12">
      <c r="A12" t="e">
        <f>VLOOKUP('Plan - NL'!I24,'2021 status'!$B$2:$F$30,5,FALSE)</f>
        <v>#N/A</v>
      </c>
      <c r="B12" t="e">
        <f>VLOOKUP('Plan - NL'!J24,'2021 status'!$B$2:$F$30,5,FALSE)</f>
        <v>#N/A</v>
      </c>
      <c r="C12" t="e">
        <f>VLOOKUP('Plan - NL'!K24,'2021 status'!$B$2:$F$30,5,FALSE)</f>
        <v>#N/A</v>
      </c>
      <c r="D12" t="e">
        <f>VLOOKUP('Plan - NL'!L24,'2021 status'!$B$2:$F$30,5,FALSE)</f>
        <v>#N/A</v>
      </c>
      <c r="E12" t="e">
        <f>VLOOKUP('Plan - NL'!M24,'2021 status'!$B$2:$F$30,5,FALSE)</f>
        <v>#N/A</v>
      </c>
      <c r="F12" t="e">
        <f>VLOOKUP('Plan - NL'!N24,'2021 status'!$B$2:$F$30,5,FALSE)</f>
        <v>#N/A</v>
      </c>
      <c r="G12" t="e">
        <f>VLOOKUP('Plan - NL'!O24,'2021 status'!$B$2:$F$30,5,FALSE)</f>
        <v>#N/A</v>
      </c>
      <c r="H12" t="e">
        <f>VLOOKUP('Plan - NL'!P24,'2021 status'!$B$2:$F$30,5,FALSE)</f>
        <v>#N/A</v>
      </c>
    </row>
    <row r="13">
      <c r="A13" t="e">
        <f>VLOOKUP(#REF!,'2021 status'!$B$2:$F$30,5,FALSE)</f>
        <v>#REF!</v>
      </c>
      <c r="B13" t="e">
        <f>VLOOKUP(#REF!,'2021 status'!$B$2:$F$30,5,FALSE)</f>
        <v>#REF!</v>
      </c>
      <c r="C13" t="e">
        <f>VLOOKUP(#REF!,'2021 status'!$B$2:$F$30,5,FALSE)</f>
        <v>#REF!</v>
      </c>
      <c r="D13" t="e">
        <f>VLOOKUP(#REF!,'2021 status'!$B$2:$F$30,5,FALSE)</f>
        <v>#REF!</v>
      </c>
      <c r="E13" t="e">
        <f>VLOOKUP(#REF!,'2021 status'!$B$2:$F$30,5,FALSE)</f>
        <v>#REF!</v>
      </c>
      <c r="F13" t="e">
        <f>VLOOKUP(#REF!,'2021 status'!$B$2:$F$30,5,FALSE)</f>
        <v>#REF!</v>
      </c>
      <c r="G13" t="e">
        <f>VLOOKUP(#REF!,'2021 status'!$B$2:$F$30,5,FALSE)</f>
        <v>#REF!</v>
      </c>
      <c r="H13" t="e">
        <f>VLOOKUP(#REF!,'2021 status'!$B$2:$F$30,5,FALSE)</f>
        <v>#REF!</v>
      </c>
    </row>
    <row r="14">
      <c r="A14" t="e">
        <f>VLOOKUP(#REF!,'2021 status'!$B$2:$F$30,5,FALSE)</f>
        <v>#REF!</v>
      </c>
      <c r="B14" t="e">
        <f>VLOOKUP(#REF!,'2021 status'!$B$2:$F$30,5,FALSE)</f>
        <v>#REF!</v>
      </c>
      <c r="C14" t="e">
        <f>VLOOKUP(#REF!,'2021 status'!$B$2:$F$30,5,FALSE)</f>
        <v>#REF!</v>
      </c>
      <c r="D14" t="e">
        <f>VLOOKUP(#REF!,'2021 status'!$B$2:$F$30,5,FALSE)</f>
        <v>#REF!</v>
      </c>
      <c r="E14" t="e">
        <f>VLOOKUP(#REF!,'2021 status'!$B$2:$F$30,5,FALSE)</f>
        <v>#REF!</v>
      </c>
      <c r="F14" t="e">
        <f>VLOOKUP(#REF!,'2021 status'!$B$2:$F$30,5,FALSE)</f>
        <v>#REF!</v>
      </c>
      <c r="G14" t="e">
        <f>VLOOKUP(#REF!,'2021 status'!$B$2:$F$30,5,FALSE)</f>
        <v>#REF!</v>
      </c>
      <c r="H14" t="e">
        <f>VLOOKUP(#REF!,'2021 status'!$B$2:$F$30,5,FALSE)</f>
        <v>#REF!</v>
      </c>
    </row>
    <row r="15">
      <c r="A15" t="e">
        <f>VLOOKUP(#REF!,'2021 status'!$B$2:$F$30,5,FALSE)</f>
        <v>#REF!</v>
      </c>
      <c r="B15" t="e">
        <f>VLOOKUP(#REF!,'2021 status'!$B$2:$F$30,5,FALSE)</f>
        <v>#REF!</v>
      </c>
      <c r="C15" t="e">
        <f>VLOOKUP(#REF!,'2021 status'!$B$2:$F$30,5,FALSE)</f>
        <v>#REF!</v>
      </c>
      <c r="D15" t="e">
        <f>VLOOKUP(#REF!,'2021 status'!$B$2:$F$30,5,FALSE)</f>
        <v>#REF!</v>
      </c>
      <c r="E15" t="e">
        <f>VLOOKUP(#REF!,'2021 status'!$B$2:$F$30,5,FALSE)</f>
        <v>#REF!</v>
      </c>
      <c r="F15" t="e">
        <f>VLOOKUP(#REF!,'2021 status'!$B$2:$F$30,5,FALSE)</f>
        <v>#REF!</v>
      </c>
      <c r="G15" t="e">
        <f>VLOOKUP(#REF!,'2021 status'!$B$2:$F$30,5,FALSE)</f>
        <v>#REF!</v>
      </c>
      <c r="H15" t="e">
        <f>VLOOKUP(#REF!,'2021 status'!$B$2:$F$30,5,FALSE)</f>
        <v>#REF!</v>
      </c>
    </row>
    <row r="16">
      <c r="A16" t="e">
        <f>VLOOKUP(#REF!,'2021 status'!$B$2:$F$30,5,FALSE)</f>
        <v>#REF!</v>
      </c>
      <c r="B16" t="e">
        <f>VLOOKUP(#REF!,'2021 status'!$B$2:$F$30,5,FALSE)</f>
        <v>#REF!</v>
      </c>
      <c r="C16" t="e">
        <f>VLOOKUP(#REF!,'2021 status'!$B$2:$F$30,5,FALSE)</f>
        <v>#REF!</v>
      </c>
      <c r="D16" t="e">
        <f>VLOOKUP(#REF!,'2021 status'!$B$2:$F$30,5,FALSE)</f>
        <v>#REF!</v>
      </c>
      <c r="E16" t="e">
        <f>VLOOKUP(#REF!,'2021 status'!$B$2:$F$30,5,FALSE)</f>
        <v>#REF!</v>
      </c>
      <c r="F16" t="e">
        <f>VLOOKUP(#REF!,'2021 status'!$B$2:$F$30,5,FALSE)</f>
        <v>#REF!</v>
      </c>
      <c r="G16" t="e">
        <f>VLOOKUP(#REF!,'2021 status'!$B$2:$F$30,5,FALSE)</f>
        <v>#REF!</v>
      </c>
      <c r="H16" t="e">
        <f>VLOOKUP(#REF!,'2021 status'!$B$2:$F$30,5,FALSE)</f>
        <v>#REF!</v>
      </c>
    </row>
    <row r="17">
      <c r="A17" t="e">
        <f>VLOOKUP(#REF!,'2021 status'!$B$2:$F$30,5,FALSE)</f>
        <v>#REF!</v>
      </c>
      <c r="B17" t="e">
        <f>VLOOKUP(#REF!,'2021 status'!$B$2:$F$30,5,FALSE)</f>
        <v>#REF!</v>
      </c>
      <c r="C17" t="e">
        <f>VLOOKUP(#REF!,'2021 status'!$B$2:$F$30,5,FALSE)</f>
        <v>#REF!</v>
      </c>
      <c r="D17" t="e">
        <f>VLOOKUP(#REF!,'2021 status'!$B$2:$F$30,5,FALSE)</f>
        <v>#REF!</v>
      </c>
      <c r="E17" t="e">
        <f>VLOOKUP(#REF!,'2021 status'!$B$2:$F$30,5,FALSE)</f>
        <v>#REF!</v>
      </c>
      <c r="F17" t="e">
        <f>VLOOKUP(#REF!,'2021 status'!$B$2:$F$30,5,FALSE)</f>
        <v>#REF!</v>
      </c>
      <c r="G17" t="e">
        <f>VLOOKUP(#REF!,'2021 status'!$B$2:$F$30,5,FALSE)</f>
        <v>#REF!</v>
      </c>
      <c r="H17" t="e">
        <f>VLOOKUP(#REF!,'2021 status'!$B$2:$F$30,5,FALSE)</f>
        <v>#REF!</v>
      </c>
    </row>
    <row r="18">
      <c r="A18" t="e">
        <f>VLOOKUP(#REF!,'2021 status'!$B$2:$F$30,5,FALSE)</f>
        <v>#REF!</v>
      </c>
      <c r="B18" t="e">
        <f>VLOOKUP(#REF!,'2021 status'!$B$2:$F$30,5,FALSE)</f>
        <v>#REF!</v>
      </c>
      <c r="C18" t="e">
        <f>VLOOKUP(#REF!,'2021 status'!$B$2:$F$30,5,FALSE)</f>
        <v>#REF!</v>
      </c>
      <c r="D18" t="e">
        <f>VLOOKUP(#REF!,'2021 status'!$B$2:$F$30,5,FALSE)</f>
        <v>#REF!</v>
      </c>
      <c r="E18" t="e">
        <f>VLOOKUP(#REF!,'2021 status'!$B$2:$F$30,5,FALSE)</f>
        <v>#REF!</v>
      </c>
      <c r="F18" t="e">
        <f>VLOOKUP(#REF!,'2021 status'!$B$2:$F$30,5,FALSE)</f>
        <v>#REF!</v>
      </c>
      <c r="G18" t="e">
        <f>VLOOKUP(#REF!,'2021 status'!$B$2:$F$30,5,FALSE)</f>
        <v>#REF!</v>
      </c>
      <c r="H18" t="e">
        <f>VLOOKUP(#REF!,'2021 status'!$B$2:$F$30,5,FALSE)</f>
        <v>#REF!</v>
      </c>
    </row>
    <row r="19">
      <c r="A19" t="e">
        <f>VLOOKUP('Plan - NL'!I28,'2021 status'!$B$2:$F$30,5,FALSE)</f>
        <v>#N/A</v>
      </c>
      <c r="B19" t="e">
        <f>VLOOKUP('Plan - NL'!J28,'2021 status'!$B$2:$F$30,5,FALSE)</f>
        <v>#N/A</v>
      </c>
      <c r="C19" t="e">
        <f>VLOOKUP('Plan - NL'!K28,'2021 status'!$B$2:$F$30,5,FALSE)</f>
        <v>#N/A</v>
      </c>
      <c r="D19" t="e">
        <f>VLOOKUP('Plan - NL'!L28,'2021 status'!$B$2:$F$30,5,FALSE)</f>
        <v>#N/A</v>
      </c>
      <c r="E19" t="e">
        <f>VLOOKUP('Plan - NL'!M28,'2021 status'!$B$2:$F$30,5,FALSE)</f>
        <v>#N/A</v>
      </c>
      <c r="F19" t="e">
        <f>VLOOKUP('Plan - NL'!N28,'2021 status'!$B$2:$F$30,5,FALSE)</f>
        <v>#N/A</v>
      </c>
      <c r="G19" t="e">
        <f>VLOOKUP('Plan - NL'!O28,'2021 status'!$B$2:$F$30,5,FALSE)</f>
        <v>#N/A</v>
      </c>
      <c r="H19" t="e">
        <f>VLOOKUP('Plan - NL'!P28,'2021 status'!$B$2:$F$30,5,FALSE)</f>
        <v>#N/A</v>
      </c>
    </row>
    <row r="20">
      <c r="A20" t="e">
        <f>VLOOKUP(#REF!,'2021 status'!$B$2:$F$30,5,FALSE)</f>
        <v>#REF!</v>
      </c>
      <c r="B20" t="e">
        <f>VLOOKUP(#REF!,'2021 status'!$B$2:$F$30,5,FALSE)</f>
        <v>#REF!</v>
      </c>
      <c r="C20" t="e">
        <f>VLOOKUP(#REF!,'2021 status'!$B$2:$F$30,5,FALSE)</f>
        <v>#REF!</v>
      </c>
      <c r="D20" t="e">
        <f>VLOOKUP(#REF!,'2021 status'!$B$2:$F$30,5,FALSE)</f>
        <v>#REF!</v>
      </c>
      <c r="E20" t="e">
        <f>VLOOKUP(#REF!,'2021 status'!$B$2:$F$30,5,FALSE)</f>
        <v>#REF!</v>
      </c>
      <c r="F20" t="e">
        <f>VLOOKUP(#REF!,'2021 status'!$B$2:$F$30,5,FALSE)</f>
        <v>#REF!</v>
      </c>
      <c r="G20" t="e">
        <f>VLOOKUP(#REF!,'2021 status'!$B$2:$F$30,5,FALSE)</f>
        <v>#REF!</v>
      </c>
      <c r="H20" t="e">
        <f>VLOOKUP(#REF!,'2021 status'!$B$2:$F$30,5,FALSE)</f>
        <v>#REF!</v>
      </c>
    </row>
    <row r="21">
      <c r="A21" t="e">
        <f>VLOOKUP(#REF!,'2021 status'!$B$2:$F$30,5,FALSE)</f>
        <v>#REF!</v>
      </c>
      <c r="B21" t="e">
        <f>VLOOKUP(#REF!,'2021 status'!$B$2:$F$30,5,FALSE)</f>
        <v>#REF!</v>
      </c>
      <c r="C21" t="e">
        <f>VLOOKUP(#REF!,'2021 status'!$B$2:$F$30,5,FALSE)</f>
        <v>#REF!</v>
      </c>
      <c r="D21" t="e">
        <f>VLOOKUP(#REF!,'2021 status'!$B$2:$F$30,5,FALSE)</f>
        <v>#REF!</v>
      </c>
      <c r="E21" t="e">
        <f>VLOOKUP(#REF!,'2021 status'!$B$2:$F$30,5,FALSE)</f>
        <v>#REF!</v>
      </c>
      <c r="F21" t="e">
        <f>VLOOKUP(#REF!,'2021 status'!$B$2:$F$30,5,FALSE)</f>
        <v>#REF!</v>
      </c>
      <c r="G21" t="e">
        <f>VLOOKUP(#REF!,'2021 status'!$B$2:$F$30,5,FALSE)</f>
        <v>#REF!</v>
      </c>
      <c r="H21" t="e">
        <f>VLOOKUP(#REF!,'2021 status'!$B$2:$F$30,5,FALSE)</f>
        <v>#REF!</v>
      </c>
    </row>
    <row r="22">
      <c r="A22" t="e">
        <f>VLOOKUP(#REF!,'2021 status'!$B$2:$F$30,5,FALSE)</f>
        <v>#REF!</v>
      </c>
      <c r="B22" t="e">
        <f>VLOOKUP(#REF!,'2021 status'!$B$2:$F$30,5,FALSE)</f>
        <v>#REF!</v>
      </c>
      <c r="C22" t="e">
        <f>VLOOKUP(#REF!,'2021 status'!$B$2:$F$30,5,FALSE)</f>
        <v>#REF!</v>
      </c>
      <c r="D22" t="e">
        <f>VLOOKUP(#REF!,'2021 status'!$B$2:$F$30,5,FALSE)</f>
        <v>#REF!</v>
      </c>
      <c r="E22" t="e">
        <f>VLOOKUP(#REF!,'2021 status'!$B$2:$F$30,5,FALSE)</f>
        <v>#REF!</v>
      </c>
      <c r="F22" t="e">
        <f>VLOOKUP(#REF!,'2021 status'!$B$2:$F$30,5,FALSE)</f>
        <v>#REF!</v>
      </c>
      <c r="G22" t="e">
        <f>VLOOKUP(#REF!,'2021 status'!$B$2:$F$30,5,FALSE)</f>
        <v>#REF!</v>
      </c>
      <c r="H22" t="e">
        <f>VLOOKUP(#REF!,'2021 status'!$B$2:$F$30,5,FALSE)</f>
        <v>#REF!</v>
      </c>
    </row>
  </sheetData>
  <drawing r:id="rId1"/>
</worksheet>
</file>

<file path=xl/worksheets/sheet7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</sheetPr>
  <sheetViews>
    <sheetView workbookViewId="0">
      <selection pane="topLeft" activeCell="A1"/>
    </sheetView>
  </sheetViews>
  <sheetFormatPr baseColWidth="8" defaultColWidth="15.13" defaultRowHeight="15"/>
  <cols>
    <col min="2" max="2" width="9.88" customWidth="1"/>
    <col min="4" max="4" width="4.88" customWidth="1"/>
  </cols>
  <sheetData>
    <row r="1">
      <c r="A1" s="128" t="s">
        <v>355</v>
      </c>
      <c r="B1" s="128" t="s">
        <v>331</v>
      </c>
      <c r="C1" s="128" t="s">
        <v>332</v>
      </c>
      <c r="D1" s="156" t="s">
        <v>333</v>
      </c>
      <c r="E1" s="156" t="s">
        <v>334</v>
      </c>
      <c r="F1" s="246"/>
    </row>
    <row r="2">
      <c r="A2" s="247" t="s">
        <v>274</v>
      </c>
      <c r="B2" s="128" t="s">
        <v>337</v>
      </c>
      <c r="D2" s="156" t="s">
        <v>11</v>
      </c>
      <c r="E2" s="156">
        <v>3</v>
      </c>
      <c r="F2" s="248"/>
    </row>
    <row r="3">
      <c r="A3" s="247" t="s">
        <v>43</v>
      </c>
      <c r="B3" s="128" t="s">
        <v>337</v>
      </c>
      <c r="D3" s="156" t="s">
        <v>14</v>
      </c>
      <c r="E3" s="156">
        <v>3</v>
      </c>
      <c r="F3" s="248"/>
    </row>
    <row r="4">
      <c r="A4" s="247" t="s">
        <v>50</v>
      </c>
      <c r="B4" s="128" t="s">
        <v>337</v>
      </c>
      <c r="D4" s="156" t="s">
        <v>12</v>
      </c>
      <c r="E4" s="156">
        <v>2</v>
      </c>
      <c r="F4" s="248"/>
    </row>
    <row r="5">
      <c r="A5" s="128" t="s">
        <v>145</v>
      </c>
      <c r="B5" s="128" t="s">
        <v>337</v>
      </c>
      <c r="C5" s="128"/>
      <c r="D5" s="156" t="s">
        <v>12</v>
      </c>
      <c r="E5" s="156">
        <v>3</v>
      </c>
      <c r="F5" s="248"/>
    </row>
    <row r="6">
      <c r="A6" s="247" t="s">
        <v>185</v>
      </c>
      <c r="B6" s="128" t="s">
        <v>337</v>
      </c>
      <c r="C6" s="128" t="s">
        <v>356</v>
      </c>
      <c r="D6" s="156" t="s">
        <v>9</v>
      </c>
      <c r="E6" s="156">
        <v>1</v>
      </c>
      <c r="F6" s="248"/>
    </row>
    <row r="7">
      <c r="A7" s="247" t="s">
        <v>147</v>
      </c>
      <c r="B7" s="128" t="s">
        <v>337</v>
      </c>
      <c r="C7" s="128" t="s">
        <v>357</v>
      </c>
      <c r="D7" s="156" t="s">
        <v>12</v>
      </c>
      <c r="E7" s="156">
        <v>2</v>
      </c>
      <c r="F7" s="248"/>
    </row>
    <row r="8">
      <c r="A8" s="247" t="s">
        <v>72</v>
      </c>
      <c r="B8" s="128" t="s">
        <v>337</v>
      </c>
      <c r="C8" s="128" t="s">
        <v>358</v>
      </c>
      <c r="D8" s="156" t="s">
        <v>13</v>
      </c>
      <c r="E8" s="156">
        <v>2</v>
      </c>
      <c r="F8" s="248"/>
    </row>
    <row r="9">
      <c r="A9" s="247" t="s">
        <v>57</v>
      </c>
      <c r="B9" s="128" t="s">
        <v>337</v>
      </c>
      <c r="D9" s="156" t="s">
        <v>12</v>
      </c>
      <c r="E9" s="156">
        <v>1</v>
      </c>
      <c r="F9" s="248"/>
    </row>
    <row r="10">
      <c r="A10" s="247" t="s">
        <v>48</v>
      </c>
      <c r="B10" s="128" t="s">
        <v>337</v>
      </c>
      <c r="D10" s="156" t="s">
        <v>8</v>
      </c>
      <c r="E10" s="156">
        <v>1</v>
      </c>
      <c r="F10" s="248"/>
    </row>
    <row r="11">
      <c r="A11" s="247" t="s">
        <v>84</v>
      </c>
      <c r="B11" s="128" t="s">
        <v>337</v>
      </c>
      <c r="D11" s="156" t="s">
        <v>13</v>
      </c>
      <c r="E11" s="156">
        <v>1</v>
      </c>
      <c r="F11" s="248"/>
    </row>
    <row r="12">
      <c r="A12" s="247" t="s">
        <v>66</v>
      </c>
      <c r="B12" s="128" t="s">
        <v>337</v>
      </c>
      <c r="D12" s="156" t="s">
        <v>11</v>
      </c>
      <c r="E12" s="156">
        <v>1</v>
      </c>
      <c r="F12" s="248"/>
    </row>
    <row r="13">
      <c r="A13" s="247" t="s">
        <v>62</v>
      </c>
      <c r="B13" s="128" t="s">
        <v>337</v>
      </c>
      <c r="D13" s="156" t="s">
        <v>11</v>
      </c>
      <c r="E13" s="156">
        <v>2</v>
      </c>
      <c r="F13" s="248"/>
    </row>
    <row r="14">
      <c r="A14" s="247" t="s">
        <v>278</v>
      </c>
      <c r="B14" s="128" t="s">
        <v>253</v>
      </c>
      <c r="C14" s="128" t="s">
        <v>359</v>
      </c>
      <c r="D14" s="156" t="s">
        <v>9</v>
      </c>
      <c r="E14" s="246"/>
      <c r="F14" s="248"/>
    </row>
    <row r="15">
      <c r="A15" s="247" t="s">
        <v>65</v>
      </c>
      <c r="B15" s="128" t="s">
        <v>337</v>
      </c>
      <c r="D15" s="156" t="s">
        <v>13</v>
      </c>
      <c r="E15" s="156">
        <v>2</v>
      </c>
      <c r="F15" s="248"/>
    </row>
    <row r="16">
      <c r="A16" s="247" t="s">
        <v>79</v>
      </c>
      <c r="B16" s="128" t="s">
        <v>337</v>
      </c>
      <c r="D16" s="156" t="s">
        <v>13</v>
      </c>
      <c r="E16" s="156">
        <v>1</v>
      </c>
      <c r="F16" s="248"/>
    </row>
    <row r="17">
      <c r="A17" s="247" t="s">
        <v>172</v>
      </c>
      <c r="B17" s="128" t="s">
        <v>337</v>
      </c>
      <c r="D17" s="156" t="s">
        <v>10</v>
      </c>
      <c r="E17" s="156">
        <v>3</v>
      </c>
      <c r="F17" s="248"/>
    </row>
    <row r="18">
      <c r="A18" s="247" t="s">
        <v>195</v>
      </c>
      <c r="B18" s="128" t="s">
        <v>337</v>
      </c>
      <c r="D18" s="156" t="s">
        <v>12</v>
      </c>
      <c r="E18" s="156">
        <v>3</v>
      </c>
      <c r="F18" s="248"/>
    </row>
    <row r="19">
      <c r="A19" s="247" t="s">
        <v>83</v>
      </c>
      <c r="B19" s="128" t="s">
        <v>337</v>
      </c>
      <c r="D19" s="156" t="s">
        <v>11</v>
      </c>
      <c r="E19" s="156">
        <v>1</v>
      </c>
      <c r="F19" s="248"/>
    </row>
    <row r="20">
      <c r="A20" s="247" t="s">
        <v>63</v>
      </c>
      <c r="B20" s="128" t="s">
        <v>337</v>
      </c>
      <c r="D20" s="156" t="s">
        <v>8</v>
      </c>
      <c r="E20" s="156">
        <v>1</v>
      </c>
      <c r="F20" s="248"/>
    </row>
    <row r="21">
      <c r="A21" s="247" t="s">
        <v>140</v>
      </c>
      <c r="B21" s="128" t="s">
        <v>337</v>
      </c>
      <c r="D21" s="156" t="s">
        <v>14</v>
      </c>
      <c r="E21" s="156">
        <v>2</v>
      </c>
      <c r="F21" s="248"/>
    </row>
    <row r="22">
      <c r="A22" s="247" t="s">
        <v>42</v>
      </c>
      <c r="B22" s="128" t="s">
        <v>337</v>
      </c>
      <c r="D22" s="156" t="s">
        <v>11</v>
      </c>
      <c r="E22" s="156">
        <v>1</v>
      </c>
      <c r="F22" s="248"/>
    </row>
    <row r="23">
      <c r="A23" s="247" t="s">
        <v>138</v>
      </c>
      <c r="B23" s="128" t="s">
        <v>337</v>
      </c>
      <c r="D23" s="156" t="s">
        <v>14</v>
      </c>
      <c r="E23" s="156">
        <v>2</v>
      </c>
      <c r="F23" s="248"/>
    </row>
    <row r="24">
      <c r="A24" s="128" t="s">
        <v>187</v>
      </c>
      <c r="B24" s="128" t="s">
        <v>337</v>
      </c>
      <c r="C24" s="128" t="s">
        <v>360</v>
      </c>
      <c r="D24" s="156" t="s">
        <v>12</v>
      </c>
      <c r="E24" s="156">
        <v>2</v>
      </c>
      <c r="F24" s="248"/>
    </row>
    <row r="25">
      <c r="A25" s="247" t="s">
        <v>127</v>
      </c>
      <c r="B25" s="128" t="s">
        <v>337</v>
      </c>
      <c r="D25" s="156" t="s">
        <v>10</v>
      </c>
      <c r="E25" s="156">
        <v>1</v>
      </c>
      <c r="F25" s="248"/>
    </row>
    <row r="26">
      <c r="A26" s="247" t="s">
        <v>193</v>
      </c>
      <c r="B26" s="128" t="s">
        <v>337</v>
      </c>
      <c r="D26" s="156" t="s">
        <v>11</v>
      </c>
      <c r="E26" s="156">
        <v>3</v>
      </c>
      <c r="F26" s="248"/>
    </row>
    <row r="27">
      <c r="A27" s="247" t="s">
        <v>189</v>
      </c>
      <c r="B27" s="128" t="s">
        <v>337</v>
      </c>
      <c r="D27" s="156" t="s">
        <v>13</v>
      </c>
      <c r="E27" s="156">
        <v>3</v>
      </c>
      <c r="F27" s="248"/>
    </row>
    <row r="28">
      <c r="A28" s="247" t="s">
        <v>88</v>
      </c>
      <c r="B28" s="128" t="s">
        <v>337</v>
      </c>
      <c r="D28" s="156" t="s">
        <v>10</v>
      </c>
      <c r="E28" s="156">
        <v>1</v>
      </c>
      <c r="F28" s="248"/>
    </row>
    <row r="29">
      <c r="A29" s="247" t="s">
        <v>159</v>
      </c>
      <c r="B29" s="128" t="s">
        <v>335</v>
      </c>
      <c r="D29" s="156" t="s">
        <v>9</v>
      </c>
      <c r="E29" s="246"/>
      <c r="F29" s="248"/>
    </row>
    <row r="30">
      <c r="A30" s="247" t="s">
        <v>49</v>
      </c>
      <c r="B30" s="128" t="s">
        <v>337</v>
      </c>
      <c r="D30" s="156" t="s">
        <v>9</v>
      </c>
      <c r="E30" s="156">
        <v>2</v>
      </c>
      <c r="F30" s="248"/>
    </row>
    <row r="31">
      <c r="D31" s="246"/>
      <c r="E31" s="248"/>
    </row>
    <row r="32">
      <c r="D32" s="246"/>
      <c r="E32" s="248"/>
    </row>
    <row r="33">
      <c r="D33" s="246"/>
      <c r="E33" s="248"/>
    </row>
    <row r="34">
      <c r="D34" s="246"/>
      <c r="E34" s="248"/>
    </row>
    <row r="35">
      <c r="D35" s="246"/>
      <c r="E35" s="248"/>
    </row>
    <row r="36">
      <c r="D36" s="246"/>
      <c r="E36" s="248"/>
    </row>
    <row r="37">
      <c r="D37" s="246"/>
      <c r="E37" s="248"/>
    </row>
    <row r="38">
      <c r="D38" s="246"/>
      <c r="E38" s="248"/>
    </row>
    <row r="39">
      <c r="D39" s="246"/>
      <c r="E39" s="248"/>
    </row>
    <row r="40">
      <c r="D40" s="246"/>
      <c r="E40" s="248"/>
    </row>
    <row r="41">
      <c r="D41" s="246"/>
      <c r="E41" s="248"/>
    </row>
    <row r="42">
      <c r="D42" s="246"/>
      <c r="E42" s="248"/>
    </row>
    <row r="43">
      <c r="D43" s="246"/>
      <c r="E43" s="248"/>
    </row>
    <row r="44">
      <c r="D44" s="246"/>
      <c r="E44" s="248"/>
    </row>
    <row r="45">
      <c r="D45" s="246"/>
      <c r="E45" s="248"/>
    </row>
    <row r="46">
      <c r="D46" s="246"/>
      <c r="E46" s="248"/>
    </row>
    <row r="47">
      <c r="D47" s="246"/>
      <c r="E47" s="248"/>
    </row>
    <row r="48">
      <c r="D48" s="246"/>
      <c r="E48" s="248"/>
    </row>
    <row r="49">
      <c r="D49" s="246"/>
      <c r="E49" s="248"/>
    </row>
    <row r="50">
      <c r="D50" s="246"/>
      <c r="E50" s="248"/>
    </row>
    <row r="51">
      <c r="D51" s="246"/>
      <c r="E51" s="248"/>
    </row>
    <row r="52">
      <c r="D52" s="246"/>
      <c r="E52" s="248"/>
    </row>
    <row r="53">
      <c r="D53" s="246"/>
      <c r="E53" s="248"/>
    </row>
    <row r="54">
      <c r="D54" s="246"/>
      <c r="E54" s="248"/>
    </row>
    <row r="55">
      <c r="D55" s="246"/>
      <c r="E55" s="248"/>
    </row>
    <row r="56">
      <c r="D56" s="246"/>
      <c r="E56" s="248"/>
    </row>
    <row r="57">
      <c r="D57" s="246"/>
      <c r="E57" s="248"/>
    </row>
    <row r="58">
      <c r="D58" s="246"/>
      <c r="E58" s="248"/>
    </row>
    <row r="59">
      <c r="D59" s="246"/>
      <c r="E59" s="248"/>
    </row>
    <row r="60">
      <c r="D60" s="246"/>
      <c r="E60" s="248"/>
    </row>
    <row r="61">
      <c r="D61" s="246"/>
      <c r="E61" s="246"/>
    </row>
    <row r="62">
      <c r="D62" s="246"/>
      <c r="E62" s="246"/>
    </row>
    <row r="63">
      <c r="D63" s="246"/>
      <c r="E63" s="246"/>
    </row>
    <row r="64">
      <c r="D64" s="246"/>
      <c r="E64" s="246"/>
    </row>
    <row r="65">
      <c r="D65" s="246"/>
      <c r="E65" s="246"/>
    </row>
    <row r="66">
      <c r="D66" s="246"/>
      <c r="E66" s="246"/>
    </row>
    <row r="67">
      <c r="D67" s="246"/>
      <c r="E67" s="246"/>
    </row>
    <row r="68">
      <c r="D68" s="246"/>
      <c r="E68" s="246"/>
    </row>
    <row r="69">
      <c r="D69" s="246"/>
      <c r="E69" s="246"/>
    </row>
    <row r="70">
      <c r="D70" s="246"/>
      <c r="E70" s="246"/>
    </row>
    <row r="71">
      <c r="D71" s="246"/>
      <c r="E71" s="246"/>
    </row>
    <row r="72">
      <c r="D72" s="246"/>
      <c r="E72" s="246"/>
    </row>
    <row r="73">
      <c r="D73" s="246"/>
      <c r="E73" s="246"/>
    </row>
    <row r="74">
      <c r="D74" s="246"/>
      <c r="E74" s="246"/>
    </row>
    <row r="75">
      <c r="D75" s="246"/>
      <c r="E75" s="246"/>
    </row>
    <row r="76">
      <c r="D76" s="246"/>
      <c r="E76" s="246"/>
    </row>
    <row r="77">
      <c r="D77" s="246"/>
      <c r="E77" s="246"/>
    </row>
    <row r="78">
      <c r="D78" s="246"/>
      <c r="E78" s="246"/>
    </row>
    <row r="79">
      <c r="D79" s="246"/>
      <c r="E79" s="246"/>
    </row>
    <row r="80">
      <c r="D80" s="246"/>
      <c r="E80" s="246"/>
    </row>
    <row r="81">
      <c r="D81" s="246"/>
      <c r="E81" s="246"/>
    </row>
    <row r="82">
      <c r="D82" s="246"/>
      <c r="E82" s="246"/>
    </row>
    <row r="83">
      <c r="D83" s="246"/>
      <c r="E83" s="246"/>
    </row>
    <row r="84">
      <c r="D84" s="246"/>
      <c r="E84" s="246"/>
    </row>
    <row r="85">
      <c r="D85" s="246"/>
      <c r="E85" s="246"/>
    </row>
    <row r="86">
      <c r="D86" s="246"/>
      <c r="E86" s="246"/>
    </row>
    <row r="87">
      <c r="D87" s="246"/>
      <c r="E87" s="246"/>
    </row>
    <row r="88">
      <c r="D88" s="246"/>
      <c r="E88" s="246"/>
    </row>
    <row r="89">
      <c r="D89" s="246"/>
      <c r="E89" s="246"/>
    </row>
    <row r="90">
      <c r="D90" s="246"/>
      <c r="E90" s="246"/>
    </row>
    <row r="91">
      <c r="D91" s="246"/>
      <c r="E91" s="246"/>
    </row>
    <row r="92">
      <c r="D92" s="246"/>
      <c r="E92" s="246"/>
    </row>
    <row r="93">
      <c r="D93" s="246"/>
      <c r="E93" s="246"/>
    </row>
    <row r="94">
      <c r="D94" s="246"/>
      <c r="E94" s="246"/>
    </row>
    <row r="95">
      <c r="D95" s="246"/>
      <c r="E95" s="246"/>
    </row>
    <row r="96">
      <c r="D96" s="246"/>
      <c r="E96" s="246"/>
    </row>
    <row r="97">
      <c r="D97" s="246"/>
      <c r="E97" s="246"/>
    </row>
    <row r="98">
      <c r="D98" s="246"/>
      <c r="E98" s="246"/>
    </row>
    <row r="99">
      <c r="D99" s="246"/>
      <c r="E99" s="246"/>
    </row>
    <row r="100">
      <c r="D100" s="246"/>
      <c r="E100" s="246"/>
    </row>
    <row r="101">
      <c r="D101" s="246"/>
      <c r="E101" s="246"/>
    </row>
    <row r="102">
      <c r="D102" s="246"/>
      <c r="E102" s="246"/>
    </row>
    <row r="103">
      <c r="D103" s="246"/>
      <c r="E103" s="246"/>
    </row>
    <row r="104">
      <c r="D104" s="246"/>
      <c r="E104" s="246"/>
    </row>
    <row r="105">
      <c r="D105" s="246"/>
      <c r="E105" s="246"/>
    </row>
    <row r="106">
      <c r="D106" s="246"/>
      <c r="E106" s="246"/>
    </row>
    <row r="107">
      <c r="D107" s="246"/>
      <c r="E107" s="246"/>
    </row>
    <row r="108">
      <c r="D108" s="246"/>
      <c r="E108" s="246"/>
    </row>
    <row r="109">
      <c r="D109" s="246"/>
      <c r="E109" s="246"/>
    </row>
    <row r="110">
      <c r="D110" s="246"/>
      <c r="E110" s="246"/>
    </row>
    <row r="111">
      <c r="D111" s="246"/>
      <c r="E111" s="246"/>
    </row>
    <row r="112">
      <c r="D112" s="246"/>
      <c r="E112" s="246"/>
    </row>
    <row r="113">
      <c r="D113" s="246"/>
      <c r="E113" s="246"/>
    </row>
    <row r="114">
      <c r="D114" s="246"/>
      <c r="E114" s="246"/>
    </row>
    <row r="115">
      <c r="D115" s="246"/>
      <c r="E115" s="246"/>
    </row>
    <row r="116">
      <c r="D116" s="246"/>
      <c r="E116" s="246"/>
    </row>
    <row r="117">
      <c r="D117" s="246"/>
      <c r="E117" s="246"/>
    </row>
    <row r="118">
      <c r="D118" s="246"/>
      <c r="E118" s="246"/>
    </row>
    <row r="119">
      <c r="D119" s="246"/>
      <c r="E119" s="246"/>
    </row>
    <row r="120">
      <c r="D120" s="246"/>
      <c r="E120" s="246"/>
    </row>
    <row r="121">
      <c r="D121" s="246"/>
      <c r="E121" s="246"/>
    </row>
    <row r="122">
      <c r="D122" s="246"/>
      <c r="E122" s="246"/>
    </row>
    <row r="123">
      <c r="D123" s="246"/>
      <c r="E123" s="246"/>
    </row>
    <row r="124">
      <c r="D124" s="246"/>
      <c r="E124" s="246"/>
    </row>
    <row r="125">
      <c r="D125" s="246"/>
      <c r="E125" s="246"/>
    </row>
    <row r="126">
      <c r="D126" s="246"/>
      <c r="E126" s="246"/>
    </row>
    <row r="127">
      <c r="D127" s="246"/>
      <c r="E127" s="246"/>
    </row>
    <row r="128">
      <c r="D128" s="246"/>
      <c r="E128" s="246"/>
    </row>
    <row r="129">
      <c r="D129" s="246"/>
      <c r="E129" s="246"/>
    </row>
    <row r="130">
      <c r="D130" s="246"/>
      <c r="E130" s="246"/>
    </row>
    <row r="131">
      <c r="D131" s="246"/>
      <c r="E131" s="246"/>
    </row>
    <row r="132">
      <c r="D132" s="246"/>
      <c r="E132" s="246"/>
    </row>
    <row r="133">
      <c r="D133" s="246"/>
      <c r="E133" s="246"/>
    </row>
    <row r="134">
      <c r="D134" s="246"/>
      <c r="E134" s="246"/>
    </row>
    <row r="135">
      <c r="D135" s="246"/>
      <c r="E135" s="246"/>
    </row>
    <row r="136">
      <c r="D136" s="246"/>
      <c r="E136" s="246"/>
    </row>
    <row r="137">
      <c r="D137" s="246"/>
      <c r="E137" s="246"/>
    </row>
    <row r="138">
      <c r="D138" s="246"/>
      <c r="E138" s="246"/>
    </row>
    <row r="139">
      <c r="D139" s="246"/>
      <c r="E139" s="246"/>
    </row>
    <row r="140">
      <c r="D140" s="246"/>
      <c r="E140" s="246"/>
    </row>
    <row r="141">
      <c r="D141" s="246"/>
      <c r="E141" s="246"/>
    </row>
    <row r="142">
      <c r="D142" s="246"/>
      <c r="E142" s="246"/>
    </row>
    <row r="143">
      <c r="D143" s="246"/>
      <c r="E143" s="246"/>
    </row>
    <row r="144">
      <c r="D144" s="246"/>
      <c r="E144" s="246"/>
    </row>
    <row r="145">
      <c r="D145" s="246"/>
      <c r="E145" s="246"/>
    </row>
    <row r="146">
      <c r="D146" s="246"/>
      <c r="E146" s="246"/>
    </row>
    <row r="147">
      <c r="D147" s="246"/>
      <c r="E147" s="246"/>
    </row>
    <row r="148">
      <c r="D148" s="246"/>
      <c r="E148" s="246"/>
    </row>
    <row r="149">
      <c r="D149" s="246"/>
      <c r="E149" s="246"/>
    </row>
    <row r="150">
      <c r="D150" s="246"/>
      <c r="E150" s="246"/>
    </row>
    <row r="151">
      <c r="D151" s="246"/>
      <c r="E151" s="246"/>
    </row>
    <row r="152">
      <c r="D152" s="246"/>
      <c r="E152" s="246"/>
    </row>
    <row r="153">
      <c r="D153" s="246"/>
      <c r="E153" s="246"/>
    </row>
    <row r="154">
      <c r="D154" s="246"/>
      <c r="E154" s="246"/>
    </row>
    <row r="155">
      <c r="D155" s="246"/>
      <c r="E155" s="246"/>
    </row>
    <row r="156">
      <c r="D156" s="246"/>
      <c r="E156" s="246"/>
    </row>
    <row r="157">
      <c r="D157" s="246"/>
      <c r="E157" s="246"/>
    </row>
    <row r="158">
      <c r="D158" s="246"/>
      <c r="E158" s="246"/>
    </row>
    <row r="159">
      <c r="D159" s="246"/>
      <c r="E159" s="246"/>
    </row>
    <row r="160">
      <c r="D160" s="246"/>
      <c r="E160" s="246"/>
    </row>
    <row r="161">
      <c r="D161" s="246"/>
      <c r="E161" s="246"/>
    </row>
    <row r="162">
      <c r="D162" s="246"/>
      <c r="E162" s="246"/>
    </row>
    <row r="163">
      <c r="D163" s="246"/>
      <c r="E163" s="246"/>
    </row>
    <row r="164">
      <c r="D164" s="246"/>
      <c r="E164" s="246"/>
    </row>
    <row r="165">
      <c r="D165" s="246"/>
      <c r="E165" s="246"/>
    </row>
    <row r="166">
      <c r="D166" s="246"/>
      <c r="E166" s="246"/>
    </row>
    <row r="167">
      <c r="D167" s="246"/>
      <c r="E167" s="246"/>
    </row>
    <row r="168">
      <c r="D168" s="246"/>
      <c r="E168" s="246"/>
    </row>
    <row r="169">
      <c r="D169" s="246"/>
      <c r="E169" s="246"/>
    </row>
    <row r="170">
      <c r="D170" s="246"/>
      <c r="E170" s="246"/>
    </row>
    <row r="171">
      <c r="D171" s="246"/>
      <c r="E171" s="246"/>
    </row>
    <row r="172">
      <c r="D172" s="246"/>
      <c r="E172" s="246"/>
    </row>
    <row r="173">
      <c r="D173" s="246"/>
      <c r="E173" s="246"/>
    </row>
    <row r="174">
      <c r="D174" s="246"/>
      <c r="E174" s="246"/>
    </row>
    <row r="175">
      <c r="D175" s="246"/>
      <c r="E175" s="246"/>
    </row>
    <row r="176">
      <c r="D176" s="246"/>
      <c r="E176" s="246"/>
    </row>
    <row r="177">
      <c r="D177" s="246"/>
      <c r="E177" s="246"/>
    </row>
    <row r="178">
      <c r="D178" s="246"/>
      <c r="E178" s="246"/>
    </row>
    <row r="179">
      <c r="D179" s="246"/>
      <c r="E179" s="246"/>
    </row>
    <row r="180">
      <c r="D180" s="246"/>
      <c r="E180" s="246"/>
    </row>
    <row r="181">
      <c r="D181" s="246"/>
      <c r="E181" s="246"/>
    </row>
    <row r="182">
      <c r="D182" s="246"/>
      <c r="E182" s="246"/>
    </row>
    <row r="183">
      <c r="D183" s="246"/>
      <c r="E183" s="246"/>
    </row>
    <row r="184">
      <c r="D184" s="246"/>
      <c r="E184" s="246"/>
    </row>
    <row r="185">
      <c r="D185" s="246"/>
      <c r="E185" s="246"/>
    </row>
    <row r="186">
      <c r="D186" s="246"/>
      <c r="E186" s="246"/>
    </row>
    <row r="187">
      <c r="D187" s="246"/>
      <c r="E187" s="246"/>
    </row>
    <row r="188">
      <c r="D188" s="246"/>
      <c r="E188" s="246"/>
    </row>
    <row r="189">
      <c r="D189" s="246"/>
      <c r="E189" s="246"/>
    </row>
    <row r="190">
      <c r="D190" s="246"/>
      <c r="E190" s="246"/>
    </row>
    <row r="191">
      <c r="D191" s="246"/>
      <c r="E191" s="246"/>
    </row>
    <row r="192">
      <c r="D192" s="246"/>
      <c r="E192" s="246"/>
    </row>
    <row r="193">
      <c r="D193" s="246"/>
      <c r="E193" s="246"/>
    </row>
    <row r="194">
      <c r="D194" s="246"/>
      <c r="E194" s="246"/>
    </row>
    <row r="195">
      <c r="D195" s="246"/>
      <c r="E195" s="246"/>
    </row>
    <row r="196">
      <c r="D196" s="246"/>
      <c r="E196" s="246"/>
    </row>
    <row r="197">
      <c r="D197" s="246"/>
      <c r="E197" s="246"/>
    </row>
    <row r="198">
      <c r="D198" s="246"/>
      <c r="E198" s="246"/>
    </row>
    <row r="199">
      <c r="D199" s="246"/>
      <c r="E199" s="246"/>
    </row>
    <row r="200">
      <c r="D200" s="246"/>
      <c r="E200" s="246"/>
    </row>
    <row r="201">
      <c r="D201" s="246"/>
      <c r="E201" s="246"/>
    </row>
    <row r="202">
      <c r="D202" s="246"/>
      <c r="E202" s="246"/>
    </row>
    <row r="203">
      <c r="D203" s="246"/>
      <c r="E203" s="246"/>
    </row>
    <row r="204">
      <c r="D204" s="246"/>
      <c r="E204" s="246"/>
    </row>
    <row r="205">
      <c r="D205" s="246"/>
      <c r="E205" s="246"/>
    </row>
    <row r="206">
      <c r="D206" s="246"/>
      <c r="E206" s="246"/>
    </row>
    <row r="207">
      <c r="D207" s="246"/>
      <c r="E207" s="246"/>
    </row>
    <row r="208">
      <c r="D208" s="246"/>
      <c r="E208" s="246"/>
    </row>
    <row r="209">
      <c r="D209" s="246"/>
      <c r="E209" s="246"/>
    </row>
    <row r="210">
      <c r="D210" s="246"/>
      <c r="E210" s="246"/>
    </row>
    <row r="211">
      <c r="D211" s="246"/>
      <c r="E211" s="246"/>
    </row>
    <row r="212">
      <c r="D212" s="246"/>
      <c r="E212" s="246"/>
    </row>
    <row r="213">
      <c r="D213" s="246"/>
      <c r="E213" s="246"/>
    </row>
    <row r="214">
      <c r="D214" s="246"/>
      <c r="E214" s="246"/>
    </row>
    <row r="215">
      <c r="D215" s="246"/>
      <c r="E215" s="246"/>
    </row>
    <row r="216">
      <c r="D216" s="246"/>
      <c r="E216" s="246"/>
    </row>
    <row r="217">
      <c r="D217" s="246"/>
      <c r="E217" s="246"/>
    </row>
    <row r="218">
      <c r="D218" s="246"/>
      <c r="E218" s="246"/>
    </row>
    <row r="219">
      <c r="D219" s="246"/>
      <c r="E219" s="246"/>
    </row>
    <row r="220">
      <c r="D220" s="246"/>
      <c r="E220" s="246"/>
    </row>
    <row r="221">
      <c r="D221" s="246"/>
      <c r="E221" s="246"/>
    </row>
    <row r="222">
      <c r="D222" s="246"/>
      <c r="E222" s="246"/>
    </row>
    <row r="223">
      <c r="D223" s="246"/>
      <c r="E223" s="246"/>
    </row>
    <row r="224">
      <c r="D224" s="246"/>
      <c r="E224" s="246"/>
    </row>
    <row r="225">
      <c r="D225" s="246"/>
      <c r="E225" s="246"/>
    </row>
    <row r="226">
      <c r="D226" s="246"/>
      <c r="E226" s="246"/>
    </row>
    <row r="227">
      <c r="D227" s="246"/>
      <c r="E227" s="246"/>
    </row>
    <row r="228">
      <c r="D228" s="246"/>
      <c r="E228" s="246"/>
    </row>
    <row r="229">
      <c r="D229" s="246"/>
      <c r="E229" s="246"/>
    </row>
    <row r="230">
      <c r="D230" s="246"/>
      <c r="E230" s="246"/>
    </row>
    <row r="231">
      <c r="D231" s="246"/>
      <c r="E231" s="246"/>
    </row>
    <row r="232">
      <c r="D232" s="246"/>
      <c r="E232" s="246"/>
    </row>
    <row r="233">
      <c r="D233" s="246"/>
      <c r="E233" s="246"/>
    </row>
    <row r="234">
      <c r="D234" s="246"/>
      <c r="E234" s="246"/>
    </row>
    <row r="235">
      <c r="D235" s="246"/>
      <c r="E235" s="246"/>
    </row>
    <row r="236">
      <c r="D236" s="246"/>
      <c r="E236" s="246"/>
    </row>
    <row r="237">
      <c r="D237" s="246"/>
      <c r="E237" s="246"/>
    </row>
    <row r="238">
      <c r="D238" s="246"/>
      <c r="E238" s="246"/>
    </row>
    <row r="239">
      <c r="D239" s="246"/>
      <c r="E239" s="246"/>
    </row>
    <row r="240">
      <c r="D240" s="246"/>
      <c r="E240" s="246"/>
    </row>
    <row r="241">
      <c r="D241" s="246"/>
      <c r="E241" s="246"/>
    </row>
    <row r="242">
      <c r="D242" s="246"/>
      <c r="E242" s="246"/>
    </row>
    <row r="243">
      <c r="D243" s="246"/>
      <c r="E243" s="246"/>
    </row>
    <row r="244">
      <c r="D244" s="246"/>
      <c r="E244" s="246"/>
    </row>
    <row r="245">
      <c r="D245" s="246"/>
      <c r="E245" s="246"/>
    </row>
    <row r="246">
      <c r="D246" s="246"/>
      <c r="E246" s="246"/>
    </row>
    <row r="247">
      <c r="D247" s="246"/>
      <c r="E247" s="246"/>
    </row>
    <row r="248">
      <c r="D248" s="246"/>
      <c r="E248" s="246"/>
    </row>
    <row r="249">
      <c r="D249" s="246"/>
      <c r="E249" s="246"/>
    </row>
    <row r="250">
      <c r="D250" s="246"/>
      <c r="E250" s="246"/>
    </row>
    <row r="251">
      <c r="D251" s="246"/>
      <c r="E251" s="246"/>
    </row>
    <row r="252">
      <c r="D252" s="246"/>
      <c r="E252" s="246"/>
    </row>
    <row r="253">
      <c r="D253" s="246"/>
      <c r="E253" s="246"/>
    </row>
    <row r="254">
      <c r="D254" s="246"/>
      <c r="E254" s="246"/>
    </row>
    <row r="255">
      <c r="D255" s="246"/>
      <c r="E255" s="246"/>
    </row>
    <row r="256">
      <c r="D256" s="246"/>
      <c r="E256" s="246"/>
    </row>
    <row r="257">
      <c r="D257" s="246"/>
      <c r="E257" s="246"/>
    </row>
    <row r="258">
      <c r="D258" s="246"/>
      <c r="E258" s="246"/>
    </row>
    <row r="259">
      <c r="D259" s="246"/>
      <c r="E259" s="246"/>
    </row>
    <row r="260">
      <c r="D260" s="246"/>
      <c r="E260" s="246"/>
    </row>
    <row r="261">
      <c r="D261" s="246"/>
      <c r="E261" s="246"/>
    </row>
    <row r="262">
      <c r="D262" s="246"/>
      <c r="E262" s="246"/>
    </row>
    <row r="263">
      <c r="D263" s="246"/>
      <c r="E263" s="246"/>
    </row>
    <row r="264">
      <c r="D264" s="246"/>
      <c r="E264" s="246"/>
    </row>
    <row r="265">
      <c r="D265" s="246"/>
      <c r="E265" s="246"/>
    </row>
    <row r="266">
      <c r="D266" s="246"/>
      <c r="E266" s="246"/>
    </row>
    <row r="267">
      <c r="D267" s="246"/>
      <c r="E267" s="246"/>
    </row>
    <row r="268">
      <c r="D268" s="246"/>
      <c r="E268" s="246"/>
    </row>
    <row r="269">
      <c r="D269" s="246"/>
      <c r="E269" s="246"/>
    </row>
    <row r="270">
      <c r="D270" s="246"/>
      <c r="E270" s="246"/>
    </row>
    <row r="271">
      <c r="D271" s="246"/>
      <c r="E271" s="246"/>
    </row>
    <row r="272">
      <c r="D272" s="246"/>
      <c r="E272" s="246"/>
    </row>
    <row r="273">
      <c r="D273" s="246"/>
      <c r="E273" s="246"/>
    </row>
    <row r="274">
      <c r="D274" s="246"/>
      <c r="E274" s="246"/>
    </row>
    <row r="275">
      <c r="D275" s="246"/>
      <c r="E275" s="246"/>
    </row>
    <row r="276">
      <c r="D276" s="246"/>
      <c r="E276" s="246"/>
    </row>
    <row r="277">
      <c r="D277" s="246"/>
      <c r="E277" s="246"/>
    </row>
    <row r="278">
      <c r="D278" s="246"/>
      <c r="E278" s="246"/>
    </row>
    <row r="279">
      <c r="D279" s="246"/>
      <c r="E279" s="246"/>
    </row>
    <row r="280">
      <c r="D280" s="246"/>
      <c r="E280" s="246"/>
    </row>
    <row r="281">
      <c r="D281" s="246"/>
      <c r="E281" s="246"/>
    </row>
    <row r="282">
      <c r="D282" s="246"/>
      <c r="E282" s="246"/>
    </row>
    <row r="283">
      <c r="D283" s="246"/>
      <c r="E283" s="246"/>
    </row>
    <row r="284">
      <c r="D284" s="246"/>
      <c r="E284" s="246"/>
    </row>
    <row r="285">
      <c r="D285" s="246"/>
      <c r="E285" s="246"/>
    </row>
    <row r="286">
      <c r="D286" s="246"/>
      <c r="E286" s="246"/>
    </row>
    <row r="287">
      <c r="D287" s="246"/>
      <c r="E287" s="246"/>
    </row>
    <row r="288">
      <c r="D288" s="246"/>
      <c r="E288" s="246"/>
    </row>
    <row r="289">
      <c r="D289" s="246"/>
      <c r="E289" s="246"/>
    </row>
    <row r="290">
      <c r="D290" s="246"/>
      <c r="E290" s="246"/>
    </row>
    <row r="291">
      <c r="D291" s="246"/>
      <c r="E291" s="246"/>
    </row>
    <row r="292">
      <c r="D292" s="246"/>
      <c r="E292" s="246"/>
    </row>
    <row r="293">
      <c r="D293" s="246"/>
      <c r="E293" s="246"/>
    </row>
    <row r="294">
      <c r="D294" s="246"/>
      <c r="E294" s="246"/>
    </row>
    <row r="295">
      <c r="D295" s="246"/>
      <c r="E295" s="246"/>
    </row>
    <row r="296">
      <c r="D296" s="246"/>
      <c r="E296" s="246"/>
    </row>
    <row r="297">
      <c r="D297" s="246"/>
      <c r="E297" s="246"/>
    </row>
    <row r="298">
      <c r="D298" s="246"/>
      <c r="E298" s="246"/>
    </row>
    <row r="299">
      <c r="D299" s="246"/>
      <c r="E299" s="246"/>
    </row>
    <row r="300">
      <c r="D300" s="246"/>
      <c r="E300" s="246"/>
    </row>
    <row r="301">
      <c r="D301" s="246"/>
      <c r="E301" s="246"/>
    </row>
    <row r="302">
      <c r="D302" s="246"/>
      <c r="E302" s="246"/>
    </row>
    <row r="303">
      <c r="D303" s="246"/>
      <c r="E303" s="246"/>
    </row>
    <row r="304">
      <c r="D304" s="246"/>
      <c r="E304" s="246"/>
    </row>
    <row r="305">
      <c r="D305" s="246"/>
      <c r="E305" s="246"/>
    </row>
    <row r="306">
      <c r="D306" s="246"/>
      <c r="E306" s="246"/>
    </row>
    <row r="307">
      <c r="D307" s="246"/>
      <c r="E307" s="246"/>
    </row>
    <row r="308">
      <c r="D308" s="246"/>
      <c r="E308" s="246"/>
    </row>
    <row r="309">
      <c r="D309" s="246"/>
      <c r="E309" s="246"/>
    </row>
    <row r="310">
      <c r="D310" s="246"/>
      <c r="E310" s="246"/>
    </row>
    <row r="311">
      <c r="D311" s="246"/>
      <c r="E311" s="246"/>
    </row>
    <row r="312">
      <c r="D312" s="246"/>
      <c r="E312" s="246"/>
    </row>
    <row r="313">
      <c r="D313" s="246"/>
      <c r="E313" s="246"/>
    </row>
    <row r="314">
      <c r="D314" s="246"/>
      <c r="E314" s="246"/>
    </row>
    <row r="315">
      <c r="D315" s="246"/>
      <c r="E315" s="246"/>
    </row>
    <row r="316">
      <c r="D316" s="246"/>
      <c r="E316" s="246"/>
    </row>
    <row r="317">
      <c r="D317" s="246"/>
      <c r="E317" s="246"/>
    </row>
    <row r="318">
      <c r="D318" s="246"/>
      <c r="E318" s="246"/>
    </row>
    <row r="319">
      <c r="D319" s="246"/>
      <c r="E319" s="246"/>
    </row>
    <row r="320">
      <c r="D320" s="246"/>
      <c r="E320" s="246"/>
    </row>
    <row r="321">
      <c r="D321" s="246"/>
      <c r="E321" s="246"/>
    </row>
    <row r="322">
      <c r="D322" s="246"/>
      <c r="E322" s="246"/>
    </row>
    <row r="323">
      <c r="D323" s="246"/>
      <c r="E323" s="246"/>
    </row>
    <row r="324">
      <c r="D324" s="246"/>
      <c r="E324" s="246"/>
    </row>
    <row r="325">
      <c r="D325" s="246"/>
      <c r="E325" s="246"/>
    </row>
    <row r="326">
      <c r="D326" s="246"/>
      <c r="E326" s="246"/>
    </row>
    <row r="327">
      <c r="D327" s="246"/>
      <c r="E327" s="246"/>
    </row>
    <row r="328">
      <c r="D328" s="246"/>
      <c r="E328" s="246"/>
    </row>
    <row r="329">
      <c r="D329" s="246"/>
      <c r="E329" s="246"/>
    </row>
    <row r="330">
      <c r="D330" s="246"/>
      <c r="E330" s="246"/>
    </row>
    <row r="331">
      <c r="D331" s="246"/>
      <c r="E331" s="246"/>
    </row>
    <row r="332">
      <c r="D332" s="246"/>
      <c r="E332" s="246"/>
    </row>
    <row r="333">
      <c r="D333" s="246"/>
      <c r="E333" s="246"/>
    </row>
    <row r="334">
      <c r="D334" s="246"/>
      <c r="E334" s="246"/>
    </row>
    <row r="335">
      <c r="D335" s="246"/>
      <c r="E335" s="246"/>
    </row>
    <row r="336">
      <c r="D336" s="246"/>
      <c r="E336" s="246"/>
    </row>
    <row r="337">
      <c r="D337" s="246"/>
      <c r="E337" s="246"/>
    </row>
    <row r="338">
      <c r="D338" s="246"/>
      <c r="E338" s="246"/>
    </row>
    <row r="339">
      <c r="D339" s="246"/>
      <c r="E339" s="246"/>
    </row>
    <row r="340">
      <c r="D340" s="246"/>
      <c r="E340" s="246"/>
    </row>
    <row r="341">
      <c r="D341" s="246"/>
      <c r="E341" s="246"/>
    </row>
    <row r="342">
      <c r="D342" s="246"/>
      <c r="E342" s="246"/>
    </row>
    <row r="343">
      <c r="D343" s="246"/>
      <c r="E343" s="246"/>
    </row>
    <row r="344">
      <c r="D344" s="246"/>
      <c r="E344" s="246"/>
    </row>
    <row r="345">
      <c r="D345" s="246"/>
      <c r="E345" s="246"/>
    </row>
    <row r="346">
      <c r="D346" s="246"/>
      <c r="E346" s="246"/>
    </row>
    <row r="347">
      <c r="D347" s="246"/>
      <c r="E347" s="246"/>
    </row>
    <row r="348">
      <c r="D348" s="246"/>
      <c r="E348" s="246"/>
    </row>
    <row r="349">
      <c r="D349" s="246"/>
      <c r="E349" s="246"/>
    </row>
    <row r="350">
      <c r="D350" s="246"/>
      <c r="E350" s="246"/>
    </row>
    <row r="351">
      <c r="D351" s="246"/>
      <c r="E351" s="246"/>
    </row>
    <row r="352">
      <c r="D352" s="246"/>
      <c r="E352" s="246"/>
    </row>
    <row r="353">
      <c r="D353" s="246"/>
      <c r="E353" s="246"/>
    </row>
    <row r="354">
      <c r="D354" s="246"/>
      <c r="E354" s="246"/>
    </row>
    <row r="355">
      <c r="D355" s="246"/>
      <c r="E355" s="246"/>
    </row>
    <row r="356">
      <c r="D356" s="246"/>
      <c r="E356" s="246"/>
    </row>
    <row r="357">
      <c r="D357" s="246"/>
      <c r="E357" s="246"/>
    </row>
    <row r="358">
      <c r="D358" s="246"/>
      <c r="E358" s="246"/>
    </row>
    <row r="359">
      <c r="D359" s="246"/>
      <c r="E359" s="246"/>
    </row>
    <row r="360">
      <c r="D360" s="246"/>
      <c r="E360" s="246"/>
    </row>
    <row r="361">
      <c r="D361" s="246"/>
      <c r="E361" s="246"/>
    </row>
    <row r="362">
      <c r="D362" s="246"/>
      <c r="E362" s="246"/>
    </row>
    <row r="363">
      <c r="D363" s="246"/>
      <c r="E363" s="246"/>
    </row>
    <row r="364">
      <c r="D364" s="246"/>
      <c r="E364" s="246"/>
    </row>
    <row r="365">
      <c r="D365" s="246"/>
      <c r="E365" s="246"/>
    </row>
    <row r="366">
      <c r="D366" s="246"/>
      <c r="E366" s="246"/>
    </row>
    <row r="367">
      <c r="D367" s="246"/>
      <c r="E367" s="246"/>
    </row>
    <row r="368">
      <c r="D368" s="246"/>
      <c r="E368" s="246"/>
    </row>
    <row r="369">
      <c r="D369" s="246"/>
      <c r="E369" s="246"/>
    </row>
    <row r="370">
      <c r="D370" s="246"/>
      <c r="E370" s="246"/>
    </row>
    <row r="371">
      <c r="D371" s="246"/>
      <c r="E371" s="246"/>
    </row>
    <row r="372">
      <c r="D372" s="246"/>
      <c r="E372" s="246"/>
    </row>
    <row r="373">
      <c r="D373" s="246"/>
      <c r="E373" s="246"/>
    </row>
    <row r="374">
      <c r="D374" s="246"/>
      <c r="E374" s="246"/>
    </row>
    <row r="375">
      <c r="D375" s="246"/>
      <c r="E375" s="246"/>
    </row>
    <row r="376">
      <c r="D376" s="246"/>
      <c r="E376" s="246"/>
    </row>
    <row r="377">
      <c r="D377" s="246"/>
      <c r="E377" s="246"/>
    </row>
    <row r="378">
      <c r="D378" s="246"/>
      <c r="E378" s="246"/>
    </row>
    <row r="379">
      <c r="D379" s="246"/>
      <c r="E379" s="246"/>
    </row>
    <row r="380">
      <c r="D380" s="246"/>
      <c r="E380" s="246"/>
    </row>
    <row r="381">
      <c r="D381" s="246"/>
      <c r="E381" s="246"/>
    </row>
    <row r="382">
      <c r="D382" s="246"/>
      <c r="E382" s="246"/>
    </row>
    <row r="383">
      <c r="D383" s="246"/>
      <c r="E383" s="246"/>
    </row>
    <row r="384">
      <c r="D384" s="246"/>
      <c r="E384" s="246"/>
    </row>
    <row r="385">
      <c r="D385" s="246"/>
      <c r="E385" s="246"/>
    </row>
    <row r="386">
      <c r="D386" s="246"/>
      <c r="E386" s="246"/>
    </row>
    <row r="387">
      <c r="D387" s="246"/>
      <c r="E387" s="246"/>
    </row>
    <row r="388">
      <c r="D388" s="246"/>
      <c r="E388" s="246"/>
    </row>
    <row r="389">
      <c r="D389" s="246"/>
      <c r="E389" s="246"/>
    </row>
    <row r="390">
      <c r="D390" s="246"/>
      <c r="E390" s="246"/>
    </row>
    <row r="391">
      <c r="D391" s="246"/>
      <c r="E391" s="246"/>
    </row>
    <row r="392">
      <c r="D392" s="246"/>
      <c r="E392" s="246"/>
    </row>
    <row r="393">
      <c r="D393" s="246"/>
      <c r="E393" s="246"/>
    </row>
    <row r="394">
      <c r="D394" s="246"/>
      <c r="E394" s="246"/>
    </row>
    <row r="395">
      <c r="D395" s="246"/>
      <c r="E395" s="246"/>
    </row>
    <row r="396">
      <c r="D396" s="246"/>
      <c r="E396" s="246"/>
    </row>
    <row r="397">
      <c r="D397" s="246"/>
      <c r="E397" s="246"/>
    </row>
    <row r="398">
      <c r="D398" s="246"/>
      <c r="E398" s="246"/>
    </row>
    <row r="399">
      <c r="D399" s="246"/>
      <c r="E399" s="246"/>
    </row>
    <row r="400">
      <c r="D400" s="246"/>
      <c r="E400" s="246"/>
    </row>
    <row r="401">
      <c r="D401" s="246"/>
      <c r="E401" s="246"/>
    </row>
    <row r="402">
      <c r="D402" s="246"/>
      <c r="E402" s="246"/>
    </row>
    <row r="403">
      <c r="D403" s="246"/>
      <c r="E403" s="246"/>
    </row>
    <row r="404">
      <c r="D404" s="246"/>
      <c r="E404" s="246"/>
    </row>
    <row r="405">
      <c r="D405" s="246"/>
      <c r="E405" s="246"/>
    </row>
    <row r="406">
      <c r="D406" s="246"/>
      <c r="E406" s="246"/>
    </row>
    <row r="407">
      <c r="D407" s="246"/>
      <c r="E407" s="246"/>
    </row>
    <row r="408">
      <c r="D408" s="246"/>
      <c r="E408" s="246"/>
    </row>
    <row r="409">
      <c r="D409" s="246"/>
      <c r="E409" s="246"/>
    </row>
    <row r="410">
      <c r="D410" s="246"/>
      <c r="E410" s="246"/>
    </row>
    <row r="411">
      <c r="D411" s="246"/>
      <c r="E411" s="246"/>
    </row>
    <row r="412">
      <c r="D412" s="246"/>
      <c r="E412" s="246"/>
    </row>
    <row r="413">
      <c r="D413" s="246"/>
      <c r="E413" s="246"/>
    </row>
    <row r="414">
      <c r="D414" s="246"/>
      <c r="E414" s="246"/>
    </row>
    <row r="415">
      <c r="D415" s="246"/>
      <c r="E415" s="246"/>
    </row>
    <row r="416">
      <c r="D416" s="246"/>
      <c r="E416" s="246"/>
    </row>
    <row r="417">
      <c r="D417" s="246"/>
      <c r="E417" s="246"/>
    </row>
    <row r="418">
      <c r="D418" s="246"/>
      <c r="E418" s="246"/>
    </row>
    <row r="419">
      <c r="D419" s="246"/>
      <c r="E419" s="246"/>
    </row>
    <row r="420">
      <c r="D420" s="246"/>
      <c r="E420" s="246"/>
    </row>
    <row r="421">
      <c r="D421" s="246"/>
      <c r="E421" s="246"/>
    </row>
    <row r="422">
      <c r="D422" s="246"/>
      <c r="E422" s="246"/>
    </row>
    <row r="423">
      <c r="D423" s="246"/>
      <c r="E423" s="246"/>
    </row>
    <row r="424">
      <c r="D424" s="246"/>
      <c r="E424" s="246"/>
    </row>
    <row r="425">
      <c r="D425" s="246"/>
      <c r="E425" s="246"/>
    </row>
    <row r="426">
      <c r="D426" s="246"/>
      <c r="E426" s="246"/>
    </row>
    <row r="427">
      <c r="D427" s="246"/>
      <c r="E427" s="246"/>
    </row>
    <row r="428">
      <c r="D428" s="246"/>
      <c r="E428" s="246"/>
    </row>
    <row r="429">
      <c r="D429" s="246"/>
      <c r="E429" s="246"/>
    </row>
    <row r="430">
      <c r="D430" s="246"/>
      <c r="E430" s="246"/>
    </row>
    <row r="431">
      <c r="D431" s="246"/>
      <c r="E431" s="246"/>
    </row>
    <row r="432">
      <c r="D432" s="246"/>
      <c r="E432" s="246"/>
    </row>
    <row r="433">
      <c r="D433" s="246"/>
      <c r="E433" s="246"/>
    </row>
    <row r="434">
      <c r="D434" s="246"/>
      <c r="E434" s="246"/>
    </row>
    <row r="435">
      <c r="D435" s="246"/>
      <c r="E435" s="246"/>
    </row>
    <row r="436">
      <c r="D436" s="246"/>
      <c r="E436" s="246"/>
    </row>
    <row r="437">
      <c r="D437" s="246"/>
      <c r="E437" s="246"/>
    </row>
    <row r="438">
      <c r="D438" s="246"/>
      <c r="E438" s="246"/>
    </row>
    <row r="439">
      <c r="D439" s="246"/>
      <c r="E439" s="246"/>
    </row>
    <row r="440">
      <c r="D440" s="246"/>
      <c r="E440" s="246"/>
    </row>
    <row r="441">
      <c r="D441" s="246"/>
      <c r="E441" s="246"/>
    </row>
    <row r="442">
      <c r="D442" s="246"/>
      <c r="E442" s="246"/>
    </row>
    <row r="443">
      <c r="D443" s="246"/>
      <c r="E443" s="246"/>
    </row>
    <row r="444">
      <c r="D444" s="246"/>
      <c r="E444" s="246"/>
    </row>
    <row r="445">
      <c r="D445" s="246"/>
      <c r="E445" s="246"/>
    </row>
    <row r="446">
      <c r="D446" s="246"/>
      <c r="E446" s="246"/>
    </row>
    <row r="447">
      <c r="D447" s="246"/>
      <c r="E447" s="246"/>
    </row>
    <row r="448">
      <c r="D448" s="246"/>
      <c r="E448" s="246"/>
    </row>
    <row r="449">
      <c r="D449" s="246"/>
      <c r="E449" s="246"/>
    </row>
    <row r="450">
      <c r="D450" s="246"/>
      <c r="E450" s="246"/>
    </row>
    <row r="451">
      <c r="D451" s="246"/>
      <c r="E451" s="246"/>
    </row>
    <row r="452">
      <c r="D452" s="246"/>
      <c r="E452" s="246"/>
    </row>
    <row r="453">
      <c r="D453" s="246"/>
      <c r="E453" s="246"/>
    </row>
    <row r="454">
      <c r="D454" s="246"/>
      <c r="E454" s="246"/>
    </row>
    <row r="455">
      <c r="D455" s="246"/>
      <c r="E455" s="246"/>
    </row>
    <row r="456">
      <c r="D456" s="246"/>
      <c r="E456" s="246"/>
    </row>
    <row r="457">
      <c r="D457" s="246"/>
      <c r="E457" s="246"/>
    </row>
    <row r="458">
      <c r="D458" s="246"/>
      <c r="E458" s="246"/>
    </row>
    <row r="459">
      <c r="D459" s="246"/>
      <c r="E459" s="246"/>
    </row>
    <row r="460">
      <c r="D460" s="246"/>
      <c r="E460" s="246"/>
    </row>
    <row r="461">
      <c r="D461" s="246"/>
      <c r="E461" s="246"/>
    </row>
    <row r="462">
      <c r="D462" s="246"/>
      <c r="E462" s="246"/>
    </row>
    <row r="463">
      <c r="D463" s="246"/>
      <c r="E463" s="246"/>
    </row>
    <row r="464">
      <c r="D464" s="246"/>
      <c r="E464" s="246"/>
    </row>
    <row r="465">
      <c r="D465" s="246"/>
      <c r="E465" s="246"/>
    </row>
    <row r="466">
      <c r="D466" s="246"/>
      <c r="E466" s="246"/>
    </row>
    <row r="467">
      <c r="D467" s="246"/>
      <c r="E467" s="246"/>
    </row>
    <row r="468">
      <c r="D468" s="246"/>
      <c r="E468" s="246"/>
    </row>
    <row r="469">
      <c r="D469" s="246"/>
      <c r="E469" s="246"/>
    </row>
    <row r="470">
      <c r="D470" s="246"/>
      <c r="E470" s="246"/>
    </row>
    <row r="471">
      <c r="D471" s="246"/>
      <c r="E471" s="246"/>
    </row>
    <row r="472">
      <c r="D472" s="246"/>
      <c r="E472" s="246"/>
    </row>
    <row r="473">
      <c r="D473" s="246"/>
      <c r="E473" s="246"/>
    </row>
    <row r="474">
      <c r="D474" s="246"/>
      <c r="E474" s="246"/>
    </row>
    <row r="475">
      <c r="D475" s="246"/>
      <c r="E475" s="246"/>
    </row>
    <row r="476">
      <c r="D476" s="246"/>
      <c r="E476" s="246"/>
    </row>
    <row r="477">
      <c r="D477" s="246"/>
      <c r="E477" s="246"/>
    </row>
    <row r="478">
      <c r="D478" s="246"/>
      <c r="E478" s="246"/>
    </row>
    <row r="479">
      <c r="D479" s="246"/>
      <c r="E479" s="246"/>
    </row>
    <row r="480">
      <c r="D480" s="246"/>
      <c r="E480" s="246"/>
    </row>
    <row r="481">
      <c r="D481" s="246"/>
      <c r="E481" s="246"/>
    </row>
    <row r="482">
      <c r="D482" s="246"/>
      <c r="E482" s="246"/>
    </row>
    <row r="483">
      <c r="D483" s="246"/>
      <c r="E483" s="246"/>
    </row>
    <row r="484">
      <c r="D484" s="246"/>
      <c r="E484" s="246"/>
    </row>
    <row r="485">
      <c r="D485" s="246"/>
      <c r="E485" s="246"/>
    </row>
    <row r="486">
      <c r="D486" s="246"/>
      <c r="E486" s="246"/>
    </row>
    <row r="487">
      <c r="D487" s="246"/>
      <c r="E487" s="246"/>
    </row>
    <row r="488">
      <c r="D488" s="246"/>
      <c r="E488" s="246"/>
    </row>
    <row r="489">
      <c r="D489" s="246"/>
      <c r="E489" s="246"/>
    </row>
    <row r="490">
      <c r="D490" s="246"/>
      <c r="E490" s="246"/>
    </row>
    <row r="491">
      <c r="D491" s="246"/>
      <c r="E491" s="246"/>
    </row>
    <row r="492">
      <c r="D492" s="246"/>
      <c r="E492" s="246"/>
    </row>
    <row r="493">
      <c r="D493" s="246"/>
      <c r="E493" s="246"/>
    </row>
    <row r="494">
      <c r="D494" s="246"/>
      <c r="E494" s="246"/>
    </row>
    <row r="495">
      <c r="D495" s="246"/>
      <c r="E495" s="246"/>
    </row>
    <row r="496">
      <c r="D496" s="246"/>
      <c r="E496" s="246"/>
    </row>
    <row r="497">
      <c r="D497" s="246"/>
      <c r="E497" s="246"/>
    </row>
    <row r="498">
      <c r="D498" s="246"/>
      <c r="E498" s="246"/>
    </row>
    <row r="499">
      <c r="D499" s="246"/>
      <c r="E499" s="246"/>
    </row>
    <row r="500">
      <c r="D500" s="246"/>
      <c r="E500" s="246"/>
    </row>
    <row r="501">
      <c r="D501" s="246"/>
      <c r="E501" s="246"/>
    </row>
    <row r="502">
      <c r="D502" s="246"/>
      <c r="E502" s="246"/>
    </row>
    <row r="503">
      <c r="D503" s="246"/>
      <c r="E503" s="246"/>
    </row>
    <row r="504">
      <c r="D504" s="246"/>
      <c r="E504" s="246"/>
    </row>
    <row r="505">
      <c r="D505" s="246"/>
      <c r="E505" s="246"/>
    </row>
    <row r="506">
      <c r="D506" s="246"/>
      <c r="E506" s="246"/>
    </row>
    <row r="507">
      <c r="D507" s="246"/>
      <c r="E507" s="246"/>
    </row>
    <row r="508">
      <c r="D508" s="246"/>
      <c r="E508" s="246"/>
    </row>
    <row r="509">
      <c r="D509" s="246"/>
      <c r="E509" s="246"/>
    </row>
    <row r="510">
      <c r="D510" s="246"/>
      <c r="E510" s="246"/>
    </row>
    <row r="511">
      <c r="D511" s="246"/>
      <c r="E511" s="246"/>
    </row>
    <row r="512">
      <c r="D512" s="246"/>
      <c r="E512" s="246"/>
    </row>
    <row r="513">
      <c r="D513" s="246"/>
      <c r="E513" s="246"/>
    </row>
    <row r="514">
      <c r="D514" s="246"/>
      <c r="E514" s="246"/>
    </row>
    <row r="515">
      <c r="D515" s="246"/>
      <c r="E515" s="246"/>
    </row>
    <row r="516">
      <c r="D516" s="246"/>
      <c r="E516" s="246"/>
    </row>
    <row r="517">
      <c r="D517" s="246"/>
      <c r="E517" s="246"/>
    </row>
    <row r="518">
      <c r="D518" s="246"/>
      <c r="E518" s="246"/>
    </row>
    <row r="519">
      <c r="D519" s="246"/>
      <c r="E519" s="246"/>
    </row>
    <row r="520">
      <c r="D520" s="246"/>
      <c r="E520" s="246"/>
    </row>
    <row r="521">
      <c r="D521" s="246"/>
      <c r="E521" s="246"/>
    </row>
    <row r="522">
      <c r="D522" s="246"/>
      <c r="E522" s="246"/>
    </row>
    <row r="523">
      <c r="D523" s="246"/>
      <c r="E523" s="246"/>
    </row>
    <row r="524">
      <c r="D524" s="246"/>
      <c r="E524" s="246"/>
    </row>
    <row r="525">
      <c r="D525" s="246"/>
      <c r="E525" s="246"/>
    </row>
    <row r="526">
      <c r="D526" s="246"/>
      <c r="E526" s="246"/>
    </row>
    <row r="527">
      <c r="D527" s="246"/>
      <c r="E527" s="246"/>
    </row>
    <row r="528">
      <c r="D528" s="246"/>
      <c r="E528" s="246"/>
    </row>
    <row r="529">
      <c r="D529" s="246"/>
      <c r="E529" s="246"/>
    </row>
    <row r="530">
      <c r="D530" s="246"/>
      <c r="E530" s="246"/>
    </row>
    <row r="531">
      <c r="D531" s="246"/>
      <c r="E531" s="246"/>
    </row>
    <row r="532">
      <c r="D532" s="246"/>
      <c r="E532" s="246"/>
    </row>
    <row r="533">
      <c r="D533" s="246"/>
      <c r="E533" s="246"/>
    </row>
    <row r="534">
      <c r="D534" s="246"/>
      <c r="E534" s="246"/>
    </row>
    <row r="535">
      <c r="D535" s="246"/>
      <c r="E535" s="246"/>
    </row>
    <row r="536">
      <c r="D536" s="246"/>
      <c r="E536" s="246"/>
    </row>
    <row r="537">
      <c r="D537" s="246"/>
      <c r="E537" s="246"/>
    </row>
    <row r="538">
      <c r="D538" s="246"/>
      <c r="E538" s="246"/>
    </row>
    <row r="539">
      <c r="D539" s="246"/>
      <c r="E539" s="246"/>
    </row>
    <row r="540">
      <c r="D540" s="246"/>
      <c r="E540" s="246"/>
    </row>
    <row r="541">
      <c r="D541" s="246"/>
      <c r="E541" s="246"/>
    </row>
    <row r="542">
      <c r="D542" s="246"/>
      <c r="E542" s="246"/>
    </row>
    <row r="543">
      <c r="D543" s="246"/>
      <c r="E543" s="246"/>
    </row>
    <row r="544">
      <c r="D544" s="246"/>
      <c r="E544" s="246"/>
    </row>
    <row r="545">
      <c r="D545" s="246"/>
      <c r="E545" s="246"/>
    </row>
    <row r="546">
      <c r="D546" s="246"/>
      <c r="E546" s="246"/>
    </row>
    <row r="547">
      <c r="D547" s="246"/>
      <c r="E547" s="246"/>
    </row>
    <row r="548">
      <c r="D548" s="246"/>
      <c r="E548" s="246"/>
    </row>
    <row r="549">
      <c r="D549" s="246"/>
      <c r="E549" s="246"/>
    </row>
    <row r="550">
      <c r="D550" s="246"/>
      <c r="E550" s="246"/>
    </row>
    <row r="551">
      <c r="D551" s="246"/>
      <c r="E551" s="246"/>
    </row>
    <row r="552">
      <c r="D552" s="246"/>
      <c r="E552" s="246"/>
    </row>
    <row r="553">
      <c r="D553" s="246"/>
      <c r="E553" s="246"/>
    </row>
    <row r="554">
      <c r="D554" s="246"/>
      <c r="E554" s="246"/>
    </row>
    <row r="555">
      <c r="D555" s="246"/>
      <c r="E555" s="246"/>
    </row>
    <row r="556">
      <c r="D556" s="246"/>
      <c r="E556" s="246"/>
    </row>
    <row r="557">
      <c r="D557" s="246"/>
      <c r="E557" s="246"/>
    </row>
    <row r="558">
      <c r="D558" s="246"/>
      <c r="E558" s="246"/>
    </row>
    <row r="559">
      <c r="D559" s="246"/>
      <c r="E559" s="246"/>
    </row>
    <row r="560">
      <c r="D560" s="246"/>
      <c r="E560" s="246"/>
    </row>
    <row r="561">
      <c r="D561" s="246"/>
      <c r="E561" s="246"/>
    </row>
    <row r="562">
      <c r="D562" s="246"/>
      <c r="E562" s="246"/>
    </row>
    <row r="563">
      <c r="D563" s="246"/>
      <c r="E563" s="246"/>
    </row>
    <row r="564">
      <c r="D564" s="246"/>
      <c r="E564" s="246"/>
    </row>
    <row r="565">
      <c r="D565" s="246"/>
      <c r="E565" s="246"/>
    </row>
    <row r="566">
      <c r="D566" s="246"/>
      <c r="E566" s="246"/>
    </row>
    <row r="567">
      <c r="D567" s="246"/>
      <c r="E567" s="246"/>
    </row>
    <row r="568">
      <c r="D568" s="246"/>
      <c r="E568" s="246"/>
    </row>
    <row r="569">
      <c r="D569" s="246"/>
      <c r="E569" s="246"/>
    </row>
    <row r="570">
      <c r="D570" s="246"/>
      <c r="E570" s="246"/>
    </row>
    <row r="571">
      <c r="D571" s="246"/>
      <c r="E571" s="246"/>
    </row>
    <row r="572">
      <c r="D572" s="246"/>
      <c r="E572" s="246"/>
    </row>
    <row r="573">
      <c r="D573" s="246"/>
      <c r="E573" s="246"/>
    </row>
    <row r="574">
      <c r="D574" s="246"/>
      <c r="E574" s="246"/>
    </row>
    <row r="575">
      <c r="D575" s="246"/>
      <c r="E575" s="246"/>
    </row>
    <row r="576">
      <c r="D576" s="246"/>
      <c r="E576" s="246"/>
    </row>
    <row r="577">
      <c r="D577" s="246"/>
      <c r="E577" s="246"/>
    </row>
    <row r="578">
      <c r="D578" s="246"/>
      <c r="E578" s="246"/>
    </row>
    <row r="579">
      <c r="D579" s="246"/>
      <c r="E579" s="246"/>
    </row>
    <row r="580">
      <c r="D580" s="246"/>
      <c r="E580" s="246"/>
    </row>
    <row r="581">
      <c r="D581" s="246"/>
      <c r="E581" s="246"/>
    </row>
    <row r="582">
      <c r="D582" s="246"/>
      <c r="E582" s="246"/>
    </row>
    <row r="583">
      <c r="D583" s="246"/>
      <c r="E583" s="246"/>
    </row>
    <row r="584">
      <c r="D584" s="246"/>
      <c r="E584" s="246"/>
    </row>
    <row r="585">
      <c r="D585" s="246"/>
      <c r="E585" s="246"/>
    </row>
    <row r="586">
      <c r="D586" s="246"/>
      <c r="E586" s="246"/>
    </row>
    <row r="587">
      <c r="D587" s="246"/>
      <c r="E587" s="246"/>
    </row>
    <row r="588">
      <c r="D588" s="246"/>
      <c r="E588" s="246"/>
    </row>
    <row r="589">
      <c r="D589" s="246"/>
      <c r="E589" s="246"/>
    </row>
    <row r="590">
      <c r="D590" s="246"/>
      <c r="E590" s="246"/>
    </row>
    <row r="591">
      <c r="D591" s="246"/>
      <c r="E591" s="246"/>
    </row>
    <row r="592">
      <c r="D592" s="246"/>
      <c r="E592" s="246"/>
    </row>
    <row r="593">
      <c r="D593" s="246"/>
      <c r="E593" s="246"/>
    </row>
    <row r="594">
      <c r="D594" s="246"/>
      <c r="E594" s="246"/>
    </row>
    <row r="595">
      <c r="D595" s="246"/>
      <c r="E595" s="246"/>
    </row>
    <row r="596">
      <c r="D596" s="246"/>
      <c r="E596" s="246"/>
    </row>
    <row r="597">
      <c r="D597" s="246"/>
      <c r="E597" s="246"/>
    </row>
    <row r="598">
      <c r="D598" s="246"/>
      <c r="E598" s="246"/>
    </row>
    <row r="599">
      <c r="D599" s="246"/>
      <c r="E599" s="246"/>
    </row>
    <row r="600">
      <c r="D600" s="246"/>
      <c r="E600" s="246"/>
    </row>
    <row r="601">
      <c r="D601" s="246"/>
      <c r="E601" s="246"/>
    </row>
    <row r="602">
      <c r="D602" s="246"/>
      <c r="E602" s="246"/>
    </row>
    <row r="603">
      <c r="D603" s="246"/>
      <c r="E603" s="246"/>
    </row>
    <row r="604">
      <c r="D604" s="246"/>
      <c r="E604" s="246"/>
    </row>
    <row r="605">
      <c r="D605" s="246"/>
      <c r="E605" s="246"/>
    </row>
    <row r="606">
      <c r="D606" s="246"/>
      <c r="E606" s="246"/>
    </row>
    <row r="607">
      <c r="D607" s="246"/>
      <c r="E607" s="246"/>
    </row>
    <row r="608">
      <c r="D608" s="246"/>
      <c r="E608" s="246"/>
    </row>
    <row r="609">
      <c r="D609" s="246"/>
      <c r="E609" s="246"/>
    </row>
    <row r="610">
      <c r="D610" s="246"/>
      <c r="E610" s="246"/>
    </row>
    <row r="611">
      <c r="D611" s="246"/>
      <c r="E611" s="246"/>
    </row>
    <row r="612">
      <c r="D612" s="246"/>
      <c r="E612" s="246"/>
    </row>
    <row r="613">
      <c r="D613" s="246"/>
      <c r="E613" s="246"/>
    </row>
    <row r="614">
      <c r="D614" s="246"/>
      <c r="E614" s="246"/>
    </row>
    <row r="615">
      <c r="D615" s="246"/>
      <c r="E615" s="246"/>
    </row>
    <row r="616">
      <c r="D616" s="246"/>
      <c r="E616" s="246"/>
    </row>
    <row r="617">
      <c r="D617" s="246"/>
      <c r="E617" s="246"/>
    </row>
    <row r="618">
      <c r="D618" s="246"/>
      <c r="E618" s="246"/>
    </row>
    <row r="619">
      <c r="D619" s="246"/>
      <c r="E619" s="246"/>
    </row>
    <row r="620">
      <c r="D620" s="246"/>
      <c r="E620" s="246"/>
    </row>
    <row r="621">
      <c r="D621" s="246"/>
      <c r="E621" s="246"/>
    </row>
    <row r="622">
      <c r="D622" s="246"/>
      <c r="E622" s="246"/>
    </row>
    <row r="623">
      <c r="D623" s="246"/>
      <c r="E623" s="246"/>
    </row>
    <row r="624">
      <c r="D624" s="246"/>
      <c r="E624" s="246"/>
    </row>
    <row r="625">
      <c r="D625" s="246"/>
      <c r="E625" s="246"/>
    </row>
    <row r="626">
      <c r="D626" s="246"/>
      <c r="E626" s="246"/>
    </row>
    <row r="627">
      <c r="D627" s="246"/>
      <c r="E627" s="246"/>
    </row>
    <row r="628">
      <c r="D628" s="246"/>
      <c r="E628" s="246"/>
    </row>
    <row r="629">
      <c r="D629" s="246"/>
      <c r="E629" s="246"/>
    </row>
    <row r="630">
      <c r="D630" s="246"/>
      <c r="E630" s="246"/>
    </row>
    <row r="631">
      <c r="D631" s="246"/>
      <c r="E631" s="246"/>
    </row>
    <row r="632">
      <c r="D632" s="246"/>
      <c r="E632" s="246"/>
    </row>
    <row r="633">
      <c r="D633" s="246"/>
      <c r="E633" s="246"/>
    </row>
    <row r="634">
      <c r="D634" s="246"/>
      <c r="E634" s="246"/>
    </row>
    <row r="635">
      <c r="D635" s="246"/>
      <c r="E635" s="246"/>
    </row>
    <row r="636">
      <c r="D636" s="246"/>
      <c r="E636" s="246"/>
    </row>
    <row r="637">
      <c r="D637" s="246"/>
      <c r="E637" s="246"/>
    </row>
    <row r="638">
      <c r="D638" s="246"/>
      <c r="E638" s="246"/>
    </row>
    <row r="639">
      <c r="D639" s="246"/>
      <c r="E639" s="246"/>
    </row>
    <row r="640">
      <c r="D640" s="246"/>
      <c r="E640" s="246"/>
    </row>
    <row r="641">
      <c r="D641" s="246"/>
      <c r="E641" s="246"/>
    </row>
    <row r="642">
      <c r="D642" s="246"/>
      <c r="E642" s="246"/>
    </row>
    <row r="643">
      <c r="D643" s="246"/>
      <c r="E643" s="246"/>
    </row>
    <row r="644">
      <c r="D644" s="246"/>
      <c r="E644" s="246"/>
    </row>
    <row r="645">
      <c r="D645" s="246"/>
      <c r="E645" s="246"/>
    </row>
    <row r="646">
      <c r="D646" s="246"/>
      <c r="E646" s="246"/>
    </row>
    <row r="647">
      <c r="D647" s="246"/>
      <c r="E647" s="246"/>
    </row>
    <row r="648">
      <c r="D648" s="246"/>
      <c r="E648" s="246"/>
    </row>
    <row r="649">
      <c r="D649" s="246"/>
      <c r="E649" s="246"/>
    </row>
    <row r="650">
      <c r="D650" s="246"/>
      <c r="E650" s="246"/>
    </row>
    <row r="651">
      <c r="D651" s="246"/>
      <c r="E651" s="246"/>
    </row>
    <row r="652">
      <c r="D652" s="246"/>
      <c r="E652" s="246"/>
    </row>
    <row r="653">
      <c r="D653" s="246"/>
      <c r="E653" s="246"/>
    </row>
    <row r="654">
      <c r="D654" s="246"/>
      <c r="E654" s="246"/>
    </row>
    <row r="655">
      <c r="D655" s="246"/>
      <c r="E655" s="246"/>
    </row>
    <row r="656">
      <c r="D656" s="246"/>
      <c r="E656" s="246"/>
    </row>
    <row r="657">
      <c r="D657" s="246"/>
      <c r="E657" s="246"/>
    </row>
    <row r="658">
      <c r="D658" s="246"/>
      <c r="E658" s="246"/>
    </row>
    <row r="659">
      <c r="D659" s="246"/>
      <c r="E659" s="246"/>
    </row>
    <row r="660">
      <c r="D660" s="246"/>
      <c r="E660" s="246"/>
    </row>
    <row r="661">
      <c r="D661" s="246"/>
      <c r="E661" s="246"/>
    </row>
    <row r="662">
      <c r="D662" s="246"/>
      <c r="E662" s="246"/>
    </row>
    <row r="663">
      <c r="D663" s="246"/>
      <c r="E663" s="246"/>
    </row>
    <row r="664">
      <c r="D664" s="246"/>
      <c r="E664" s="246"/>
    </row>
    <row r="665">
      <c r="D665" s="246"/>
      <c r="E665" s="246"/>
    </row>
    <row r="666">
      <c r="D666" s="246"/>
      <c r="E666" s="246"/>
    </row>
    <row r="667">
      <c r="D667" s="246"/>
      <c r="E667" s="246"/>
    </row>
    <row r="668">
      <c r="D668" s="246"/>
      <c r="E668" s="246"/>
    </row>
    <row r="669">
      <c r="D669" s="246"/>
      <c r="E669" s="246"/>
    </row>
    <row r="670">
      <c r="D670" s="246"/>
      <c r="E670" s="246"/>
    </row>
    <row r="671">
      <c r="D671" s="246"/>
      <c r="E671" s="246"/>
    </row>
    <row r="672">
      <c r="D672" s="246"/>
      <c r="E672" s="246"/>
    </row>
    <row r="673">
      <c r="D673" s="246"/>
      <c r="E673" s="246"/>
    </row>
    <row r="674">
      <c r="D674" s="246"/>
      <c r="E674" s="246"/>
    </row>
    <row r="675">
      <c r="D675" s="246"/>
      <c r="E675" s="246"/>
    </row>
    <row r="676">
      <c r="D676" s="246"/>
      <c r="E676" s="246"/>
    </row>
    <row r="677">
      <c r="D677" s="246"/>
      <c r="E677" s="246"/>
    </row>
    <row r="678">
      <c r="D678" s="246"/>
      <c r="E678" s="246"/>
    </row>
    <row r="679">
      <c r="D679" s="246"/>
      <c r="E679" s="246"/>
    </row>
    <row r="680">
      <c r="D680" s="246"/>
      <c r="E680" s="246"/>
    </row>
    <row r="681">
      <c r="D681" s="246"/>
      <c r="E681" s="246"/>
    </row>
    <row r="682">
      <c r="D682" s="246"/>
      <c r="E682" s="246"/>
    </row>
    <row r="683">
      <c r="D683" s="246"/>
      <c r="E683" s="246"/>
    </row>
    <row r="684">
      <c r="D684" s="246"/>
      <c r="E684" s="246"/>
    </row>
    <row r="685">
      <c r="D685" s="246"/>
      <c r="E685" s="246"/>
    </row>
    <row r="686">
      <c r="D686" s="246"/>
      <c r="E686" s="246"/>
    </row>
    <row r="687">
      <c r="D687" s="246"/>
      <c r="E687" s="246"/>
    </row>
    <row r="688">
      <c r="D688" s="246"/>
      <c r="E688" s="246"/>
    </row>
    <row r="689">
      <c r="D689" s="246"/>
      <c r="E689" s="246"/>
    </row>
    <row r="690">
      <c r="D690" s="246"/>
      <c r="E690" s="246"/>
    </row>
    <row r="691">
      <c r="D691" s="246"/>
      <c r="E691" s="246"/>
    </row>
    <row r="692">
      <c r="D692" s="246"/>
      <c r="E692" s="246"/>
    </row>
    <row r="693">
      <c r="D693" s="246"/>
      <c r="E693" s="246"/>
    </row>
    <row r="694">
      <c r="D694" s="246"/>
      <c r="E694" s="246"/>
    </row>
    <row r="695">
      <c r="D695" s="246"/>
      <c r="E695" s="246"/>
    </row>
    <row r="696">
      <c r="D696" s="246"/>
      <c r="E696" s="246"/>
    </row>
    <row r="697">
      <c r="D697" s="246"/>
      <c r="E697" s="246"/>
    </row>
    <row r="698">
      <c r="D698" s="246"/>
      <c r="E698" s="246"/>
    </row>
    <row r="699">
      <c r="D699" s="246"/>
      <c r="E699" s="246"/>
    </row>
    <row r="700">
      <c r="D700" s="246"/>
      <c r="E700" s="246"/>
    </row>
    <row r="701">
      <c r="D701" s="246"/>
      <c r="E701" s="246"/>
    </row>
    <row r="702">
      <c r="D702" s="246"/>
      <c r="E702" s="246"/>
    </row>
    <row r="703">
      <c r="D703" s="246"/>
      <c r="E703" s="246"/>
    </row>
    <row r="704">
      <c r="D704" s="246"/>
      <c r="E704" s="246"/>
    </row>
    <row r="705">
      <c r="D705" s="246"/>
      <c r="E705" s="246"/>
    </row>
    <row r="706">
      <c r="D706" s="246"/>
      <c r="E706" s="246"/>
    </row>
    <row r="707">
      <c r="D707" s="246"/>
      <c r="E707" s="246"/>
    </row>
    <row r="708">
      <c r="D708" s="246"/>
      <c r="E708" s="246"/>
    </row>
    <row r="709">
      <c r="D709" s="246"/>
      <c r="E709" s="246"/>
    </row>
    <row r="710">
      <c r="D710" s="246"/>
      <c r="E710" s="246"/>
    </row>
    <row r="711">
      <c r="D711" s="246"/>
      <c r="E711" s="246"/>
    </row>
    <row r="712">
      <c r="D712" s="246"/>
      <c r="E712" s="246"/>
    </row>
    <row r="713">
      <c r="D713" s="246"/>
      <c r="E713" s="246"/>
    </row>
    <row r="714">
      <c r="D714" s="246"/>
      <c r="E714" s="246"/>
    </row>
    <row r="715">
      <c r="D715" s="246"/>
      <c r="E715" s="246"/>
    </row>
    <row r="716">
      <c r="D716" s="246"/>
      <c r="E716" s="246"/>
    </row>
    <row r="717">
      <c r="D717" s="246"/>
      <c r="E717" s="246"/>
    </row>
    <row r="718">
      <c r="D718" s="246"/>
      <c r="E718" s="246"/>
    </row>
    <row r="719">
      <c r="D719" s="246"/>
      <c r="E719" s="246"/>
    </row>
    <row r="720">
      <c r="D720" s="246"/>
      <c r="E720" s="246"/>
    </row>
    <row r="721">
      <c r="D721" s="246"/>
      <c r="E721" s="246"/>
    </row>
    <row r="722">
      <c r="D722" s="246"/>
      <c r="E722" s="246"/>
    </row>
    <row r="723">
      <c r="D723" s="246"/>
      <c r="E723" s="246"/>
    </row>
    <row r="724">
      <c r="D724" s="246"/>
      <c r="E724" s="246"/>
    </row>
    <row r="725">
      <c r="D725" s="246"/>
      <c r="E725" s="246"/>
    </row>
    <row r="726">
      <c r="D726" s="246"/>
      <c r="E726" s="246"/>
    </row>
    <row r="727">
      <c r="D727" s="246"/>
      <c r="E727" s="246"/>
    </row>
    <row r="728">
      <c r="D728" s="246"/>
      <c r="E728" s="246"/>
    </row>
    <row r="729">
      <c r="D729" s="246"/>
      <c r="E729" s="246"/>
    </row>
    <row r="730">
      <c r="D730" s="246"/>
      <c r="E730" s="246"/>
    </row>
    <row r="731">
      <c r="D731" s="246"/>
      <c r="E731" s="246"/>
    </row>
    <row r="732">
      <c r="D732" s="246"/>
      <c r="E732" s="246"/>
    </row>
    <row r="733">
      <c r="D733" s="246"/>
      <c r="E733" s="246"/>
    </row>
    <row r="734">
      <c r="D734" s="246"/>
      <c r="E734" s="246"/>
    </row>
    <row r="735">
      <c r="D735" s="246"/>
      <c r="E735" s="246"/>
    </row>
    <row r="736">
      <c r="D736" s="246"/>
      <c r="E736" s="246"/>
    </row>
    <row r="737">
      <c r="D737" s="246"/>
      <c r="E737" s="246"/>
    </row>
    <row r="738">
      <c r="D738" s="246"/>
      <c r="E738" s="246"/>
    </row>
    <row r="739">
      <c r="D739" s="246"/>
      <c r="E739" s="246"/>
    </row>
    <row r="740">
      <c r="D740" s="246"/>
      <c r="E740" s="246"/>
    </row>
    <row r="741">
      <c r="D741" s="246"/>
      <c r="E741" s="246"/>
    </row>
    <row r="742">
      <c r="D742" s="246"/>
      <c r="E742" s="246"/>
    </row>
    <row r="743">
      <c r="D743" s="246"/>
      <c r="E743" s="246"/>
    </row>
    <row r="744">
      <c r="D744" s="246"/>
      <c r="E744" s="246"/>
    </row>
    <row r="745">
      <c r="D745" s="246"/>
      <c r="E745" s="246"/>
    </row>
    <row r="746">
      <c r="D746" s="246"/>
      <c r="E746" s="246"/>
    </row>
    <row r="747">
      <c r="D747" s="246"/>
      <c r="E747" s="246"/>
    </row>
    <row r="748">
      <c r="D748" s="246"/>
      <c r="E748" s="246"/>
    </row>
    <row r="749">
      <c r="D749" s="246"/>
      <c r="E749" s="246"/>
    </row>
    <row r="750">
      <c r="D750" s="246"/>
      <c r="E750" s="246"/>
    </row>
    <row r="751">
      <c r="D751" s="246"/>
      <c r="E751" s="246"/>
    </row>
    <row r="752">
      <c r="D752" s="246"/>
      <c r="E752" s="246"/>
    </row>
    <row r="753">
      <c r="D753" s="246"/>
      <c r="E753" s="246"/>
    </row>
    <row r="754">
      <c r="D754" s="246"/>
      <c r="E754" s="246"/>
    </row>
    <row r="755">
      <c r="D755" s="246"/>
      <c r="E755" s="246"/>
    </row>
    <row r="756">
      <c r="D756" s="246"/>
      <c r="E756" s="246"/>
    </row>
    <row r="757">
      <c r="D757" s="246"/>
      <c r="E757" s="246"/>
    </row>
    <row r="758">
      <c r="D758" s="246"/>
      <c r="E758" s="246"/>
    </row>
    <row r="759">
      <c r="D759" s="246"/>
      <c r="E759" s="246"/>
    </row>
    <row r="760">
      <c r="D760" s="246"/>
      <c r="E760" s="246"/>
    </row>
    <row r="761">
      <c r="D761" s="246"/>
      <c r="E761" s="246"/>
    </row>
    <row r="762">
      <c r="D762" s="246"/>
      <c r="E762" s="246"/>
    </row>
    <row r="763">
      <c r="D763" s="246"/>
      <c r="E763" s="246"/>
    </row>
    <row r="764">
      <c r="D764" s="246"/>
      <c r="E764" s="246"/>
    </row>
    <row r="765">
      <c r="D765" s="246"/>
      <c r="E765" s="246"/>
    </row>
    <row r="766">
      <c r="D766" s="246"/>
      <c r="E766" s="246"/>
    </row>
    <row r="767">
      <c r="D767" s="246"/>
      <c r="E767" s="246"/>
    </row>
    <row r="768">
      <c r="D768" s="246"/>
      <c r="E768" s="246"/>
    </row>
    <row r="769">
      <c r="D769" s="246"/>
      <c r="E769" s="246"/>
    </row>
    <row r="770">
      <c r="D770" s="246"/>
      <c r="E770" s="246"/>
    </row>
    <row r="771">
      <c r="D771" s="246"/>
      <c r="E771" s="246"/>
    </row>
    <row r="772">
      <c r="D772" s="246"/>
      <c r="E772" s="246"/>
    </row>
    <row r="773">
      <c r="D773" s="246"/>
      <c r="E773" s="246"/>
    </row>
    <row r="774">
      <c r="D774" s="246"/>
      <c r="E774" s="246"/>
    </row>
    <row r="775">
      <c r="D775" s="246"/>
      <c r="E775" s="246"/>
    </row>
    <row r="776">
      <c r="D776" s="246"/>
      <c r="E776" s="246"/>
    </row>
    <row r="777">
      <c r="D777" s="246"/>
      <c r="E777" s="246"/>
    </row>
    <row r="778">
      <c r="D778" s="246"/>
      <c r="E778" s="246"/>
    </row>
    <row r="779">
      <c r="D779" s="246"/>
      <c r="E779" s="246"/>
    </row>
    <row r="780">
      <c r="D780" s="246"/>
      <c r="E780" s="246"/>
    </row>
    <row r="781">
      <c r="D781" s="246"/>
      <c r="E781" s="246"/>
    </row>
    <row r="782">
      <c r="D782" s="246"/>
      <c r="E782" s="246"/>
    </row>
    <row r="783">
      <c r="D783" s="246"/>
      <c r="E783" s="246"/>
    </row>
    <row r="784">
      <c r="D784" s="246"/>
      <c r="E784" s="246"/>
    </row>
    <row r="785">
      <c r="D785" s="246"/>
      <c r="E785" s="246"/>
    </row>
    <row r="786">
      <c r="D786" s="246"/>
      <c r="E786" s="246"/>
    </row>
    <row r="787">
      <c r="D787" s="246"/>
      <c r="E787" s="246"/>
    </row>
    <row r="788">
      <c r="D788" s="246"/>
      <c r="E788" s="246"/>
    </row>
    <row r="789">
      <c r="D789" s="246"/>
      <c r="E789" s="246"/>
    </row>
    <row r="790">
      <c r="D790" s="246"/>
      <c r="E790" s="246"/>
    </row>
    <row r="791">
      <c r="D791" s="246"/>
      <c r="E791" s="246"/>
    </row>
    <row r="792">
      <c r="D792" s="246"/>
      <c r="E792" s="246"/>
    </row>
    <row r="793">
      <c r="D793" s="246"/>
      <c r="E793" s="246"/>
    </row>
    <row r="794">
      <c r="D794" s="246"/>
      <c r="E794" s="246"/>
    </row>
    <row r="795">
      <c r="D795" s="246"/>
      <c r="E795" s="246"/>
    </row>
    <row r="796">
      <c r="D796" s="246"/>
      <c r="E796" s="246"/>
    </row>
    <row r="797">
      <c r="D797" s="246"/>
      <c r="E797" s="246"/>
    </row>
    <row r="798">
      <c r="D798" s="246"/>
      <c r="E798" s="246"/>
    </row>
    <row r="799">
      <c r="D799" s="246"/>
      <c r="E799" s="246"/>
    </row>
    <row r="800">
      <c r="D800" s="246"/>
      <c r="E800" s="246"/>
    </row>
    <row r="801">
      <c r="D801" s="246"/>
      <c r="E801" s="246"/>
    </row>
    <row r="802">
      <c r="D802" s="246"/>
      <c r="E802" s="246"/>
    </row>
    <row r="803">
      <c r="D803" s="246"/>
      <c r="E803" s="246"/>
    </row>
    <row r="804">
      <c r="D804" s="246"/>
      <c r="E804" s="246"/>
    </row>
    <row r="805">
      <c r="D805" s="246"/>
      <c r="E805" s="246"/>
    </row>
    <row r="806">
      <c r="D806" s="246"/>
      <c r="E806" s="246"/>
    </row>
    <row r="807">
      <c r="D807" s="246"/>
      <c r="E807" s="246"/>
    </row>
    <row r="808">
      <c r="D808" s="246"/>
      <c r="E808" s="246"/>
    </row>
    <row r="809">
      <c r="D809" s="246"/>
      <c r="E809" s="246"/>
    </row>
    <row r="810">
      <c r="D810" s="246"/>
      <c r="E810" s="246"/>
    </row>
    <row r="811">
      <c r="D811" s="246"/>
      <c r="E811" s="246"/>
    </row>
    <row r="812">
      <c r="D812" s="246"/>
      <c r="E812" s="246"/>
    </row>
    <row r="813">
      <c r="D813" s="246"/>
      <c r="E813" s="246"/>
    </row>
    <row r="814">
      <c r="D814" s="246"/>
      <c r="E814" s="246"/>
    </row>
    <row r="815">
      <c r="D815" s="246"/>
      <c r="E815" s="246"/>
    </row>
    <row r="816">
      <c r="D816" s="246"/>
      <c r="E816" s="246"/>
    </row>
    <row r="817">
      <c r="D817" s="246"/>
      <c r="E817" s="246"/>
    </row>
    <row r="818">
      <c r="D818" s="246"/>
      <c r="E818" s="246"/>
    </row>
    <row r="819">
      <c r="D819" s="246"/>
      <c r="E819" s="246"/>
    </row>
    <row r="820">
      <c r="D820" s="246"/>
      <c r="E820" s="246"/>
    </row>
    <row r="821">
      <c r="D821" s="246"/>
      <c r="E821" s="246"/>
    </row>
    <row r="822">
      <c r="D822" s="246"/>
      <c r="E822" s="246"/>
    </row>
    <row r="823">
      <c r="D823" s="246"/>
      <c r="E823" s="246"/>
    </row>
    <row r="824">
      <c r="D824" s="246"/>
      <c r="E824" s="246"/>
    </row>
    <row r="825">
      <c r="D825" s="246"/>
      <c r="E825" s="246"/>
    </row>
    <row r="826">
      <c r="D826" s="246"/>
      <c r="E826" s="246"/>
    </row>
    <row r="827">
      <c r="D827" s="246"/>
      <c r="E827" s="246"/>
    </row>
    <row r="828">
      <c r="D828" s="246"/>
      <c r="E828" s="246"/>
    </row>
    <row r="829">
      <c r="D829" s="246"/>
      <c r="E829" s="246"/>
    </row>
    <row r="830">
      <c r="D830" s="246"/>
      <c r="E830" s="246"/>
    </row>
    <row r="831">
      <c r="D831" s="246"/>
      <c r="E831" s="246"/>
    </row>
    <row r="832">
      <c r="D832" s="246"/>
      <c r="E832" s="246"/>
    </row>
    <row r="833">
      <c r="D833" s="246"/>
      <c r="E833" s="246"/>
    </row>
    <row r="834">
      <c r="D834" s="246"/>
      <c r="E834" s="246"/>
    </row>
    <row r="835">
      <c r="D835" s="246"/>
      <c r="E835" s="246"/>
    </row>
    <row r="836">
      <c r="D836" s="246"/>
      <c r="E836" s="246"/>
    </row>
    <row r="837">
      <c r="D837" s="246"/>
      <c r="E837" s="246"/>
    </row>
    <row r="838">
      <c r="D838" s="246"/>
      <c r="E838" s="246"/>
    </row>
    <row r="839">
      <c r="D839" s="246"/>
      <c r="E839" s="246"/>
    </row>
    <row r="840">
      <c r="D840" s="246"/>
      <c r="E840" s="246"/>
    </row>
    <row r="841">
      <c r="D841" s="246"/>
      <c r="E841" s="246"/>
    </row>
    <row r="842">
      <c r="D842" s="246"/>
      <c r="E842" s="246"/>
    </row>
    <row r="843">
      <c r="D843" s="246"/>
      <c r="E843" s="246"/>
    </row>
    <row r="844">
      <c r="D844" s="246"/>
      <c r="E844" s="246"/>
    </row>
    <row r="845">
      <c r="D845" s="246"/>
      <c r="E845" s="246"/>
    </row>
    <row r="846">
      <c r="D846" s="246"/>
      <c r="E846" s="246"/>
    </row>
    <row r="847">
      <c r="D847" s="246"/>
      <c r="E847" s="246"/>
    </row>
    <row r="848">
      <c r="D848" s="246"/>
      <c r="E848" s="246"/>
    </row>
    <row r="849">
      <c r="D849" s="246"/>
      <c r="E849" s="246"/>
    </row>
    <row r="850">
      <c r="D850" s="246"/>
      <c r="E850" s="246"/>
    </row>
    <row r="851">
      <c r="D851" s="246"/>
      <c r="E851" s="246"/>
    </row>
    <row r="852">
      <c r="D852" s="246"/>
      <c r="E852" s="246"/>
    </row>
    <row r="853">
      <c r="D853" s="246"/>
      <c r="E853" s="246"/>
    </row>
    <row r="854">
      <c r="D854" s="246"/>
      <c r="E854" s="246"/>
    </row>
    <row r="855">
      <c r="D855" s="246"/>
      <c r="E855" s="246"/>
    </row>
    <row r="856">
      <c r="D856" s="246"/>
      <c r="E856" s="246"/>
    </row>
    <row r="857">
      <c r="D857" s="246"/>
      <c r="E857" s="246"/>
    </row>
    <row r="858">
      <c r="D858" s="246"/>
      <c r="E858" s="246"/>
    </row>
    <row r="859">
      <c r="D859" s="246"/>
      <c r="E859" s="246"/>
    </row>
    <row r="860">
      <c r="D860" s="246"/>
      <c r="E860" s="246"/>
    </row>
    <row r="861">
      <c r="D861" s="246"/>
      <c r="E861" s="246"/>
    </row>
    <row r="862">
      <c r="D862" s="246"/>
      <c r="E862" s="246"/>
    </row>
    <row r="863">
      <c r="D863" s="246"/>
      <c r="E863" s="246"/>
    </row>
    <row r="864">
      <c r="D864" s="246"/>
      <c r="E864" s="246"/>
    </row>
    <row r="865">
      <c r="D865" s="246"/>
      <c r="E865" s="246"/>
    </row>
    <row r="866">
      <c r="D866" s="246"/>
      <c r="E866" s="246"/>
    </row>
    <row r="867">
      <c r="D867" s="246"/>
      <c r="E867" s="246"/>
    </row>
    <row r="868">
      <c r="D868" s="246"/>
      <c r="E868" s="246"/>
    </row>
    <row r="869">
      <c r="D869" s="246"/>
      <c r="E869" s="246"/>
    </row>
    <row r="870">
      <c r="D870" s="246"/>
      <c r="E870" s="246"/>
    </row>
    <row r="871">
      <c r="D871" s="246"/>
      <c r="E871" s="246"/>
    </row>
    <row r="872">
      <c r="D872" s="246"/>
      <c r="E872" s="246"/>
    </row>
    <row r="873">
      <c r="D873" s="246"/>
      <c r="E873" s="246"/>
    </row>
    <row r="874">
      <c r="D874" s="246"/>
      <c r="E874" s="246"/>
    </row>
    <row r="875">
      <c r="D875" s="246"/>
      <c r="E875" s="246"/>
    </row>
    <row r="876">
      <c r="D876" s="246"/>
      <c r="E876" s="246"/>
    </row>
    <row r="877">
      <c r="D877" s="246"/>
      <c r="E877" s="246"/>
    </row>
    <row r="878">
      <c r="D878" s="246"/>
      <c r="E878" s="246"/>
    </row>
    <row r="879">
      <c r="D879" s="246"/>
      <c r="E879" s="246"/>
    </row>
    <row r="880">
      <c r="D880" s="246"/>
      <c r="E880" s="246"/>
    </row>
    <row r="881">
      <c r="D881" s="246"/>
      <c r="E881" s="246"/>
    </row>
    <row r="882">
      <c r="D882" s="246"/>
      <c r="E882" s="246"/>
    </row>
    <row r="883">
      <c r="D883" s="246"/>
      <c r="E883" s="246"/>
    </row>
    <row r="884">
      <c r="D884" s="246"/>
      <c r="E884" s="246"/>
    </row>
    <row r="885">
      <c r="D885" s="246"/>
      <c r="E885" s="246"/>
    </row>
    <row r="886">
      <c r="D886" s="246"/>
      <c r="E886" s="246"/>
    </row>
    <row r="887">
      <c r="D887" s="246"/>
      <c r="E887" s="246"/>
    </row>
    <row r="888">
      <c r="D888" s="246"/>
      <c r="E888" s="246"/>
    </row>
    <row r="889">
      <c r="D889" s="246"/>
      <c r="E889" s="246"/>
    </row>
    <row r="890">
      <c r="D890" s="246"/>
      <c r="E890" s="246"/>
    </row>
    <row r="891">
      <c r="D891" s="246"/>
      <c r="E891" s="246"/>
    </row>
    <row r="892">
      <c r="D892" s="246"/>
      <c r="E892" s="246"/>
    </row>
    <row r="893">
      <c r="D893" s="246"/>
      <c r="E893" s="246"/>
    </row>
    <row r="894">
      <c r="D894" s="246"/>
      <c r="E894" s="246"/>
    </row>
    <row r="895">
      <c r="D895" s="246"/>
      <c r="E895" s="246"/>
    </row>
    <row r="896">
      <c r="D896" s="246"/>
      <c r="E896" s="246"/>
    </row>
    <row r="897">
      <c r="D897" s="246"/>
      <c r="E897" s="246"/>
    </row>
    <row r="898">
      <c r="D898" s="246"/>
      <c r="E898" s="246"/>
    </row>
    <row r="899">
      <c r="D899" s="246"/>
      <c r="E899" s="246"/>
    </row>
    <row r="900">
      <c r="D900" s="246"/>
      <c r="E900" s="246"/>
    </row>
    <row r="901">
      <c r="D901" s="246"/>
      <c r="E901" s="246"/>
    </row>
    <row r="902">
      <c r="D902" s="246"/>
      <c r="E902" s="246"/>
    </row>
    <row r="903">
      <c r="D903" s="246"/>
      <c r="E903" s="246"/>
    </row>
    <row r="904">
      <c r="D904" s="246"/>
      <c r="E904" s="246"/>
    </row>
    <row r="905">
      <c r="D905" s="246"/>
      <c r="E905" s="246"/>
    </row>
    <row r="906">
      <c r="D906" s="246"/>
      <c r="E906" s="246"/>
    </row>
    <row r="907">
      <c r="D907" s="246"/>
      <c r="E907" s="246"/>
    </row>
    <row r="908">
      <c r="D908" s="246"/>
      <c r="E908" s="246"/>
    </row>
    <row r="909">
      <c r="D909" s="246"/>
      <c r="E909" s="246"/>
    </row>
    <row r="910">
      <c r="D910" s="246"/>
      <c r="E910" s="246"/>
    </row>
    <row r="911">
      <c r="D911" s="246"/>
      <c r="E911" s="246"/>
    </row>
    <row r="912">
      <c r="D912" s="246"/>
      <c r="E912" s="246"/>
    </row>
    <row r="913">
      <c r="D913" s="246"/>
      <c r="E913" s="246"/>
    </row>
    <row r="914">
      <c r="D914" s="246"/>
      <c r="E914" s="246"/>
    </row>
    <row r="915">
      <c r="D915" s="246"/>
      <c r="E915" s="246"/>
    </row>
    <row r="916">
      <c r="D916" s="246"/>
      <c r="E916" s="246"/>
    </row>
    <row r="917">
      <c r="D917" s="246"/>
      <c r="E917" s="246"/>
    </row>
    <row r="918">
      <c r="D918" s="246"/>
      <c r="E918" s="246"/>
    </row>
    <row r="919">
      <c r="D919" s="246"/>
      <c r="E919" s="246"/>
    </row>
    <row r="920">
      <c r="D920" s="246"/>
      <c r="E920" s="246"/>
    </row>
    <row r="921">
      <c r="D921" s="246"/>
      <c r="E921" s="246"/>
    </row>
    <row r="922">
      <c r="D922" s="246"/>
      <c r="E922" s="246"/>
    </row>
    <row r="923">
      <c r="D923" s="246"/>
      <c r="E923" s="246"/>
    </row>
    <row r="924">
      <c r="D924" s="246"/>
      <c r="E924" s="246"/>
    </row>
    <row r="925">
      <c r="D925" s="246"/>
      <c r="E925" s="246"/>
    </row>
    <row r="926">
      <c r="D926" s="246"/>
      <c r="E926" s="246"/>
    </row>
    <row r="927">
      <c r="D927" s="246"/>
      <c r="E927" s="246"/>
    </row>
    <row r="928">
      <c r="D928" s="246"/>
      <c r="E928" s="246"/>
    </row>
    <row r="929">
      <c r="D929" s="246"/>
      <c r="E929" s="246"/>
    </row>
    <row r="930">
      <c r="D930" s="246"/>
      <c r="E930" s="246"/>
    </row>
    <row r="931">
      <c r="D931" s="246"/>
      <c r="E931" s="246"/>
    </row>
    <row r="932">
      <c r="D932" s="246"/>
      <c r="E932" s="246"/>
    </row>
    <row r="933">
      <c r="D933" s="246"/>
      <c r="E933" s="246"/>
    </row>
    <row r="934">
      <c r="D934" s="246"/>
      <c r="E934" s="246"/>
    </row>
    <row r="935">
      <c r="D935" s="246"/>
      <c r="E935" s="246"/>
    </row>
    <row r="936">
      <c r="D936" s="246"/>
      <c r="E936" s="246"/>
    </row>
    <row r="937">
      <c r="D937" s="246"/>
      <c r="E937" s="246"/>
    </row>
    <row r="938">
      <c r="D938" s="246"/>
      <c r="E938" s="246"/>
    </row>
    <row r="939">
      <c r="D939" s="246"/>
      <c r="E939" s="246"/>
    </row>
    <row r="940">
      <c r="D940" s="246"/>
      <c r="E940" s="246"/>
    </row>
    <row r="941">
      <c r="D941" s="246"/>
      <c r="E941" s="246"/>
    </row>
    <row r="942">
      <c r="D942" s="246"/>
      <c r="E942" s="246"/>
    </row>
    <row r="943">
      <c r="D943" s="246"/>
      <c r="E943" s="246"/>
    </row>
    <row r="944">
      <c r="D944" s="246"/>
      <c r="E944" s="246"/>
    </row>
    <row r="945">
      <c r="D945" s="246"/>
      <c r="E945" s="246"/>
    </row>
    <row r="946">
      <c r="D946" s="246"/>
      <c r="E946" s="246"/>
    </row>
    <row r="947">
      <c r="D947" s="246"/>
      <c r="E947" s="246"/>
    </row>
    <row r="948">
      <c r="D948" s="246"/>
      <c r="E948" s="246"/>
    </row>
    <row r="949">
      <c r="D949" s="246"/>
      <c r="E949" s="246"/>
    </row>
    <row r="950">
      <c r="D950" s="246"/>
      <c r="E950" s="246"/>
    </row>
    <row r="951">
      <c r="D951" s="246"/>
      <c r="E951" s="246"/>
    </row>
    <row r="952">
      <c r="D952" s="246"/>
      <c r="E952" s="246"/>
    </row>
    <row r="953">
      <c r="D953" s="246"/>
      <c r="E953" s="246"/>
    </row>
    <row r="954">
      <c r="D954" s="246"/>
      <c r="E954" s="246"/>
    </row>
    <row r="955">
      <c r="D955" s="246"/>
      <c r="E955" s="246"/>
    </row>
    <row r="956">
      <c r="D956" s="246"/>
      <c r="E956" s="246"/>
    </row>
    <row r="957">
      <c r="D957" s="246"/>
      <c r="E957" s="246"/>
    </row>
    <row r="958">
      <c r="D958" s="246"/>
      <c r="E958" s="246"/>
    </row>
    <row r="959">
      <c r="D959" s="246"/>
      <c r="E959" s="246"/>
    </row>
    <row r="960">
      <c r="D960" s="246"/>
      <c r="E960" s="246"/>
    </row>
    <row r="961">
      <c r="D961" s="246"/>
      <c r="E961" s="246"/>
    </row>
    <row r="962">
      <c r="D962" s="246"/>
      <c r="E962" s="246"/>
    </row>
    <row r="963">
      <c r="D963" s="246"/>
      <c r="E963" s="246"/>
    </row>
    <row r="964">
      <c r="D964" s="246"/>
      <c r="E964" s="246"/>
    </row>
    <row r="965">
      <c r="D965" s="246"/>
      <c r="E965" s="246"/>
    </row>
    <row r="966">
      <c r="D966" s="246"/>
      <c r="E966" s="246"/>
    </row>
    <row r="967">
      <c r="D967" s="246"/>
      <c r="E967" s="246"/>
    </row>
    <row r="968">
      <c r="D968" s="246"/>
      <c r="E968" s="246"/>
    </row>
    <row r="969">
      <c r="D969" s="246"/>
      <c r="E969" s="246"/>
    </row>
    <row r="970">
      <c r="D970" s="246"/>
      <c r="E970" s="246"/>
    </row>
    <row r="971">
      <c r="D971" s="246"/>
      <c r="E971" s="246"/>
    </row>
    <row r="972">
      <c r="D972" s="246"/>
      <c r="E972" s="246"/>
    </row>
    <row r="973">
      <c r="D973" s="246"/>
      <c r="E973" s="246"/>
    </row>
    <row r="974">
      <c r="D974" s="246"/>
      <c r="E974" s="246"/>
    </row>
    <row r="975">
      <c r="D975" s="246"/>
      <c r="E975" s="246"/>
    </row>
    <row r="976">
      <c r="D976" s="246"/>
      <c r="E976" s="246"/>
    </row>
    <row r="977">
      <c r="D977" s="246"/>
      <c r="E977" s="246"/>
    </row>
    <row r="978">
      <c r="D978" s="246"/>
      <c r="E978" s="246"/>
    </row>
    <row r="979">
      <c r="D979" s="246"/>
      <c r="E979" s="246"/>
    </row>
    <row r="980">
      <c r="D980" s="246"/>
      <c r="E980" s="246"/>
    </row>
    <row r="981">
      <c r="D981" s="246"/>
      <c r="E981" s="246"/>
    </row>
    <row r="982">
      <c r="D982" s="246"/>
      <c r="E982" s="246"/>
    </row>
    <row r="983">
      <c r="D983" s="246"/>
      <c r="E983" s="246"/>
    </row>
    <row r="984">
      <c r="D984" s="246"/>
      <c r="E984" s="246"/>
    </row>
    <row r="985">
      <c r="D985" s="246"/>
      <c r="E985" s="246"/>
    </row>
    <row r="986">
      <c r="D986" s="246"/>
      <c r="E986" s="246"/>
    </row>
    <row r="987">
      <c r="D987" s="246"/>
      <c r="E987" s="246"/>
    </row>
    <row r="988">
      <c r="D988" s="246"/>
      <c r="E988" s="246"/>
    </row>
    <row r="989">
      <c r="D989" s="246"/>
      <c r="E989" s="246"/>
    </row>
    <row r="990">
      <c r="D990" s="246"/>
      <c r="E990" s="246"/>
    </row>
    <row r="991">
      <c r="D991" s="246"/>
      <c r="E991" s="246"/>
    </row>
    <row r="992">
      <c r="D992" s="246"/>
      <c r="E992" s="246"/>
    </row>
    <row r="993">
      <c r="D993" s="246"/>
      <c r="E993" s="246"/>
    </row>
    <row r="994">
      <c r="D994" s="246"/>
      <c r="E994" s="246"/>
    </row>
    <row r="995">
      <c r="D995" s="246"/>
      <c r="E995" s="246"/>
    </row>
    <row r="996">
      <c r="D996" s="246"/>
      <c r="E996" s="246"/>
    </row>
    <row r="997">
      <c r="D997" s="246"/>
      <c r="E997" s="246"/>
    </row>
    <row r="998">
      <c r="D998" s="246"/>
      <c r="E998" s="246"/>
    </row>
    <row r="999">
      <c r="D999" s="246"/>
      <c r="E999" s="246"/>
    </row>
  </sheetData>
  <autoFilter ref="$A$1:$E$30"/>
  <drawing r:id="rId1"/>
</worksheet>
</file>

<file path=xl/worksheets/sheet8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</sheetPr>
  <sheetViews>
    <sheetView workbookViewId="0">
      <selection pane="topLeft" activeCell="A1"/>
    </sheetView>
  </sheetViews>
  <sheetFormatPr baseColWidth="8" defaultColWidth="15.13" defaultRowHeight="15"/>
  <sheetData>
    <row r="1">
      <c r="A1" s="128" t="s">
        <v>361</v>
      </c>
    </row>
    <row r="2">
      <c r="B2" s="128" t="s">
        <v>362</v>
      </c>
      <c r="C2" s="128" t="s">
        <v>363</v>
      </c>
    </row>
    <row r="3">
      <c r="A3" s="128" t="s">
        <v>364</v>
      </c>
      <c r="B3" s="128" t="s">
        <v>79</v>
      </c>
    </row>
    <row r="4">
      <c r="A4" s="128" t="s">
        <v>365</v>
      </c>
      <c r="B4" s="128" t="s">
        <v>66</v>
      </c>
      <c r="C4" s="128" t="s">
        <v>65</v>
      </c>
    </row>
    <row r="5">
      <c r="A5" s="128" t="s">
        <v>366</v>
      </c>
      <c r="B5" s="128" t="s">
        <v>182</v>
      </c>
      <c r="C5" s="128" t="s">
        <v>127</v>
      </c>
    </row>
    <row r="6">
      <c r="A6" s="128" t="s">
        <v>367</v>
      </c>
      <c r="B6" s="128" t="s">
        <v>83</v>
      </c>
      <c r="C6" s="128" t="s">
        <v>368</v>
      </c>
    </row>
    <row r="7">
      <c r="A7" s="128" t="s">
        <v>369</v>
      </c>
      <c r="B7" s="128" t="s">
        <v>127</v>
      </c>
      <c r="C7" s="128" t="s">
        <v>79</v>
      </c>
    </row>
    <row r="8">
      <c r="A8" s="128" t="s">
        <v>370</v>
      </c>
      <c r="B8" s="128" t="s">
        <v>57</v>
      </c>
    </row>
    <row r="9">
      <c r="A9" s="128" t="s">
        <v>371</v>
      </c>
      <c r="B9" s="128" t="s">
        <v>83</v>
      </c>
    </row>
    <row r="10">
      <c r="A10" s="128" t="s">
        <v>372</v>
      </c>
      <c r="B10" s="128" t="s">
        <v>83</v>
      </c>
    </row>
    <row r="11">
      <c r="A11" s="128" t="s">
        <v>373</v>
      </c>
      <c r="B11" s="128" t="s">
        <v>83</v>
      </c>
    </row>
  </sheetData>
  <drawing r:id="rId1"/>
</worksheet>
</file>

<file path=xl/worksheets/sheet9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</sheetPr>
  <sheetViews>
    <sheetView workbookViewId="0">
      <selection pane="topLeft" activeCell="A1"/>
    </sheetView>
  </sheetViews>
  <sheetFormatPr baseColWidth="8" defaultColWidth="15.13" defaultRowHeight="15"/>
  <sheetData>
    <row r="1">
      <c r="H1" s="247" t="s">
        <v>374</v>
      </c>
      <c r="I1" s="250" t="s">
        <v>375</v>
      </c>
      <c r="K1" s="247" t="s">
        <v>376</v>
      </c>
      <c r="L1" s="251" t="s">
        <v>375</v>
      </c>
      <c r="M1" s="252" t="s">
        <v>377</v>
      </c>
      <c r="N1" s="253" t="s">
        <v>378</v>
      </c>
      <c r="O1" s="253" t="s">
        <v>379</v>
      </c>
      <c r="P1" s="253" t="s">
        <v>380</v>
      </c>
      <c r="Q1" s="247" t="s">
        <v>381</v>
      </c>
      <c r="R1" s="128" t="s">
        <v>382</v>
      </c>
    </row>
    <row r="2">
      <c r="A2" t="e">
        <f>#REF!</f>
        <v>#REF!</v>
      </c>
      <c r="B2" t="e">
        <f>#REF!</f>
        <v>#REF!</v>
      </c>
      <c r="C2" t="e">
        <f>#REF!</f>
        <v>#REF!</v>
      </c>
      <c r="D2" t="e">
        <f>#REF!</f>
        <v>#REF!</v>
      </c>
      <c r="E2" s="254" t="e">
        <f>#REF!</f>
        <v>#REF!</v>
      </c>
      <c r="F2" s="255" t="e">
        <f>#REF!</f>
        <v>#REF!</v>
      </c>
      <c r="G2" t="e">
        <f>C2&amp;" "&amp;B2</f>
        <v>#REF!</v>
      </c>
      <c r="H2" s="256" t="e">
        <f>#REF!</f>
        <v>#REF!</v>
      </c>
      <c r="I2" s="256" t="e">
        <f>AVERAGE(H$2:H$51)</f>
        <v>#REF!</v>
      </c>
      <c r="J2" s="257" t="e">
        <f>#REF!</f>
        <v>#REF!</v>
      </c>
      <c r="K2" s="258" t="e">
        <f>IF(DAY(J2)&gt;30,24+HOUR(J2)+MINUTE(J2)/60,HOUR(J2)+MINUTE(J2)/60)</f>
        <v>#REF!</v>
      </c>
      <c r="L2" s="258" t="e">
        <f>AVERAGE(K$2:K$51)</f>
        <v>#REF!</v>
      </c>
      <c r="M2" s="247">
        <v>24</v>
      </c>
      <c r="N2" s="247">
        <v>36</v>
      </c>
      <c r="O2" s="259" t="e">
        <f>#REF!</f>
        <v>#REF!</v>
      </c>
      <c r="P2" s="259" t="e">
        <f>IF(O2&gt;0,O2-E2,"")</f>
        <v>#REF!</v>
      </c>
      <c r="Q2" s="258" t="e">
        <f>HOUR(P2)+MINUTE(P2)/60</f>
        <v>#REF!</v>
      </c>
      <c r="R2" t="e">
        <f>HOUR("02.23.00")+MINUTE("02.23.00")/60</f>
        <v>#VALUE!</v>
      </c>
      <c r="S2" t="e">
        <f>AVERAGE(Q2:Q61)</f>
        <v>#REF!</v>
      </c>
      <c r="T2" t="e">
        <f>O2-E2</f>
        <v>#REF!</v>
      </c>
      <c r="U2" s="258" t="e">
        <f>IF(DAY(T2)&gt;30,24+HOUR(T2)+MINUTE(T2)/60,HOUR(T2)+MINUTE(T2)/60)</f>
        <v>#REF!</v>
      </c>
    </row>
    <row r="3">
      <c r="A3" t="e">
        <f>#REF!</f>
        <v>#REF!</v>
      </c>
      <c r="B3" t="e">
        <f>#REF!</f>
        <v>#REF!</v>
      </c>
      <c r="C3" t="e">
        <f>#REF!</f>
        <v>#REF!</v>
      </c>
      <c r="D3" t="e">
        <f>#REF!</f>
        <v>#REF!</v>
      </c>
      <c r="E3" s="254" t="e">
        <f>#REF!</f>
        <v>#REF!</v>
      </c>
      <c r="F3" s="255" t="e">
        <f>#REF!</f>
        <v>#REF!</v>
      </c>
      <c r="G3" t="e">
        <f>C3&amp;" "&amp;B3</f>
        <v>#REF!</v>
      </c>
      <c r="H3" s="256" t="e">
        <f>#REF!</f>
        <v>#REF!</v>
      </c>
      <c r="I3" s="256" t="e">
        <f>AVERAGE(H$2:H$51)</f>
        <v>#REF!</v>
      </c>
      <c r="J3" s="257" t="e">
        <f>#REF!</f>
        <v>#REF!</v>
      </c>
      <c r="K3" s="258" t="e">
        <f>IF(DAY(J3)&gt;30,24+HOUR(J3)+MINUTE(J3)/60,HOUR(J3)+MINUTE(J3)/60)</f>
        <v>#REF!</v>
      </c>
      <c r="L3" s="258" t="e">
        <f>AVERAGE(K$2:K$51)</f>
        <v>#REF!</v>
      </c>
      <c r="M3" s="247">
        <v>24</v>
      </c>
      <c r="N3" s="247">
        <v>36</v>
      </c>
      <c r="O3" s="259" t="e">
        <f>#REF!</f>
        <v>#REF!</v>
      </c>
      <c r="P3" s="259" t="e">
        <f>IF(O3&gt;0,O3-E3,"")</f>
        <v>#REF!</v>
      </c>
      <c r="Q3" s="258" t="e">
        <f>HOUR(P3)+MINUTE(P3)/60</f>
        <v>#REF!</v>
      </c>
      <c r="R3" t="e">
        <f>HOUR("02.23.00")+MINUTE("02.23.00")/60</f>
        <v>#VALUE!</v>
      </c>
      <c r="T3" t="e">
        <f>O3-E3</f>
        <v>#REF!</v>
      </c>
      <c r="U3" s="258" t="e">
        <f>IF(DAY(T3)&gt;30,24+HOUR(T3)+MINUTE(T3)/60,HOUR(T3)+MINUTE(T3)/60)</f>
        <v>#REF!</v>
      </c>
    </row>
    <row r="4">
      <c r="A4" t="e">
        <f>#REF!</f>
        <v>#REF!</v>
      </c>
      <c r="B4" t="e">
        <f>#REF!</f>
        <v>#REF!</v>
      </c>
      <c r="C4" t="e">
        <f>#REF!</f>
        <v>#REF!</v>
      </c>
      <c r="D4" t="e">
        <f>#REF!</f>
        <v>#REF!</v>
      </c>
      <c r="E4" s="254" t="e">
        <f>#REF!</f>
        <v>#REF!</v>
      </c>
      <c r="F4" s="255" t="e">
        <f>#REF!</f>
        <v>#REF!</v>
      </c>
      <c r="G4" t="e">
        <f>C4&amp;" "&amp;B4</f>
        <v>#REF!</v>
      </c>
      <c r="H4" s="256" t="e">
        <f>#REF!</f>
        <v>#REF!</v>
      </c>
      <c r="I4" s="256" t="e">
        <f>AVERAGE(H$2:H$51)</f>
        <v>#REF!</v>
      </c>
      <c r="J4" s="257" t="e">
        <f>#REF!</f>
        <v>#REF!</v>
      </c>
      <c r="K4" s="258" t="e">
        <f>IF(DAY(J4)&gt;30,24+HOUR(J4)+MINUTE(J4)/60,HOUR(J4)+MINUTE(J4)/60)</f>
        <v>#REF!</v>
      </c>
      <c r="L4" s="258" t="e">
        <f>AVERAGE(K$2:K$51)</f>
        <v>#REF!</v>
      </c>
      <c r="M4" s="247">
        <v>24</v>
      </c>
      <c r="N4" s="247">
        <v>36</v>
      </c>
      <c r="O4" s="259" t="e">
        <f>#REF!</f>
        <v>#REF!</v>
      </c>
      <c r="P4" s="259" t="e">
        <f>IF(O4&gt;0,O4-E4,"")</f>
        <v>#REF!</v>
      </c>
      <c r="Q4" s="258" t="e">
        <f>HOUR(P4)+MINUTE(P4)/60</f>
        <v>#REF!</v>
      </c>
      <c r="R4" t="e">
        <f>HOUR("02.23.00")+MINUTE("02.23.00")/60</f>
        <v>#VALUE!</v>
      </c>
      <c r="T4" t="e">
        <f>O4-E4</f>
        <v>#REF!</v>
      </c>
      <c r="U4" s="258" t="e">
        <f>IF(DAY(T4)&gt;30,24+HOUR(T4)+MINUTE(T4)/60,HOUR(T4)+MINUTE(T4)/60)</f>
        <v>#REF!</v>
      </c>
    </row>
    <row r="5">
      <c r="A5" t="e">
        <f>#REF!</f>
        <v>#REF!</v>
      </c>
      <c r="B5" t="e">
        <f>#REF!</f>
        <v>#REF!</v>
      </c>
      <c r="C5" t="e">
        <f>#REF!</f>
        <v>#REF!</v>
      </c>
      <c r="D5" t="e">
        <f>#REF!</f>
        <v>#REF!</v>
      </c>
      <c r="E5" s="254" t="e">
        <f>#REF!</f>
        <v>#REF!</v>
      </c>
      <c r="F5" s="255" t="e">
        <f>#REF!</f>
        <v>#REF!</v>
      </c>
      <c r="G5" t="e">
        <f>C5&amp;" "&amp;B5</f>
        <v>#REF!</v>
      </c>
      <c r="H5" s="256" t="e">
        <f>#REF!</f>
        <v>#REF!</v>
      </c>
      <c r="I5" s="256" t="e">
        <f>AVERAGE(H$2:H$51)</f>
        <v>#REF!</v>
      </c>
      <c r="J5" s="257" t="e">
        <f>#REF!</f>
        <v>#REF!</v>
      </c>
      <c r="K5" s="258" t="e">
        <f>IF(DAY(J5)&gt;30,24+HOUR(J5)+MINUTE(J5)/60,HOUR(J5)+MINUTE(J5)/60)</f>
        <v>#REF!</v>
      </c>
      <c r="L5" s="258" t="e">
        <f>AVERAGE(K$2:K$51)</f>
        <v>#REF!</v>
      </c>
      <c r="M5" s="247">
        <v>24</v>
      </c>
      <c r="N5" s="247">
        <v>36</v>
      </c>
      <c r="O5" s="259" t="e">
        <f>#REF!</f>
        <v>#REF!</v>
      </c>
      <c r="P5" s="259" t="e">
        <f>IF(O5&gt;0,O5-E5,"")</f>
        <v>#REF!</v>
      </c>
      <c r="Q5" s="258" t="e">
        <f>HOUR(P5)+MINUTE(P5)/60</f>
        <v>#REF!</v>
      </c>
      <c r="R5" t="e">
        <f>HOUR("02.23.00")+MINUTE("02.23.00")/60</f>
        <v>#VALUE!</v>
      </c>
      <c r="T5" t="e">
        <f>O5-E5</f>
        <v>#REF!</v>
      </c>
      <c r="U5" s="258" t="e">
        <f>IF(DAY(T5)&gt;30,24+HOUR(T5)+MINUTE(T5)/60,HOUR(T5)+MINUTE(T5)/60)</f>
        <v>#REF!</v>
      </c>
    </row>
    <row r="6">
      <c r="A6" t="e">
        <f>#REF!</f>
        <v>#REF!</v>
      </c>
      <c r="B6" t="e">
        <f>#REF!</f>
        <v>#REF!</v>
      </c>
      <c r="C6" t="e">
        <f>#REF!</f>
        <v>#REF!</v>
      </c>
      <c r="D6" t="e">
        <f>#REF!</f>
        <v>#REF!</v>
      </c>
      <c r="E6" s="254" t="e">
        <f>#REF!</f>
        <v>#REF!</v>
      </c>
      <c r="F6" s="255" t="e">
        <f>#REF!</f>
        <v>#REF!</v>
      </c>
      <c r="G6" t="e">
        <f>C6&amp;" "&amp;B6</f>
        <v>#REF!</v>
      </c>
      <c r="H6" s="256" t="e">
        <f>#REF!</f>
        <v>#REF!</v>
      </c>
      <c r="I6" s="256" t="e">
        <f>AVERAGE(H$2:H$51)</f>
        <v>#REF!</v>
      </c>
      <c r="J6" s="257" t="e">
        <f>#REF!</f>
        <v>#REF!</v>
      </c>
      <c r="K6" s="258" t="e">
        <f>IF(DAY(J6)&gt;30,24+HOUR(J6)+MINUTE(J6)/60,HOUR(J6)+MINUTE(J6)/60)</f>
        <v>#REF!</v>
      </c>
      <c r="L6" s="258" t="e">
        <f>AVERAGE(K$2:K$51)</f>
        <v>#REF!</v>
      </c>
      <c r="M6" s="247">
        <v>24</v>
      </c>
      <c r="N6" s="247">
        <v>36</v>
      </c>
      <c r="O6" s="259" t="e">
        <f>#REF!</f>
        <v>#REF!</v>
      </c>
      <c r="P6" s="259" t="e">
        <f>IF(O6&gt;0,O6-E6,"")</f>
        <v>#REF!</v>
      </c>
      <c r="Q6" s="258" t="e">
        <f>HOUR(P6)+MINUTE(P6)/60</f>
        <v>#REF!</v>
      </c>
      <c r="R6" t="e">
        <f>HOUR("02.23.00")+MINUTE("02.23.00")/60</f>
        <v>#VALUE!</v>
      </c>
      <c r="T6" t="e">
        <f>O6-E6</f>
        <v>#REF!</v>
      </c>
      <c r="U6" s="258" t="e">
        <f>IF(DAY(T6)&gt;30,24+HOUR(T6)+MINUTE(T6)/60,HOUR(T6)+MINUTE(T6)/60)</f>
        <v>#REF!</v>
      </c>
    </row>
    <row r="7">
      <c r="A7" t="e">
        <f>#REF!</f>
        <v>#REF!</v>
      </c>
      <c r="B7" t="e">
        <f>#REF!</f>
        <v>#REF!</v>
      </c>
      <c r="C7" t="e">
        <f>#REF!</f>
        <v>#REF!</v>
      </c>
      <c r="D7" t="e">
        <f>#REF!</f>
        <v>#REF!</v>
      </c>
      <c r="E7" s="254" t="e">
        <f>#REF!</f>
        <v>#REF!</v>
      </c>
      <c r="F7" s="255" t="e">
        <f>#REF!</f>
        <v>#REF!</v>
      </c>
      <c r="G7" t="e">
        <f>C7&amp;" "&amp;B7</f>
        <v>#REF!</v>
      </c>
      <c r="H7" s="256" t="e">
        <f>#REF!</f>
        <v>#REF!</v>
      </c>
      <c r="I7" s="256" t="e">
        <f>AVERAGE(H$2:H$51)</f>
        <v>#REF!</v>
      </c>
      <c r="J7" s="257" t="e">
        <f>#REF!</f>
        <v>#REF!</v>
      </c>
      <c r="K7" s="258" t="e">
        <f>IF(DAY(J7)&gt;30,24+HOUR(J7)+MINUTE(J7)/60,HOUR(J7)+MINUTE(J7)/60)</f>
        <v>#REF!</v>
      </c>
      <c r="L7" s="258" t="e">
        <f>AVERAGE(K$2:K$51)</f>
        <v>#REF!</v>
      </c>
      <c r="M7" s="247">
        <v>24</v>
      </c>
      <c r="N7" s="247">
        <v>36</v>
      </c>
      <c r="O7" s="259" t="e">
        <f>#REF!</f>
        <v>#REF!</v>
      </c>
      <c r="P7" s="259" t="e">
        <f>IF(O7&gt;0,O7-E7,"")</f>
        <v>#REF!</v>
      </c>
      <c r="Q7" s="258" t="e">
        <f>HOUR(P7)+MINUTE(P7)/60</f>
        <v>#REF!</v>
      </c>
      <c r="R7" t="e">
        <f>HOUR("02.23.00")+MINUTE("02.23.00")/60</f>
        <v>#VALUE!</v>
      </c>
      <c r="T7" t="e">
        <f>O7-E7</f>
        <v>#REF!</v>
      </c>
      <c r="U7" s="258" t="e">
        <f>IF(DAY(T7)&gt;30,24+HOUR(T7)+MINUTE(T7)/60,HOUR(T7)+MINUTE(T7)/60)</f>
        <v>#REF!</v>
      </c>
    </row>
    <row r="8">
      <c r="A8" t="e">
        <f>#REF!</f>
        <v>#REF!</v>
      </c>
      <c r="B8" t="e">
        <f>#REF!</f>
        <v>#REF!</v>
      </c>
      <c r="C8" t="e">
        <f>#REF!</f>
        <v>#REF!</v>
      </c>
      <c r="D8" t="e">
        <f>#REF!</f>
        <v>#REF!</v>
      </c>
      <c r="E8" s="254" t="e">
        <f>#REF!</f>
        <v>#REF!</v>
      </c>
      <c r="F8" s="255" t="e">
        <f>#REF!</f>
        <v>#REF!</v>
      </c>
      <c r="G8" t="e">
        <f>C8&amp;" "&amp;B8</f>
        <v>#REF!</v>
      </c>
      <c r="H8" s="256" t="e">
        <f>#REF!</f>
        <v>#REF!</v>
      </c>
      <c r="I8" s="256" t="e">
        <f>AVERAGE(H$2:H$51)</f>
        <v>#REF!</v>
      </c>
      <c r="J8" s="257" t="e">
        <f>#REF!</f>
        <v>#REF!</v>
      </c>
      <c r="K8" s="258" t="e">
        <f>IF(DAY(J8)&gt;30,24+HOUR(J8)+MINUTE(J8)/60,HOUR(J8)+MINUTE(J8)/60)</f>
        <v>#REF!</v>
      </c>
      <c r="L8" s="258" t="e">
        <f>AVERAGE(K$2:K$51)</f>
        <v>#REF!</v>
      </c>
      <c r="M8" s="247">
        <v>24</v>
      </c>
      <c r="N8" s="247">
        <v>36</v>
      </c>
      <c r="O8" s="259" t="e">
        <f>#REF!</f>
        <v>#REF!</v>
      </c>
      <c r="P8" s="259" t="e">
        <f>IF(O8&gt;0,O8-E8,"")</f>
        <v>#REF!</v>
      </c>
      <c r="Q8" s="258" t="e">
        <f>HOUR(P8)+MINUTE(P8)/60</f>
        <v>#REF!</v>
      </c>
      <c r="R8" t="e">
        <f>HOUR("02.23.00")+MINUTE("02.23.00")/60</f>
        <v>#VALUE!</v>
      </c>
      <c r="T8" t="e">
        <f>O8-E8</f>
        <v>#REF!</v>
      </c>
      <c r="U8" s="258" t="e">
        <f>IF(DAY(T8)&gt;30,24+HOUR(T8)+MINUTE(T8)/60,HOUR(T8)+MINUTE(T8)/60)</f>
        <v>#REF!</v>
      </c>
    </row>
    <row r="9">
      <c r="A9" t="e">
        <f>#REF!</f>
        <v>#REF!</v>
      </c>
      <c r="B9" t="e">
        <f>#REF!</f>
        <v>#REF!</v>
      </c>
      <c r="C9" t="e">
        <f>#REF!</f>
        <v>#REF!</v>
      </c>
      <c r="D9" t="e">
        <f>#REF!</f>
        <v>#REF!</v>
      </c>
      <c r="E9" s="254" t="e">
        <f>#REF!</f>
        <v>#REF!</v>
      </c>
      <c r="F9" s="255" t="e">
        <f>#REF!</f>
        <v>#REF!</v>
      </c>
      <c r="G9" t="e">
        <f>C9&amp;" "&amp;B9</f>
        <v>#REF!</v>
      </c>
      <c r="H9" s="256" t="e">
        <f>#REF!</f>
        <v>#REF!</v>
      </c>
      <c r="I9" s="256" t="e">
        <f>AVERAGE(H$2:H$51)</f>
        <v>#REF!</v>
      </c>
      <c r="J9" s="257" t="e">
        <f>#REF!</f>
        <v>#REF!</v>
      </c>
      <c r="K9" s="258" t="e">
        <f>IF(DAY(J9)&gt;30,24+HOUR(J9)+MINUTE(J9)/60,HOUR(J9)+MINUTE(J9)/60)</f>
        <v>#REF!</v>
      </c>
      <c r="L9" s="258" t="e">
        <f>AVERAGE(K$2:K$51)</f>
        <v>#REF!</v>
      </c>
      <c r="M9" s="247">
        <v>24</v>
      </c>
      <c r="N9" s="247">
        <v>36</v>
      </c>
      <c r="O9" s="259" t="e">
        <f>#REF!</f>
        <v>#REF!</v>
      </c>
      <c r="P9" s="259" t="e">
        <f>IF(O9&gt;0,O9-E9,"")</f>
        <v>#REF!</v>
      </c>
      <c r="Q9" s="258" t="e">
        <f>HOUR(P9)+MINUTE(P9)/60</f>
        <v>#REF!</v>
      </c>
      <c r="R9" t="e">
        <f>HOUR("02.23.00")+MINUTE("02.23.00")/60</f>
        <v>#VALUE!</v>
      </c>
      <c r="T9" t="e">
        <f>O9-E9</f>
        <v>#REF!</v>
      </c>
      <c r="U9" s="258" t="e">
        <f>IF(DAY(T9)&gt;30,24+HOUR(T9)+MINUTE(T9)/60,HOUR(T9)+MINUTE(T9)/60)</f>
        <v>#REF!</v>
      </c>
    </row>
    <row r="10">
      <c r="A10" t="e">
        <f>#REF!</f>
        <v>#REF!</v>
      </c>
      <c r="B10" t="e">
        <f>#REF!</f>
        <v>#REF!</v>
      </c>
      <c r="C10" t="e">
        <f>#REF!</f>
        <v>#REF!</v>
      </c>
      <c r="D10" t="e">
        <f>#REF!</f>
        <v>#REF!</v>
      </c>
      <c r="E10" s="254" t="e">
        <f>#REF!</f>
        <v>#REF!</v>
      </c>
      <c r="F10" s="255" t="e">
        <f>#REF!</f>
        <v>#REF!</v>
      </c>
      <c r="G10" t="e">
        <f>C10&amp;" "&amp;B10</f>
        <v>#REF!</v>
      </c>
      <c r="H10" s="256" t="e">
        <f>#REF!</f>
        <v>#REF!</v>
      </c>
      <c r="I10" s="256" t="e">
        <f>AVERAGE(H$2:H$51)</f>
        <v>#REF!</v>
      </c>
      <c r="J10" s="257" t="e">
        <f>#REF!</f>
        <v>#REF!</v>
      </c>
      <c r="K10" s="258" t="e">
        <f>IF(DAY(J10)&gt;30,24+HOUR(J10)+MINUTE(J10)/60,HOUR(J10)+MINUTE(J10)/60)</f>
        <v>#REF!</v>
      </c>
      <c r="L10" s="258" t="e">
        <f>AVERAGE(K$2:K$51)</f>
        <v>#REF!</v>
      </c>
      <c r="M10" s="247">
        <v>24</v>
      </c>
      <c r="N10" s="247">
        <v>36</v>
      </c>
      <c r="O10" s="259" t="e">
        <f>#REF!</f>
        <v>#REF!</v>
      </c>
      <c r="P10" s="259" t="e">
        <f>IF(O10&gt;0,O10-E10,"")</f>
        <v>#REF!</v>
      </c>
      <c r="Q10" s="258" t="e">
        <f>HOUR(P10)+MINUTE(P10)/60</f>
        <v>#REF!</v>
      </c>
      <c r="R10" t="e">
        <f>HOUR("02.23.00")+MINUTE("02.23.00")/60</f>
        <v>#VALUE!</v>
      </c>
      <c r="T10" t="e">
        <f>O10-E10</f>
        <v>#REF!</v>
      </c>
      <c r="U10" s="258" t="e">
        <f>IF(DAY(T10)&gt;30,24+HOUR(T10)+MINUTE(T10)/60,HOUR(T10)+MINUTE(T10)/60)</f>
        <v>#REF!</v>
      </c>
    </row>
    <row r="11">
      <c r="A11" t="e">
        <f>#REF!</f>
        <v>#REF!</v>
      </c>
      <c r="B11" t="e">
        <f>#REF!</f>
        <v>#REF!</v>
      </c>
      <c r="C11" t="e">
        <f>#REF!</f>
        <v>#REF!</v>
      </c>
      <c r="D11" t="e">
        <f>#REF!</f>
        <v>#REF!</v>
      </c>
      <c r="E11" s="254" t="e">
        <f>#REF!</f>
        <v>#REF!</v>
      </c>
      <c r="F11" s="255" t="e">
        <f>#REF!</f>
        <v>#REF!</v>
      </c>
      <c r="G11" t="e">
        <f>C11&amp;" "&amp;B11</f>
        <v>#REF!</v>
      </c>
      <c r="H11" s="256" t="e">
        <f>#REF!</f>
        <v>#REF!</v>
      </c>
      <c r="I11" s="256" t="e">
        <f>AVERAGE(H$2:H$51)</f>
        <v>#REF!</v>
      </c>
      <c r="J11" s="257" t="e">
        <f>#REF!</f>
        <v>#REF!</v>
      </c>
      <c r="K11" s="258" t="e">
        <f>IF(DAY(J11)&gt;30,24+HOUR(J11)+MINUTE(J11)/60,HOUR(J11)+MINUTE(J11)/60)</f>
        <v>#REF!</v>
      </c>
      <c r="L11" s="258" t="e">
        <f>AVERAGE(K$2:K$51)</f>
        <v>#REF!</v>
      </c>
      <c r="M11" s="247">
        <v>24</v>
      </c>
      <c r="N11" s="247">
        <v>36</v>
      </c>
      <c r="O11" s="259" t="e">
        <f>#REF!</f>
        <v>#REF!</v>
      </c>
      <c r="P11" s="259" t="e">
        <f>IF(O11&gt;0,O11-E11,"")</f>
        <v>#REF!</v>
      </c>
      <c r="Q11" s="258" t="e">
        <f>HOUR(P11)+MINUTE(P11)/60</f>
        <v>#REF!</v>
      </c>
      <c r="R11" t="e">
        <f>HOUR("02.23.00")+MINUTE("02.23.00")/60</f>
        <v>#VALUE!</v>
      </c>
      <c r="T11" t="e">
        <f>O11-E11</f>
        <v>#REF!</v>
      </c>
      <c r="U11" s="258" t="e">
        <f>IF(DAY(T11)&gt;30,24+HOUR(T11)+MINUTE(T11)/60,HOUR(T11)+MINUTE(T11)/60)</f>
        <v>#REF!</v>
      </c>
    </row>
    <row r="12">
      <c r="A12" t="e">
        <f>#REF!</f>
        <v>#REF!</v>
      </c>
      <c r="B12" t="e">
        <f>#REF!</f>
        <v>#REF!</v>
      </c>
      <c r="C12" t="e">
        <f>#REF!</f>
        <v>#REF!</v>
      </c>
      <c r="D12" t="e">
        <f>#REF!</f>
        <v>#REF!</v>
      </c>
      <c r="E12" s="254" t="e">
        <f>#REF!</f>
        <v>#REF!</v>
      </c>
      <c r="F12" s="255" t="e">
        <f>#REF!</f>
        <v>#REF!</v>
      </c>
      <c r="G12" t="e">
        <f>C12&amp;" "&amp;B12</f>
        <v>#REF!</v>
      </c>
      <c r="H12" s="256" t="e">
        <f>#REF!</f>
        <v>#REF!</v>
      </c>
      <c r="I12" s="256" t="e">
        <f>AVERAGE(H$2:H$51)</f>
        <v>#REF!</v>
      </c>
      <c r="J12" s="257" t="e">
        <f>#REF!</f>
        <v>#REF!</v>
      </c>
      <c r="K12" s="258" t="e">
        <f>IF(DAY(J12)&gt;30,24+HOUR(J12)+MINUTE(J12)/60,HOUR(J12)+MINUTE(J12)/60)</f>
        <v>#REF!</v>
      </c>
      <c r="L12" s="258" t="e">
        <f>AVERAGE(K$2:K$51)</f>
        <v>#REF!</v>
      </c>
      <c r="M12" s="247">
        <v>24</v>
      </c>
      <c r="N12" s="247">
        <v>36</v>
      </c>
      <c r="O12" s="259" t="e">
        <f>#REF!</f>
        <v>#REF!</v>
      </c>
      <c r="P12" s="259" t="e">
        <f>IF(O12&gt;0,O12-E12,"")</f>
        <v>#REF!</v>
      </c>
      <c r="Q12" s="258" t="e">
        <f>HOUR(P12)+MINUTE(P12)/60</f>
        <v>#REF!</v>
      </c>
      <c r="R12" t="e">
        <f>HOUR("02.23.00")+MINUTE("02.23.00")/60</f>
        <v>#VALUE!</v>
      </c>
      <c r="T12" t="e">
        <f>O12-E12</f>
        <v>#REF!</v>
      </c>
      <c r="U12" s="258" t="e">
        <f>IF(DAY(T12)&gt;30,24+HOUR(T12)+MINUTE(T12)/60,HOUR(T12)+MINUTE(T12)/60)</f>
        <v>#REF!</v>
      </c>
    </row>
    <row r="13">
      <c r="A13" t="e">
        <f>#REF!</f>
        <v>#REF!</v>
      </c>
      <c r="B13" t="e">
        <f>#REF!</f>
        <v>#REF!</v>
      </c>
      <c r="C13" t="e">
        <f>#REF!</f>
        <v>#REF!</v>
      </c>
      <c r="D13" t="e">
        <f>#REF!</f>
        <v>#REF!</v>
      </c>
      <c r="E13" s="254" t="e">
        <f>#REF!</f>
        <v>#REF!</v>
      </c>
      <c r="F13" s="255" t="e">
        <f>#REF!</f>
        <v>#REF!</v>
      </c>
      <c r="G13" t="e">
        <f>C13&amp;" "&amp;B13</f>
        <v>#REF!</v>
      </c>
      <c r="H13" s="256" t="e">
        <f>#REF!</f>
        <v>#REF!</v>
      </c>
      <c r="I13" s="256" t="e">
        <f>AVERAGE(H$2:H$51)</f>
        <v>#REF!</v>
      </c>
      <c r="J13" s="257" t="e">
        <f>#REF!</f>
        <v>#REF!</v>
      </c>
      <c r="K13" s="258" t="e">
        <f>IF(DAY(J13)&gt;30,24+HOUR(J13)+MINUTE(J13)/60,HOUR(J13)+MINUTE(J13)/60)</f>
        <v>#REF!</v>
      </c>
      <c r="L13" s="258" t="e">
        <f>AVERAGE(K$2:K$51)</f>
        <v>#REF!</v>
      </c>
      <c r="M13" s="247">
        <v>24</v>
      </c>
      <c r="N13" s="247">
        <v>36</v>
      </c>
      <c r="O13" s="259" t="e">
        <f>#REF!</f>
        <v>#REF!</v>
      </c>
      <c r="P13" s="259" t="e">
        <f>IF(O13&gt;0,O13-E13,"")</f>
        <v>#REF!</v>
      </c>
      <c r="Q13" s="258" t="e">
        <f>HOUR(P13)+MINUTE(P13)/60</f>
        <v>#REF!</v>
      </c>
      <c r="R13" t="e">
        <f>HOUR("02.23.00")+MINUTE("02.23.00")/60</f>
        <v>#VALUE!</v>
      </c>
      <c r="T13" t="e">
        <f>O13-E13</f>
        <v>#REF!</v>
      </c>
      <c r="U13" s="258" t="e">
        <f>IF(DAY(T13)&gt;30,24+HOUR(T13)+MINUTE(T13)/60,HOUR(T13)+MINUTE(T13)/60)</f>
        <v>#REF!</v>
      </c>
    </row>
    <row r="14">
      <c r="A14" t="e">
        <f>#REF!</f>
        <v>#REF!</v>
      </c>
      <c r="B14" t="e">
        <f>#REF!</f>
        <v>#REF!</v>
      </c>
      <c r="C14" t="e">
        <f>#REF!</f>
        <v>#REF!</v>
      </c>
      <c r="D14" t="e">
        <f>#REF!</f>
        <v>#REF!</v>
      </c>
      <c r="E14" s="254" t="e">
        <f>#REF!</f>
        <v>#REF!</v>
      </c>
      <c r="F14" s="255" t="e">
        <f>#REF!</f>
        <v>#REF!</v>
      </c>
      <c r="G14" t="e">
        <f>C14&amp;" "&amp;B14</f>
        <v>#REF!</v>
      </c>
      <c r="H14" s="256" t="e">
        <f>#REF!</f>
        <v>#REF!</v>
      </c>
      <c r="I14" s="256" t="e">
        <f>AVERAGE(H$2:H$51)</f>
        <v>#REF!</v>
      </c>
      <c r="J14" s="257" t="e">
        <f>#REF!</f>
        <v>#REF!</v>
      </c>
      <c r="K14" s="258" t="e">
        <f>IF(DAY(J14)&gt;30,24+HOUR(J14)+MINUTE(J14)/60,HOUR(J14)+MINUTE(J14)/60)</f>
        <v>#REF!</v>
      </c>
      <c r="L14" s="258" t="e">
        <f>AVERAGE(K$2:K$51)</f>
        <v>#REF!</v>
      </c>
      <c r="M14" s="247">
        <v>24</v>
      </c>
      <c r="N14" s="247">
        <v>36</v>
      </c>
      <c r="O14" s="259" t="e">
        <f>#REF!</f>
        <v>#REF!</v>
      </c>
      <c r="P14" s="259" t="e">
        <f>IF(O14&gt;0,O14-E14,"")</f>
        <v>#REF!</v>
      </c>
      <c r="Q14" s="258" t="e">
        <f>HOUR(P14)+MINUTE(P14)/60</f>
        <v>#REF!</v>
      </c>
      <c r="R14" t="e">
        <f>HOUR("02.23.00")+MINUTE("02.23.00")/60</f>
        <v>#VALUE!</v>
      </c>
      <c r="T14" t="e">
        <f>O14-E14</f>
        <v>#REF!</v>
      </c>
      <c r="U14" s="258" t="e">
        <f>IF(DAY(T14)&gt;30,24+HOUR(T14)+MINUTE(T14)/60,HOUR(T14)+MINUTE(T14)/60)</f>
        <v>#REF!</v>
      </c>
    </row>
    <row r="15">
      <c r="A15" t="e">
        <f>#REF!</f>
        <v>#REF!</v>
      </c>
      <c r="B15" t="e">
        <f>#REF!</f>
        <v>#REF!</v>
      </c>
      <c r="C15" t="e">
        <f>#REF!</f>
        <v>#REF!</v>
      </c>
      <c r="D15" t="e">
        <f>#REF!</f>
        <v>#REF!</v>
      </c>
      <c r="E15" s="254" t="e">
        <f>#REF!</f>
        <v>#REF!</v>
      </c>
      <c r="F15" s="255" t="e">
        <f>#REF!</f>
        <v>#REF!</v>
      </c>
      <c r="G15" t="e">
        <f>C15&amp;" "&amp;B15</f>
        <v>#REF!</v>
      </c>
      <c r="H15" s="256" t="e">
        <f>#REF!</f>
        <v>#REF!</v>
      </c>
      <c r="I15" s="256" t="e">
        <f>AVERAGE(H$2:H$51)</f>
        <v>#REF!</v>
      </c>
      <c r="J15" s="257" t="e">
        <f>#REF!</f>
        <v>#REF!</v>
      </c>
      <c r="K15" s="258" t="e">
        <f>IF(DAY(J15)&gt;30,24+HOUR(J15)+MINUTE(J15)/60,HOUR(J15)+MINUTE(J15)/60)</f>
        <v>#REF!</v>
      </c>
      <c r="L15" s="258" t="e">
        <f>AVERAGE(K$2:K$51)</f>
        <v>#REF!</v>
      </c>
      <c r="M15" s="247">
        <v>24</v>
      </c>
      <c r="N15" s="247">
        <v>36</v>
      </c>
      <c r="O15" s="259" t="e">
        <f>#REF!</f>
        <v>#REF!</v>
      </c>
      <c r="P15" s="259" t="e">
        <f>IF(O15&gt;0,O15-E15,"")</f>
        <v>#REF!</v>
      </c>
      <c r="Q15" s="258" t="e">
        <f>HOUR(P15)+MINUTE(P15)/60</f>
        <v>#REF!</v>
      </c>
      <c r="R15" t="e">
        <f>HOUR("02.23.00")+MINUTE("02.23.00")/60</f>
        <v>#VALUE!</v>
      </c>
      <c r="T15" t="e">
        <f>O15-E15</f>
        <v>#REF!</v>
      </c>
      <c r="U15" s="258" t="e">
        <f>IF(DAY(T15)&gt;30,24+HOUR(T15)+MINUTE(T15)/60,HOUR(T15)+MINUTE(T15)/60)</f>
        <v>#REF!</v>
      </c>
    </row>
    <row r="16">
      <c r="A16" t="e">
        <f>#REF!</f>
        <v>#REF!</v>
      </c>
      <c r="B16" t="e">
        <f>#REF!</f>
        <v>#REF!</v>
      </c>
      <c r="C16" t="e">
        <f>#REF!</f>
        <v>#REF!</v>
      </c>
      <c r="D16" t="e">
        <f>#REF!</f>
        <v>#REF!</v>
      </c>
      <c r="E16" s="254" t="e">
        <f>#REF!</f>
        <v>#REF!</v>
      </c>
      <c r="F16" s="255" t="e">
        <f>#REF!</f>
        <v>#REF!</v>
      </c>
      <c r="G16" t="e">
        <f>C16&amp;" "&amp;B16</f>
        <v>#REF!</v>
      </c>
      <c r="H16" s="256" t="e">
        <f>#REF!</f>
        <v>#REF!</v>
      </c>
      <c r="I16" s="256" t="e">
        <f>AVERAGE(H$2:H$51)</f>
        <v>#REF!</v>
      </c>
      <c r="J16" s="257" t="e">
        <f>#REF!</f>
        <v>#REF!</v>
      </c>
      <c r="K16" s="258" t="e">
        <f>IF(DAY(J16)&gt;30,24+HOUR(J16)+MINUTE(J16)/60,HOUR(J16)+MINUTE(J16)/60)</f>
        <v>#REF!</v>
      </c>
      <c r="L16" s="258" t="e">
        <f>AVERAGE(K$2:K$51)</f>
        <v>#REF!</v>
      </c>
      <c r="M16" s="247">
        <v>24</v>
      </c>
      <c r="N16" s="247">
        <v>36</v>
      </c>
      <c r="O16" s="259" t="e">
        <f>#REF!</f>
        <v>#REF!</v>
      </c>
      <c r="P16" s="259" t="e">
        <f>IF(O16&gt;0,O16-E16,"")</f>
        <v>#REF!</v>
      </c>
      <c r="Q16" s="258" t="e">
        <f>HOUR(P16)+MINUTE(P16)/60</f>
        <v>#REF!</v>
      </c>
      <c r="R16" t="e">
        <f>HOUR("02.23.00")+MINUTE("02.23.00")/60</f>
        <v>#VALUE!</v>
      </c>
      <c r="T16" t="e">
        <f>O16-E16</f>
        <v>#REF!</v>
      </c>
      <c r="U16" s="258" t="e">
        <f>IF(DAY(T16)&gt;30,24+HOUR(T16)+MINUTE(T16)/60,HOUR(T16)+MINUTE(T16)/60)</f>
        <v>#REF!</v>
      </c>
    </row>
    <row r="17">
      <c r="A17" t="e">
        <f>#REF!</f>
        <v>#REF!</v>
      </c>
      <c r="B17" t="e">
        <f>#REF!</f>
        <v>#REF!</v>
      </c>
      <c r="C17" t="e">
        <f>#REF!</f>
        <v>#REF!</v>
      </c>
      <c r="D17" t="e">
        <f>#REF!</f>
        <v>#REF!</v>
      </c>
      <c r="E17" s="254" t="e">
        <f>#REF!</f>
        <v>#REF!</v>
      </c>
      <c r="F17" s="255" t="e">
        <f>#REF!</f>
        <v>#REF!</v>
      </c>
      <c r="G17" t="e">
        <f>C17&amp;" "&amp;B17</f>
        <v>#REF!</v>
      </c>
      <c r="H17" s="256" t="e">
        <f>#REF!</f>
        <v>#REF!</v>
      </c>
      <c r="I17" s="256" t="e">
        <f>AVERAGE(H$2:H$51)</f>
        <v>#REF!</v>
      </c>
      <c r="J17" s="257" t="e">
        <f>#REF!</f>
        <v>#REF!</v>
      </c>
      <c r="K17" s="258" t="e">
        <f>IF(DAY(J17)&gt;30,24+HOUR(J17)+MINUTE(J17)/60,HOUR(J17)+MINUTE(J17)/60)</f>
        <v>#REF!</v>
      </c>
      <c r="L17" s="258" t="e">
        <f>AVERAGE(K$2:K$51)</f>
        <v>#REF!</v>
      </c>
      <c r="M17" s="247">
        <v>24</v>
      </c>
      <c r="N17" s="247">
        <v>36</v>
      </c>
      <c r="O17" s="259" t="e">
        <f>#REF!</f>
        <v>#REF!</v>
      </c>
      <c r="P17" s="259" t="e">
        <f>IF(O17&gt;0,O17-E17,"")</f>
        <v>#REF!</v>
      </c>
      <c r="Q17" s="258" t="e">
        <f>HOUR(P17)+MINUTE(P17)/60</f>
        <v>#REF!</v>
      </c>
      <c r="R17" t="e">
        <f>HOUR("02.23.00")+MINUTE("02.23.00")/60</f>
        <v>#VALUE!</v>
      </c>
      <c r="T17" t="e">
        <f>O17-E17</f>
        <v>#REF!</v>
      </c>
      <c r="U17" s="258" t="e">
        <f>IF(DAY(T17)&gt;30,24+HOUR(T17)+MINUTE(T17)/60,HOUR(T17)+MINUTE(T17)/60)</f>
        <v>#REF!</v>
      </c>
    </row>
    <row r="18">
      <c r="A18" t="e">
        <f>#REF!</f>
        <v>#REF!</v>
      </c>
      <c r="B18" t="e">
        <f>#REF!</f>
        <v>#REF!</v>
      </c>
      <c r="C18" t="e">
        <f>#REF!</f>
        <v>#REF!</v>
      </c>
      <c r="D18" t="e">
        <f>#REF!</f>
        <v>#REF!</v>
      </c>
      <c r="E18" s="254" t="e">
        <f>#REF!</f>
        <v>#REF!</v>
      </c>
      <c r="F18" s="255" t="e">
        <f>#REF!</f>
        <v>#REF!</v>
      </c>
      <c r="G18" t="e">
        <f>C18&amp;" "&amp;B18</f>
        <v>#REF!</v>
      </c>
      <c r="H18" s="256" t="e">
        <f>#REF!</f>
        <v>#REF!</v>
      </c>
      <c r="I18" s="256" t="e">
        <f>AVERAGE(H$2:H$51)</f>
        <v>#REF!</v>
      </c>
      <c r="J18" s="257" t="e">
        <f>#REF!</f>
        <v>#REF!</v>
      </c>
      <c r="K18" s="258" t="e">
        <f>IF(DAY(J18)&gt;30,24+HOUR(J18)+MINUTE(J18)/60,HOUR(J18)+MINUTE(J18)/60)</f>
        <v>#REF!</v>
      </c>
      <c r="L18" s="258" t="e">
        <f>AVERAGE(K$2:K$51)</f>
        <v>#REF!</v>
      </c>
      <c r="M18" s="247">
        <v>24</v>
      </c>
      <c r="N18" s="247">
        <v>36</v>
      </c>
      <c r="O18" s="259" t="e">
        <f>#REF!</f>
        <v>#REF!</v>
      </c>
      <c r="P18" s="259" t="e">
        <f>IF(O18&gt;0,O18-E18,"")</f>
        <v>#REF!</v>
      </c>
      <c r="Q18" s="258" t="e">
        <f>HOUR(P18)+MINUTE(P18)/60</f>
        <v>#REF!</v>
      </c>
      <c r="R18" t="e">
        <f>HOUR("02.23.00")+MINUTE("02.23.00")/60</f>
        <v>#VALUE!</v>
      </c>
      <c r="T18" t="e">
        <f>O18-E18</f>
        <v>#REF!</v>
      </c>
      <c r="U18" s="258" t="e">
        <f>IF(DAY(T18)&gt;30,24+HOUR(T18)+MINUTE(T18)/60,HOUR(T18)+MINUTE(T18)/60)</f>
        <v>#REF!</v>
      </c>
    </row>
    <row r="19">
      <c r="A19" t="e">
        <f>#REF!</f>
        <v>#REF!</v>
      </c>
      <c r="B19" t="e">
        <f>#REF!</f>
        <v>#REF!</v>
      </c>
      <c r="C19" t="e">
        <f>#REF!</f>
        <v>#REF!</v>
      </c>
      <c r="D19" t="e">
        <f>#REF!</f>
        <v>#REF!</v>
      </c>
      <c r="E19" s="254" t="e">
        <f>#REF!</f>
        <v>#REF!</v>
      </c>
      <c r="F19" s="255" t="e">
        <f>#REF!</f>
        <v>#REF!</v>
      </c>
      <c r="G19" t="e">
        <f>C19&amp;" "&amp;B19</f>
        <v>#REF!</v>
      </c>
      <c r="H19" s="256" t="e">
        <f>#REF!</f>
        <v>#REF!</v>
      </c>
      <c r="I19" s="256" t="e">
        <f>AVERAGE(H$2:H$51)</f>
        <v>#REF!</v>
      </c>
      <c r="J19" s="257" t="e">
        <f>#REF!</f>
        <v>#REF!</v>
      </c>
      <c r="K19" s="258" t="e">
        <f>IF(DAY(J19)&gt;30,24+HOUR(J19)+MINUTE(J19)/60,HOUR(J19)+MINUTE(J19)/60)</f>
        <v>#REF!</v>
      </c>
      <c r="L19" s="258" t="e">
        <f>AVERAGE(K$2:K$51)</f>
        <v>#REF!</v>
      </c>
      <c r="M19" s="247">
        <v>24</v>
      </c>
      <c r="N19" s="247">
        <v>36</v>
      </c>
      <c r="O19" s="259" t="e">
        <f>#REF!</f>
        <v>#REF!</v>
      </c>
      <c r="P19" s="259" t="e">
        <f>IF(O19&gt;0,O19-E19,"")</f>
        <v>#REF!</v>
      </c>
      <c r="Q19" s="258" t="e">
        <f>HOUR(P19)+MINUTE(P19)/60</f>
        <v>#REF!</v>
      </c>
      <c r="R19" t="e">
        <f>HOUR("02.23.00")+MINUTE("02.23.00")/60</f>
        <v>#VALUE!</v>
      </c>
      <c r="T19" t="e">
        <f>O19-E19</f>
        <v>#REF!</v>
      </c>
      <c r="U19" s="258" t="e">
        <f>IF(DAY(T19)&gt;30,24+HOUR(T19)+MINUTE(T19)/60,HOUR(T19)+MINUTE(T19)/60)</f>
        <v>#REF!</v>
      </c>
    </row>
    <row r="20">
      <c r="A20" t="e">
        <f>#REF!</f>
        <v>#REF!</v>
      </c>
      <c r="B20" t="e">
        <f>#REF!</f>
        <v>#REF!</v>
      </c>
      <c r="C20" t="e">
        <f>#REF!</f>
        <v>#REF!</v>
      </c>
      <c r="D20" t="e">
        <f>#REF!</f>
        <v>#REF!</v>
      </c>
      <c r="E20" s="254" t="e">
        <f>#REF!</f>
        <v>#REF!</v>
      </c>
      <c r="F20" s="255" t="e">
        <f>#REF!</f>
        <v>#REF!</v>
      </c>
      <c r="G20" t="e">
        <f>C20&amp;" "&amp;B20</f>
        <v>#REF!</v>
      </c>
      <c r="H20" s="256" t="e">
        <f>#REF!</f>
        <v>#REF!</v>
      </c>
      <c r="I20" s="256" t="e">
        <f>AVERAGE(H$2:H$51)</f>
        <v>#REF!</v>
      </c>
      <c r="J20" s="257" t="e">
        <f>#REF!</f>
        <v>#REF!</v>
      </c>
      <c r="K20" s="258" t="e">
        <f>IF(DAY(J20)&gt;30,24+HOUR(J20)+MINUTE(J20)/60,HOUR(J20)+MINUTE(J20)/60)</f>
        <v>#REF!</v>
      </c>
      <c r="L20" s="258" t="e">
        <f>AVERAGE(K$2:K$51)</f>
        <v>#REF!</v>
      </c>
      <c r="M20" s="247">
        <v>24</v>
      </c>
      <c r="N20" s="247">
        <v>36</v>
      </c>
      <c r="O20" s="259" t="e">
        <f>#REF!</f>
        <v>#REF!</v>
      </c>
      <c r="P20" s="259" t="e">
        <f>IF(O20&gt;0,O20-E20,"")</f>
        <v>#REF!</v>
      </c>
      <c r="Q20" s="258" t="e">
        <f>HOUR(P20)+MINUTE(P20)/60</f>
        <v>#REF!</v>
      </c>
      <c r="R20" t="e">
        <f>HOUR("02.23.00")+MINUTE("02.23.00")/60</f>
        <v>#VALUE!</v>
      </c>
      <c r="T20" t="e">
        <f>O20-E20</f>
        <v>#REF!</v>
      </c>
      <c r="U20" s="258" t="e">
        <f>IF(DAY(T20)&gt;30,24+HOUR(T20)+MINUTE(T20)/60,HOUR(T20)+MINUTE(T20)/60)</f>
        <v>#REF!</v>
      </c>
    </row>
    <row r="21">
      <c r="A21" t="e">
        <f>#REF!</f>
        <v>#REF!</v>
      </c>
      <c r="B21" t="e">
        <f>#REF!</f>
        <v>#REF!</v>
      </c>
      <c r="C21" t="e">
        <f>#REF!</f>
        <v>#REF!</v>
      </c>
      <c r="D21" t="e">
        <f>#REF!</f>
        <v>#REF!</v>
      </c>
      <c r="E21" s="254" t="e">
        <f>#REF!</f>
        <v>#REF!</v>
      </c>
      <c r="F21" s="255" t="e">
        <f>#REF!</f>
        <v>#REF!</v>
      </c>
      <c r="G21" t="e">
        <f>C21&amp;" "&amp;B21</f>
        <v>#REF!</v>
      </c>
      <c r="H21" s="256" t="e">
        <f>#REF!</f>
        <v>#REF!</v>
      </c>
      <c r="I21" s="256" t="e">
        <f>AVERAGE(H$2:H$51)</f>
        <v>#REF!</v>
      </c>
      <c r="J21" s="257" t="e">
        <f>#REF!</f>
        <v>#REF!</v>
      </c>
      <c r="K21" s="258" t="e">
        <f>IF(DAY(J21)&gt;30,24+HOUR(J21)+MINUTE(J21)/60,HOUR(J21)+MINUTE(J21)/60)</f>
        <v>#REF!</v>
      </c>
      <c r="L21" s="258" t="e">
        <f>AVERAGE(K$2:K$51)</f>
        <v>#REF!</v>
      </c>
      <c r="M21" s="247">
        <v>24</v>
      </c>
      <c r="N21" s="247">
        <v>36</v>
      </c>
      <c r="O21" s="259" t="e">
        <f>#REF!</f>
        <v>#REF!</v>
      </c>
      <c r="P21" s="259" t="e">
        <f>IF(O21&gt;0,O21-E21,"")</f>
        <v>#REF!</v>
      </c>
      <c r="Q21" s="258" t="e">
        <f>HOUR(P21)+MINUTE(P21)/60</f>
        <v>#REF!</v>
      </c>
      <c r="R21" t="e">
        <f>HOUR("02.23.00")+MINUTE("02.23.00")/60</f>
        <v>#VALUE!</v>
      </c>
      <c r="T21" t="e">
        <f>O21-E21</f>
        <v>#REF!</v>
      </c>
      <c r="U21" s="258" t="e">
        <f>IF(DAY(T21)&gt;30,24+HOUR(T21)+MINUTE(T21)/60,HOUR(T21)+MINUTE(T21)/60)</f>
        <v>#REF!</v>
      </c>
    </row>
    <row r="22">
      <c r="A22" t="e">
        <f>#REF!</f>
        <v>#REF!</v>
      </c>
      <c r="B22" t="e">
        <f>#REF!</f>
        <v>#REF!</v>
      </c>
      <c r="C22" t="e">
        <f>#REF!</f>
        <v>#REF!</v>
      </c>
      <c r="D22" t="e">
        <f>#REF!</f>
        <v>#REF!</v>
      </c>
      <c r="E22" s="254" t="e">
        <f>#REF!</f>
        <v>#REF!</v>
      </c>
      <c r="F22" s="255" t="e">
        <f>#REF!</f>
        <v>#REF!</v>
      </c>
      <c r="G22" t="e">
        <f>C22&amp;" "&amp;B22</f>
        <v>#REF!</v>
      </c>
      <c r="H22" s="256" t="e">
        <f>#REF!</f>
        <v>#REF!</v>
      </c>
      <c r="I22" s="256" t="e">
        <f>AVERAGE(H$2:H$51)</f>
        <v>#REF!</v>
      </c>
      <c r="J22" s="257" t="e">
        <f>#REF!</f>
        <v>#REF!</v>
      </c>
      <c r="K22" s="258" t="e">
        <f>IF(DAY(J22)&gt;30,24+HOUR(J22)+MINUTE(J22)/60,HOUR(J22)+MINUTE(J22)/60)</f>
        <v>#REF!</v>
      </c>
      <c r="L22" s="258" t="e">
        <f>AVERAGE(K$2:K$51)</f>
        <v>#REF!</v>
      </c>
      <c r="M22" s="247">
        <v>24</v>
      </c>
      <c r="N22" s="247">
        <v>36</v>
      </c>
      <c r="O22" s="259" t="e">
        <f>#REF!</f>
        <v>#REF!</v>
      </c>
      <c r="P22" s="259" t="e">
        <f>IF(O22&gt;0,O22-E22,"")</f>
        <v>#REF!</v>
      </c>
      <c r="Q22" s="258" t="e">
        <f>HOUR(P22)+MINUTE(P22)/60</f>
        <v>#REF!</v>
      </c>
      <c r="R22" t="e">
        <f>HOUR("02.23.00")+MINUTE("02.23.00")/60</f>
        <v>#VALUE!</v>
      </c>
      <c r="T22" t="e">
        <f>O22-E22</f>
        <v>#REF!</v>
      </c>
      <c r="U22" s="258" t="e">
        <f>IF(DAY(T22)&gt;30,24+HOUR(T22)+MINUTE(T22)/60,HOUR(T22)+MINUTE(T22)/60)</f>
        <v>#REF!</v>
      </c>
    </row>
    <row r="23">
      <c r="A23" t="e">
        <f>#REF!</f>
        <v>#REF!</v>
      </c>
      <c r="B23" t="e">
        <f>#REF!</f>
        <v>#REF!</v>
      </c>
      <c r="C23" t="e">
        <f>#REF!</f>
        <v>#REF!</v>
      </c>
      <c r="D23" t="e">
        <f>#REF!</f>
        <v>#REF!</v>
      </c>
      <c r="E23" s="254" t="e">
        <f>#REF!</f>
        <v>#REF!</v>
      </c>
      <c r="F23" s="255" t="e">
        <f>#REF!</f>
        <v>#REF!</v>
      </c>
      <c r="G23" t="e">
        <f>C23&amp;" "&amp;B23</f>
        <v>#REF!</v>
      </c>
      <c r="H23" s="256" t="e">
        <f>#REF!</f>
        <v>#REF!</v>
      </c>
      <c r="I23" s="256" t="e">
        <f>AVERAGE(H$2:H$51)</f>
        <v>#REF!</v>
      </c>
      <c r="J23" s="257" t="e">
        <f>#REF!</f>
        <v>#REF!</v>
      </c>
      <c r="K23" s="258" t="e">
        <f>IF(DAY(J23)&gt;30,24+HOUR(J23)+MINUTE(J23)/60,HOUR(J23)+MINUTE(J23)/60)</f>
        <v>#REF!</v>
      </c>
      <c r="L23" s="258" t="e">
        <f>AVERAGE(K$2:K$51)</f>
        <v>#REF!</v>
      </c>
      <c r="M23" s="247">
        <v>24</v>
      </c>
      <c r="N23" s="247">
        <v>36</v>
      </c>
      <c r="O23" s="259" t="e">
        <f>#REF!</f>
        <v>#REF!</v>
      </c>
      <c r="P23" s="259" t="e">
        <f>IF(O23&gt;0,O23-E23,"")</f>
        <v>#REF!</v>
      </c>
      <c r="Q23" s="258" t="e">
        <f>HOUR(P23)+MINUTE(P23)/60</f>
        <v>#REF!</v>
      </c>
      <c r="R23" t="e">
        <f>HOUR("02.23.00")+MINUTE("02.23.00")/60</f>
        <v>#VALUE!</v>
      </c>
      <c r="T23" t="e">
        <f>O23-E23</f>
        <v>#REF!</v>
      </c>
      <c r="U23" s="258" t="e">
        <f>IF(DAY(T23)&gt;30,24+HOUR(T23)+MINUTE(T23)/60,HOUR(T23)+MINUTE(T23)/60)</f>
        <v>#REF!</v>
      </c>
    </row>
    <row r="24">
      <c r="A24" t="e">
        <f>#REF!</f>
        <v>#REF!</v>
      </c>
      <c r="B24" t="e">
        <f>#REF!</f>
        <v>#REF!</v>
      </c>
      <c r="C24" t="e">
        <f>#REF!</f>
        <v>#REF!</v>
      </c>
      <c r="D24" t="e">
        <f>#REF!</f>
        <v>#REF!</v>
      </c>
      <c r="E24" s="254" t="e">
        <f>#REF!</f>
        <v>#REF!</v>
      </c>
      <c r="F24" s="255" t="e">
        <f>#REF!</f>
        <v>#REF!</v>
      </c>
      <c r="G24" t="e">
        <f>C24&amp;" "&amp;B24</f>
        <v>#REF!</v>
      </c>
      <c r="H24" s="256" t="e">
        <f>#REF!</f>
        <v>#REF!</v>
      </c>
      <c r="I24" s="256" t="e">
        <f>AVERAGE(H$2:H$51)</f>
        <v>#REF!</v>
      </c>
      <c r="J24" s="257" t="e">
        <f>#REF!</f>
        <v>#REF!</v>
      </c>
      <c r="K24" s="258" t="e">
        <f>IF(DAY(J24)&gt;30,24+HOUR(J24)+MINUTE(J24)/60,HOUR(J24)+MINUTE(J24)/60)</f>
        <v>#REF!</v>
      </c>
      <c r="L24" s="258" t="e">
        <f>AVERAGE(K$2:K$51)</f>
        <v>#REF!</v>
      </c>
      <c r="M24" s="247">
        <v>24</v>
      </c>
      <c r="N24" s="247">
        <v>36</v>
      </c>
      <c r="O24" s="259" t="e">
        <f>#REF!</f>
        <v>#REF!</v>
      </c>
      <c r="P24" s="259" t="e">
        <f>IF(O24&gt;0,O24-E24,"")</f>
        <v>#REF!</v>
      </c>
      <c r="Q24" s="258" t="e">
        <f>HOUR(P24)+MINUTE(P24)/60</f>
        <v>#REF!</v>
      </c>
      <c r="R24" t="e">
        <f>HOUR("02.23.00")+MINUTE("02.23.00")/60</f>
        <v>#VALUE!</v>
      </c>
      <c r="T24" t="e">
        <f>O24-E24</f>
        <v>#REF!</v>
      </c>
      <c r="U24" s="258" t="e">
        <f>IF(DAY(T24)&gt;30,24+HOUR(T24)+MINUTE(T24)/60,HOUR(T24)+MINUTE(T24)/60)</f>
        <v>#REF!</v>
      </c>
    </row>
    <row r="25">
      <c r="A25" t="e">
        <f>#REF!</f>
        <v>#REF!</v>
      </c>
      <c r="B25" t="e">
        <f>#REF!</f>
        <v>#REF!</v>
      </c>
      <c r="C25" t="e">
        <f>#REF!</f>
        <v>#REF!</v>
      </c>
      <c r="D25" t="e">
        <f>#REF!</f>
        <v>#REF!</v>
      </c>
      <c r="E25" s="254" t="e">
        <f>#REF!</f>
        <v>#REF!</v>
      </c>
      <c r="F25" s="255" t="e">
        <f>#REF!</f>
        <v>#REF!</v>
      </c>
      <c r="G25" t="e">
        <f>C25&amp;" "&amp;B25</f>
        <v>#REF!</v>
      </c>
      <c r="H25" s="256" t="e">
        <f>#REF!</f>
        <v>#REF!</v>
      </c>
      <c r="I25" s="256" t="e">
        <f>AVERAGE(H$2:H$51)</f>
        <v>#REF!</v>
      </c>
      <c r="J25" s="257" t="e">
        <f>#REF!</f>
        <v>#REF!</v>
      </c>
      <c r="K25" s="258" t="e">
        <f>IF(DAY(J25)&gt;30,24+HOUR(J25)+MINUTE(J25)/60,HOUR(J25)+MINUTE(J25)/60)</f>
        <v>#REF!</v>
      </c>
      <c r="L25" s="258" t="e">
        <f>AVERAGE(K$2:K$51)</f>
        <v>#REF!</v>
      </c>
      <c r="M25" s="247">
        <v>24</v>
      </c>
      <c r="N25" s="247">
        <v>36</v>
      </c>
      <c r="O25" s="259" t="e">
        <f>#REF!</f>
        <v>#REF!</v>
      </c>
      <c r="P25" s="259" t="e">
        <f>IF(O25&gt;0,O25-E25,"")</f>
        <v>#REF!</v>
      </c>
      <c r="Q25" s="258" t="e">
        <f>HOUR(P25)+MINUTE(P25)/60</f>
        <v>#REF!</v>
      </c>
      <c r="R25" t="e">
        <f>HOUR("02.23.00")+MINUTE("02.23.00")/60</f>
        <v>#VALUE!</v>
      </c>
      <c r="T25" t="e">
        <f>O25-E25</f>
        <v>#REF!</v>
      </c>
      <c r="U25" s="258" t="e">
        <f>IF(DAY(T25)&gt;30,24+HOUR(T25)+MINUTE(T25)/60,HOUR(T25)+MINUTE(T25)/60)</f>
        <v>#REF!</v>
      </c>
    </row>
    <row r="26">
      <c r="A26" t="e">
        <f>#REF!</f>
        <v>#REF!</v>
      </c>
      <c r="B26" t="e">
        <f>#REF!</f>
        <v>#REF!</v>
      </c>
      <c r="C26" t="e">
        <f>#REF!</f>
        <v>#REF!</v>
      </c>
      <c r="D26" t="e">
        <f>#REF!</f>
        <v>#REF!</v>
      </c>
      <c r="E26" s="254" t="e">
        <f>#REF!</f>
        <v>#REF!</v>
      </c>
      <c r="F26" s="255" t="e">
        <f>#REF!</f>
        <v>#REF!</v>
      </c>
      <c r="G26" t="e">
        <f>C26&amp;" "&amp;B26</f>
        <v>#REF!</v>
      </c>
      <c r="H26" s="256" t="e">
        <f>#REF!</f>
        <v>#REF!</v>
      </c>
      <c r="I26" s="256" t="e">
        <f>AVERAGE(H$2:H$51)</f>
        <v>#REF!</v>
      </c>
      <c r="J26" s="257" t="e">
        <f>#REF!</f>
        <v>#REF!</v>
      </c>
      <c r="K26" s="258" t="e">
        <f>IF(DAY(J26)&gt;30,24+HOUR(J26)+MINUTE(J26)/60,HOUR(J26)+MINUTE(J26)/60)</f>
        <v>#REF!</v>
      </c>
      <c r="L26" s="258" t="e">
        <f>AVERAGE(K$2:K$51)</f>
        <v>#REF!</v>
      </c>
      <c r="M26" s="247">
        <v>24</v>
      </c>
      <c r="N26" s="247">
        <v>36</v>
      </c>
      <c r="O26" s="259" t="e">
        <f>#REF!</f>
        <v>#REF!</v>
      </c>
      <c r="P26" s="259" t="e">
        <f>IF(O26&gt;0,O26-E26,"")</f>
        <v>#REF!</v>
      </c>
      <c r="Q26" s="258" t="e">
        <f>HOUR(P26)+MINUTE(P26)/60</f>
        <v>#REF!</v>
      </c>
      <c r="R26" t="e">
        <f>HOUR("02.23.00")+MINUTE("02.23.00")/60</f>
        <v>#VALUE!</v>
      </c>
      <c r="T26" t="e">
        <f>O26-E26</f>
        <v>#REF!</v>
      </c>
      <c r="U26" s="258" t="e">
        <f>IF(DAY(T26)&gt;30,24+HOUR(T26)+MINUTE(T26)/60,HOUR(T26)+MINUTE(T26)/60)</f>
        <v>#REF!</v>
      </c>
    </row>
    <row r="27">
      <c r="A27" t="e">
        <f>#REF!</f>
        <v>#REF!</v>
      </c>
      <c r="B27" t="e">
        <f>#REF!</f>
        <v>#REF!</v>
      </c>
      <c r="C27" t="e">
        <f>#REF!</f>
        <v>#REF!</v>
      </c>
      <c r="D27" t="e">
        <f>#REF!</f>
        <v>#REF!</v>
      </c>
      <c r="E27" s="254" t="e">
        <f>#REF!</f>
        <v>#REF!</v>
      </c>
      <c r="F27" s="255" t="e">
        <f>#REF!</f>
        <v>#REF!</v>
      </c>
      <c r="G27" t="e">
        <f>C27&amp;" "&amp;B27</f>
        <v>#REF!</v>
      </c>
      <c r="H27" s="256" t="e">
        <f>#REF!</f>
        <v>#REF!</v>
      </c>
      <c r="I27" s="256" t="e">
        <f>AVERAGE(H$2:H$51)</f>
        <v>#REF!</v>
      </c>
      <c r="J27" s="257" t="e">
        <f>#REF!</f>
        <v>#REF!</v>
      </c>
      <c r="K27" s="258" t="e">
        <f>IF(DAY(J27)&gt;30,24+HOUR(J27)+MINUTE(J27)/60,HOUR(J27)+MINUTE(J27)/60)</f>
        <v>#REF!</v>
      </c>
      <c r="L27" s="258" t="e">
        <f>AVERAGE(K$2:K$51)</f>
        <v>#REF!</v>
      </c>
      <c r="M27" s="247">
        <v>24</v>
      </c>
      <c r="N27" s="247">
        <v>36</v>
      </c>
      <c r="O27" s="259" t="e">
        <f>#REF!</f>
        <v>#REF!</v>
      </c>
      <c r="P27" s="259" t="e">
        <f>IF(O27&gt;0,O27-E27,"")</f>
        <v>#REF!</v>
      </c>
      <c r="Q27" s="258" t="e">
        <f>HOUR(P27)+MINUTE(P27)/60</f>
        <v>#REF!</v>
      </c>
      <c r="R27" t="e">
        <f>HOUR("02.23.00")+MINUTE("02.23.00")/60</f>
        <v>#VALUE!</v>
      </c>
      <c r="T27" t="e">
        <f>O27-E27</f>
        <v>#REF!</v>
      </c>
      <c r="U27" s="258" t="e">
        <f>IF(DAY(T27)&gt;30,24+HOUR(T27)+MINUTE(T27)/60,HOUR(T27)+MINUTE(T27)/60)</f>
        <v>#REF!</v>
      </c>
    </row>
    <row r="28">
      <c r="A28" t="e">
        <f>#REF!</f>
        <v>#REF!</v>
      </c>
      <c r="B28" t="e">
        <f>#REF!</f>
        <v>#REF!</v>
      </c>
      <c r="C28" t="e">
        <f>#REF!</f>
        <v>#REF!</v>
      </c>
      <c r="D28" t="e">
        <f>#REF!</f>
        <v>#REF!</v>
      </c>
      <c r="E28" s="254" t="e">
        <f>#REF!</f>
        <v>#REF!</v>
      </c>
      <c r="F28" s="255" t="e">
        <f>#REF!</f>
        <v>#REF!</v>
      </c>
      <c r="G28" t="e">
        <f>C28&amp;" "&amp;B28</f>
        <v>#REF!</v>
      </c>
      <c r="H28" s="256" t="e">
        <f>#REF!</f>
        <v>#REF!</v>
      </c>
      <c r="I28" s="256" t="e">
        <f>AVERAGE(H$2:H$51)</f>
        <v>#REF!</v>
      </c>
      <c r="J28" s="257" t="e">
        <f>#REF!</f>
        <v>#REF!</v>
      </c>
      <c r="K28" s="258" t="e">
        <f>IF(DAY(J28)&gt;30,24+HOUR(J28)+MINUTE(J28)/60,HOUR(J28)+MINUTE(J28)/60)</f>
        <v>#REF!</v>
      </c>
      <c r="L28" s="258" t="e">
        <f>AVERAGE(K$2:K$51)</f>
        <v>#REF!</v>
      </c>
      <c r="M28" s="247">
        <v>24</v>
      </c>
      <c r="N28" s="247">
        <v>36</v>
      </c>
      <c r="O28" s="259" t="e">
        <f>#REF!</f>
        <v>#REF!</v>
      </c>
      <c r="P28" s="259" t="e">
        <f>IF(O28&gt;0,O28-E28,"")</f>
        <v>#REF!</v>
      </c>
      <c r="Q28" s="258" t="e">
        <f>HOUR(P28)+MINUTE(P28)/60</f>
        <v>#REF!</v>
      </c>
      <c r="R28" t="e">
        <f>HOUR("02.23.00")+MINUTE("02.23.00")/60</f>
        <v>#VALUE!</v>
      </c>
      <c r="T28" t="e">
        <f>O28-E28</f>
        <v>#REF!</v>
      </c>
      <c r="U28" s="258" t="e">
        <f>IF(DAY(T28)&gt;30,24+HOUR(T28)+MINUTE(T28)/60,HOUR(T28)+MINUTE(T28)/60)</f>
        <v>#REF!</v>
      </c>
    </row>
    <row r="29">
      <c r="A29" t="e">
        <f>#REF!</f>
        <v>#REF!</v>
      </c>
      <c r="B29" t="e">
        <f>#REF!</f>
        <v>#REF!</v>
      </c>
      <c r="C29" t="e">
        <f>#REF!</f>
        <v>#REF!</v>
      </c>
      <c r="D29" t="e">
        <f>#REF!</f>
        <v>#REF!</v>
      </c>
      <c r="E29" s="254" t="e">
        <f>#REF!</f>
        <v>#REF!</v>
      </c>
      <c r="F29" s="255" t="e">
        <f>#REF!</f>
        <v>#REF!</v>
      </c>
      <c r="G29" t="e">
        <f>C29&amp;" "&amp;B29</f>
        <v>#REF!</v>
      </c>
      <c r="H29" s="256" t="e">
        <f>#REF!</f>
        <v>#REF!</v>
      </c>
      <c r="I29" s="256" t="e">
        <f>AVERAGE(H$2:H$51)</f>
        <v>#REF!</v>
      </c>
      <c r="J29" s="257" t="e">
        <f>#REF!</f>
        <v>#REF!</v>
      </c>
      <c r="K29" s="258" t="e">
        <f>IF(DAY(J29)&gt;30,24+HOUR(J29)+MINUTE(J29)/60,HOUR(J29)+MINUTE(J29)/60)</f>
        <v>#REF!</v>
      </c>
      <c r="L29" s="258" t="e">
        <f>AVERAGE(K$2:K$51)</f>
        <v>#REF!</v>
      </c>
      <c r="M29" s="247">
        <v>24</v>
      </c>
      <c r="N29" s="247">
        <v>36</v>
      </c>
      <c r="O29" s="259" t="e">
        <f>#REF!</f>
        <v>#REF!</v>
      </c>
      <c r="P29" s="259" t="e">
        <f>IF(O29&gt;0,O29-E29,"")</f>
        <v>#REF!</v>
      </c>
      <c r="Q29" s="258" t="e">
        <f>HOUR(P29)+MINUTE(P29)/60</f>
        <v>#REF!</v>
      </c>
      <c r="R29" t="e">
        <f>HOUR("02.23.00")+MINUTE("02.23.00")/60</f>
        <v>#VALUE!</v>
      </c>
      <c r="T29" t="e">
        <f>O29-E29</f>
        <v>#REF!</v>
      </c>
      <c r="U29" s="258" t="e">
        <f>IF(DAY(T29)&gt;30,24+HOUR(T29)+MINUTE(T29)/60,HOUR(T29)+MINUTE(T29)/60)</f>
        <v>#REF!</v>
      </c>
    </row>
    <row r="30">
      <c r="A30" t="e">
        <f>#REF!</f>
        <v>#REF!</v>
      </c>
      <c r="B30" t="e">
        <f>#REF!</f>
        <v>#REF!</v>
      </c>
      <c r="C30" t="e">
        <f>#REF!</f>
        <v>#REF!</v>
      </c>
      <c r="D30" t="e">
        <f>#REF!</f>
        <v>#REF!</v>
      </c>
      <c r="E30" s="254" t="e">
        <f>#REF!</f>
        <v>#REF!</v>
      </c>
      <c r="F30" s="255" t="e">
        <f>#REF!</f>
        <v>#REF!</v>
      </c>
      <c r="G30" t="e">
        <f>C30&amp;" "&amp;B30</f>
        <v>#REF!</v>
      </c>
      <c r="H30" s="256" t="e">
        <f>#REF!</f>
        <v>#REF!</v>
      </c>
      <c r="I30" s="256" t="e">
        <f>AVERAGE(H$2:H$51)</f>
        <v>#REF!</v>
      </c>
      <c r="J30" s="257" t="e">
        <f>#REF!</f>
        <v>#REF!</v>
      </c>
      <c r="K30" s="258" t="e">
        <f>IF(DAY(J30)&gt;30,24+HOUR(J30)+MINUTE(J30)/60,HOUR(J30)+MINUTE(J30)/60)</f>
        <v>#REF!</v>
      </c>
      <c r="L30" s="258" t="e">
        <f>AVERAGE(K$2:K$51)</f>
        <v>#REF!</v>
      </c>
      <c r="M30" s="247">
        <v>24</v>
      </c>
      <c r="N30" s="247">
        <v>36</v>
      </c>
      <c r="O30" s="259" t="e">
        <f>#REF!</f>
        <v>#REF!</v>
      </c>
      <c r="P30" s="259" t="e">
        <f>IF(O30&gt;0,O30-E30,"")</f>
        <v>#REF!</v>
      </c>
      <c r="Q30" s="258" t="e">
        <f>HOUR(P30)+MINUTE(P30)/60</f>
        <v>#REF!</v>
      </c>
      <c r="R30" t="e">
        <f>HOUR("02.23.00")+MINUTE("02.23.00")/60</f>
        <v>#VALUE!</v>
      </c>
      <c r="T30" t="e">
        <f>O30-E30</f>
        <v>#REF!</v>
      </c>
      <c r="U30" s="258" t="e">
        <f>IF(DAY(T30)&gt;30,24+HOUR(T30)+MINUTE(T30)/60,HOUR(T30)+MINUTE(T30)/60)</f>
        <v>#REF!</v>
      </c>
    </row>
    <row r="31">
      <c r="A31" t="e">
        <f>#REF!</f>
        <v>#REF!</v>
      </c>
      <c r="B31" t="e">
        <f>#REF!</f>
        <v>#REF!</v>
      </c>
      <c r="C31" t="e">
        <f>#REF!</f>
        <v>#REF!</v>
      </c>
      <c r="D31" t="e">
        <f>#REF!</f>
        <v>#REF!</v>
      </c>
      <c r="E31" s="254" t="e">
        <f>#REF!</f>
        <v>#REF!</v>
      </c>
      <c r="F31" s="255" t="e">
        <f>#REF!</f>
        <v>#REF!</v>
      </c>
      <c r="G31" t="e">
        <f>C31&amp;" "&amp;B31</f>
        <v>#REF!</v>
      </c>
      <c r="H31" s="256" t="e">
        <f>#REF!</f>
        <v>#REF!</v>
      </c>
      <c r="I31" s="256" t="e">
        <f>AVERAGE(H$2:H$51)</f>
        <v>#REF!</v>
      </c>
      <c r="J31" s="257" t="e">
        <f>#REF!</f>
        <v>#REF!</v>
      </c>
      <c r="K31" s="258" t="e">
        <f>IF(DAY(J31)&gt;30,24+HOUR(J31)+MINUTE(J31)/60,HOUR(J31)+MINUTE(J31)/60)</f>
        <v>#REF!</v>
      </c>
      <c r="L31" s="258" t="e">
        <f>AVERAGE(K$2:K$51)</f>
        <v>#REF!</v>
      </c>
      <c r="M31" s="247">
        <v>24</v>
      </c>
      <c r="N31" s="247">
        <v>36</v>
      </c>
      <c r="O31" s="259" t="e">
        <f>#REF!</f>
        <v>#REF!</v>
      </c>
      <c r="P31" s="259" t="e">
        <f>IF(O31&gt;0,O31-E31,"")</f>
        <v>#REF!</v>
      </c>
      <c r="Q31" s="258" t="e">
        <f>HOUR(P31)+MINUTE(P31)/60</f>
        <v>#REF!</v>
      </c>
      <c r="R31" t="e">
        <f>HOUR("02.23.00")+MINUTE("02.23.00")/60</f>
        <v>#VALUE!</v>
      </c>
      <c r="T31" t="e">
        <f>O31-E31</f>
        <v>#REF!</v>
      </c>
      <c r="U31" s="258" t="e">
        <f>IF(DAY(T31)&gt;30,24+HOUR(T31)+MINUTE(T31)/60,HOUR(T31)+MINUTE(T31)/60)</f>
        <v>#REF!</v>
      </c>
    </row>
    <row r="32">
      <c r="A32" t="e">
        <f>#REF!</f>
        <v>#REF!</v>
      </c>
      <c r="B32" t="e">
        <f>#REF!</f>
        <v>#REF!</v>
      </c>
      <c r="C32" t="e">
        <f>#REF!</f>
        <v>#REF!</v>
      </c>
      <c r="D32" t="e">
        <f>#REF!</f>
        <v>#REF!</v>
      </c>
      <c r="E32" s="254" t="e">
        <f>#REF!</f>
        <v>#REF!</v>
      </c>
      <c r="F32" s="255" t="e">
        <f>#REF!</f>
        <v>#REF!</v>
      </c>
      <c r="G32" t="e">
        <f>C32&amp;" "&amp;B32</f>
        <v>#REF!</v>
      </c>
      <c r="H32" s="256" t="e">
        <f>#REF!</f>
        <v>#REF!</v>
      </c>
      <c r="I32" s="256" t="e">
        <f>AVERAGE(H$2:H$51)</f>
        <v>#REF!</v>
      </c>
      <c r="J32" s="257" t="e">
        <f>#REF!</f>
        <v>#REF!</v>
      </c>
      <c r="K32" s="258" t="e">
        <f>IF(DAY(J32)&gt;30,24+HOUR(J32)+MINUTE(J32)/60,HOUR(J32)+MINUTE(J32)/60)</f>
        <v>#REF!</v>
      </c>
      <c r="L32" s="258" t="e">
        <f>AVERAGE(K$2:K$51)</f>
        <v>#REF!</v>
      </c>
      <c r="M32" s="247">
        <v>24</v>
      </c>
      <c r="N32" s="247">
        <v>36</v>
      </c>
      <c r="O32" s="259" t="e">
        <f>#REF!</f>
        <v>#REF!</v>
      </c>
      <c r="P32" s="259" t="e">
        <f>IF(O32&gt;0,O32-E32,"")</f>
        <v>#REF!</v>
      </c>
      <c r="Q32" s="258" t="e">
        <f>HOUR(P32)+MINUTE(P32)/60</f>
        <v>#REF!</v>
      </c>
      <c r="R32" t="e">
        <f>HOUR("02.23.00")+MINUTE("02.23.00")/60</f>
        <v>#VALUE!</v>
      </c>
      <c r="T32" t="e">
        <f>O32-E32</f>
        <v>#REF!</v>
      </c>
      <c r="U32" s="258" t="e">
        <f>IF(DAY(T32)&gt;30,24+HOUR(T32)+MINUTE(T32)/60,HOUR(T32)+MINUTE(T32)/60)</f>
        <v>#REF!</v>
      </c>
    </row>
    <row r="33">
      <c r="A33" t="e">
        <f>#REF!</f>
        <v>#REF!</v>
      </c>
      <c r="B33" t="e">
        <f>#REF!</f>
        <v>#REF!</v>
      </c>
      <c r="C33" t="e">
        <f>#REF!</f>
        <v>#REF!</v>
      </c>
      <c r="D33" t="e">
        <f>#REF!</f>
        <v>#REF!</v>
      </c>
      <c r="E33" s="254" t="e">
        <f>#REF!</f>
        <v>#REF!</v>
      </c>
      <c r="F33" s="255" t="e">
        <f>#REF!</f>
        <v>#REF!</v>
      </c>
      <c r="G33" t="e">
        <f>C33&amp;" "&amp;B33</f>
        <v>#REF!</v>
      </c>
      <c r="H33" s="256" t="e">
        <f>#REF!</f>
        <v>#REF!</v>
      </c>
      <c r="I33" s="256" t="e">
        <f>AVERAGE(H$2:H$51)</f>
        <v>#REF!</v>
      </c>
      <c r="J33" s="257" t="e">
        <f>#REF!</f>
        <v>#REF!</v>
      </c>
      <c r="K33" s="258" t="e">
        <f>IF(DAY(J33)&gt;30,24+HOUR(J33)+MINUTE(J33)/60,HOUR(J33)+MINUTE(J33)/60)</f>
        <v>#REF!</v>
      </c>
      <c r="L33" s="258" t="e">
        <f>AVERAGE(K$2:K$51)</f>
        <v>#REF!</v>
      </c>
      <c r="M33" s="247">
        <v>24</v>
      </c>
      <c r="N33" s="247">
        <v>36</v>
      </c>
      <c r="O33" s="259" t="e">
        <f>#REF!</f>
        <v>#REF!</v>
      </c>
      <c r="P33" s="259" t="e">
        <f>IF(O33&gt;0,O33-E33,"")</f>
        <v>#REF!</v>
      </c>
      <c r="Q33" s="258" t="e">
        <f>HOUR(P33)+MINUTE(P33)/60</f>
        <v>#REF!</v>
      </c>
      <c r="R33" t="e">
        <f>HOUR("02.23.00")+MINUTE("02.23.00")/60</f>
        <v>#VALUE!</v>
      </c>
      <c r="T33" t="e">
        <f>O33-E33</f>
        <v>#REF!</v>
      </c>
      <c r="U33" s="258" t="e">
        <f>IF(DAY(T33)&gt;30,24+HOUR(T33)+MINUTE(T33)/60,HOUR(T33)+MINUTE(T33)/60)</f>
        <v>#REF!</v>
      </c>
    </row>
    <row r="34">
      <c r="A34" t="e">
        <f>#REF!</f>
        <v>#REF!</v>
      </c>
      <c r="B34" t="e">
        <f>#REF!</f>
        <v>#REF!</v>
      </c>
      <c r="C34" t="e">
        <f>#REF!</f>
        <v>#REF!</v>
      </c>
      <c r="D34" t="e">
        <f>#REF!</f>
        <v>#REF!</v>
      </c>
      <c r="E34" s="254" t="e">
        <f>#REF!</f>
        <v>#REF!</v>
      </c>
      <c r="F34" s="255" t="e">
        <f>#REF!</f>
        <v>#REF!</v>
      </c>
      <c r="G34" t="e">
        <f>C34&amp;" "&amp;B34</f>
        <v>#REF!</v>
      </c>
      <c r="H34" s="256" t="e">
        <f>#REF!</f>
        <v>#REF!</v>
      </c>
      <c r="I34" s="256" t="e">
        <f>AVERAGE(H$2:H$51)</f>
        <v>#REF!</v>
      </c>
      <c r="J34" s="257" t="e">
        <f>#REF!</f>
        <v>#REF!</v>
      </c>
      <c r="K34" s="258" t="e">
        <f>IF(DAY(J34)&gt;30,24+HOUR(J34)+MINUTE(J34)/60,HOUR(J34)+MINUTE(J34)/60)</f>
        <v>#REF!</v>
      </c>
      <c r="L34" s="258" t="e">
        <f>AVERAGE(K$2:K$51)</f>
        <v>#REF!</v>
      </c>
      <c r="M34" s="247">
        <v>24</v>
      </c>
      <c r="N34" s="247">
        <v>36</v>
      </c>
      <c r="O34" s="259" t="e">
        <f>#REF!</f>
        <v>#REF!</v>
      </c>
      <c r="P34" s="259" t="e">
        <f>IF(O34&gt;0,O34-E34,"")</f>
        <v>#REF!</v>
      </c>
      <c r="Q34" s="258" t="e">
        <f>HOUR(P34)+MINUTE(P34)/60</f>
        <v>#REF!</v>
      </c>
      <c r="R34" t="e">
        <f>HOUR("02.23.00")+MINUTE("02.23.00")/60</f>
        <v>#VALUE!</v>
      </c>
      <c r="T34" t="e">
        <f>O34-E34</f>
        <v>#REF!</v>
      </c>
      <c r="U34" s="258" t="e">
        <f>IF(DAY(T34)&gt;30,24+HOUR(T34)+MINUTE(T34)/60,HOUR(T34)+MINUTE(T34)/60)</f>
        <v>#REF!</v>
      </c>
    </row>
    <row r="35">
      <c r="A35" t="e">
        <f>#REF!</f>
        <v>#REF!</v>
      </c>
      <c r="B35" t="e">
        <f>#REF!</f>
        <v>#REF!</v>
      </c>
      <c r="C35" t="e">
        <f>#REF!</f>
        <v>#REF!</v>
      </c>
      <c r="D35" t="e">
        <f>#REF!</f>
        <v>#REF!</v>
      </c>
      <c r="E35" s="254" t="e">
        <f>#REF!</f>
        <v>#REF!</v>
      </c>
      <c r="F35" s="255" t="e">
        <f>#REF!</f>
        <v>#REF!</v>
      </c>
      <c r="G35" t="e">
        <f>C35&amp;" "&amp;B35</f>
        <v>#REF!</v>
      </c>
      <c r="H35" s="256" t="e">
        <f>#REF!</f>
        <v>#REF!</v>
      </c>
      <c r="I35" s="256" t="e">
        <f>AVERAGE(H$2:H$51)</f>
        <v>#REF!</v>
      </c>
      <c r="J35" s="257" t="e">
        <f>#REF!</f>
        <v>#REF!</v>
      </c>
      <c r="K35" s="258" t="e">
        <f>IF(DAY(J35)&gt;30,24+HOUR(J35)+MINUTE(J35)/60,HOUR(J35)+MINUTE(J35)/60)</f>
        <v>#REF!</v>
      </c>
      <c r="L35" s="258" t="e">
        <f>AVERAGE(K$2:K$51)</f>
        <v>#REF!</v>
      </c>
      <c r="M35" s="247">
        <v>24</v>
      </c>
      <c r="N35" s="247">
        <v>36</v>
      </c>
      <c r="O35" s="259" t="e">
        <f>#REF!</f>
        <v>#REF!</v>
      </c>
      <c r="P35" s="259" t="e">
        <f>IF(O35&gt;0,O35-E35,"")</f>
        <v>#REF!</v>
      </c>
      <c r="Q35" s="258" t="e">
        <f>HOUR(P35)+MINUTE(P35)/60</f>
        <v>#REF!</v>
      </c>
      <c r="R35" t="e">
        <f>HOUR("02.23.00")+MINUTE("02.23.00")/60</f>
        <v>#VALUE!</v>
      </c>
      <c r="T35" t="e">
        <f>O35-E35</f>
        <v>#REF!</v>
      </c>
      <c r="U35" s="258" t="e">
        <f>IF(DAY(T35)&gt;30,24+HOUR(T35)+MINUTE(T35)/60,HOUR(T35)+MINUTE(T35)/60)</f>
        <v>#REF!</v>
      </c>
    </row>
    <row r="36">
      <c r="A36" t="e">
        <f>#REF!</f>
        <v>#REF!</v>
      </c>
      <c r="B36" t="e">
        <f>#REF!</f>
        <v>#REF!</v>
      </c>
      <c r="C36" t="e">
        <f>#REF!</f>
        <v>#REF!</v>
      </c>
      <c r="D36" t="e">
        <f>#REF!</f>
        <v>#REF!</v>
      </c>
      <c r="E36" s="254" t="e">
        <f>#REF!</f>
        <v>#REF!</v>
      </c>
      <c r="F36" s="255" t="e">
        <f>#REF!</f>
        <v>#REF!</v>
      </c>
      <c r="G36" t="e">
        <f>C36&amp;" "&amp;B36</f>
        <v>#REF!</v>
      </c>
      <c r="H36" s="256" t="e">
        <f>#REF!</f>
        <v>#REF!</v>
      </c>
      <c r="I36" s="256" t="e">
        <f>AVERAGE(H$2:H$51)</f>
        <v>#REF!</v>
      </c>
      <c r="J36" s="257" t="e">
        <f>#REF!</f>
        <v>#REF!</v>
      </c>
      <c r="K36" s="258" t="e">
        <f>IF(DAY(J36)&gt;30,24+HOUR(J36)+MINUTE(J36)/60,HOUR(J36)+MINUTE(J36)/60)</f>
        <v>#REF!</v>
      </c>
      <c r="L36" s="258" t="e">
        <f>AVERAGE(K$2:K$51)</f>
        <v>#REF!</v>
      </c>
      <c r="M36" s="247">
        <v>24</v>
      </c>
      <c r="N36" s="247">
        <v>36</v>
      </c>
      <c r="O36" s="259" t="e">
        <f>#REF!</f>
        <v>#REF!</v>
      </c>
      <c r="P36" s="259" t="e">
        <f>IF(O36&gt;0,O36-E36,"")</f>
        <v>#REF!</v>
      </c>
      <c r="Q36" s="258" t="e">
        <f>HOUR(P36)+MINUTE(P36)/60</f>
        <v>#REF!</v>
      </c>
      <c r="R36" t="e">
        <f>HOUR("02.23.00")+MINUTE("02.23.00")/60</f>
        <v>#VALUE!</v>
      </c>
      <c r="T36" t="e">
        <f>O36-E36</f>
        <v>#REF!</v>
      </c>
      <c r="U36" s="258" t="e">
        <f>IF(DAY(T36)&gt;30,24+HOUR(T36)+MINUTE(T36)/60,HOUR(T36)+MINUTE(T36)/60)</f>
        <v>#REF!</v>
      </c>
    </row>
    <row r="37">
      <c r="A37" t="e">
        <f>#REF!</f>
        <v>#REF!</v>
      </c>
      <c r="B37" t="e">
        <f>#REF!</f>
        <v>#REF!</v>
      </c>
      <c r="C37" t="e">
        <f>#REF!</f>
        <v>#REF!</v>
      </c>
      <c r="D37" t="e">
        <f>#REF!</f>
        <v>#REF!</v>
      </c>
      <c r="E37" s="254" t="e">
        <f>#REF!</f>
        <v>#REF!</v>
      </c>
      <c r="F37" s="255" t="e">
        <f>#REF!</f>
        <v>#REF!</v>
      </c>
      <c r="G37" t="e">
        <f>C37&amp;" "&amp;B37</f>
        <v>#REF!</v>
      </c>
      <c r="H37" s="256" t="e">
        <f>#REF!</f>
        <v>#REF!</v>
      </c>
      <c r="I37" s="256" t="e">
        <f>AVERAGE(H$2:H$51)</f>
        <v>#REF!</v>
      </c>
      <c r="J37" s="257" t="e">
        <f>#REF!</f>
        <v>#REF!</v>
      </c>
      <c r="K37" s="258" t="e">
        <f>IF(DAY(J37)&gt;30,24+HOUR(J37)+MINUTE(J37)/60,HOUR(J37)+MINUTE(J37)/60)</f>
        <v>#REF!</v>
      </c>
      <c r="L37" s="258" t="e">
        <f>AVERAGE(K$2:K$51)</f>
        <v>#REF!</v>
      </c>
      <c r="M37" s="247">
        <v>24</v>
      </c>
      <c r="N37" s="247">
        <v>36</v>
      </c>
      <c r="O37" s="259" t="e">
        <f>#REF!</f>
        <v>#REF!</v>
      </c>
      <c r="P37" s="259" t="e">
        <f>IF(O37&gt;0,O37-E37,"")</f>
        <v>#REF!</v>
      </c>
      <c r="Q37" s="258" t="e">
        <f>HOUR(P37)+MINUTE(P37)/60</f>
        <v>#REF!</v>
      </c>
      <c r="R37" t="e">
        <f>HOUR("02.23.00")+MINUTE("02.23.00")/60</f>
        <v>#VALUE!</v>
      </c>
      <c r="T37" t="e">
        <f>O37-E37</f>
        <v>#REF!</v>
      </c>
      <c r="U37" s="258" t="e">
        <f>IF(DAY(T37)&gt;30,24+HOUR(T37)+MINUTE(T37)/60,HOUR(T37)+MINUTE(T37)/60)</f>
        <v>#REF!</v>
      </c>
    </row>
    <row r="38">
      <c r="A38" t="e">
        <f>#REF!</f>
        <v>#REF!</v>
      </c>
      <c r="B38" t="e">
        <f>#REF!</f>
        <v>#REF!</v>
      </c>
      <c r="C38" t="e">
        <f>#REF!</f>
        <v>#REF!</v>
      </c>
      <c r="D38" t="e">
        <f>#REF!</f>
        <v>#REF!</v>
      </c>
      <c r="E38" s="254" t="e">
        <f>#REF!</f>
        <v>#REF!</v>
      </c>
      <c r="F38" s="255" t="e">
        <f>#REF!</f>
        <v>#REF!</v>
      </c>
      <c r="G38" t="e">
        <f>C38&amp;" "&amp;B38</f>
        <v>#REF!</v>
      </c>
      <c r="H38" s="256" t="e">
        <f>#REF!</f>
        <v>#REF!</v>
      </c>
      <c r="I38" s="256" t="e">
        <f>AVERAGE(H$2:H$51)</f>
        <v>#REF!</v>
      </c>
      <c r="J38" s="257" t="e">
        <f>#REF!</f>
        <v>#REF!</v>
      </c>
      <c r="K38" s="258" t="e">
        <f>IF(DAY(J38)&gt;30,24+HOUR(J38)+MINUTE(J38)/60,HOUR(J38)+MINUTE(J38)/60)</f>
        <v>#REF!</v>
      </c>
      <c r="L38" s="258" t="e">
        <f>AVERAGE(K$2:K$51)</f>
        <v>#REF!</v>
      </c>
      <c r="M38" s="247">
        <v>24</v>
      </c>
      <c r="N38" s="247">
        <v>36</v>
      </c>
      <c r="O38" s="259" t="e">
        <f>#REF!</f>
        <v>#REF!</v>
      </c>
      <c r="P38" s="259" t="e">
        <f>IF(O38&gt;0,O38-E38,"")</f>
        <v>#REF!</v>
      </c>
      <c r="Q38" s="258" t="e">
        <f>HOUR(P38)+MINUTE(P38)/60</f>
        <v>#REF!</v>
      </c>
      <c r="R38" t="e">
        <f>HOUR("02.23.00")+MINUTE("02.23.00")/60</f>
        <v>#VALUE!</v>
      </c>
      <c r="T38" t="e">
        <f>O38-E38</f>
        <v>#REF!</v>
      </c>
      <c r="U38" s="258" t="e">
        <f>IF(DAY(T38)&gt;30,24+HOUR(T38)+MINUTE(T38)/60,HOUR(T38)+MINUTE(T38)/60)</f>
        <v>#REF!</v>
      </c>
    </row>
    <row r="39">
      <c r="A39" t="e">
        <f>#REF!</f>
        <v>#REF!</v>
      </c>
      <c r="B39" t="e">
        <f>#REF!</f>
        <v>#REF!</v>
      </c>
      <c r="C39" t="e">
        <f>#REF!</f>
        <v>#REF!</v>
      </c>
      <c r="D39" t="e">
        <f>#REF!</f>
        <v>#REF!</v>
      </c>
      <c r="E39" s="254" t="e">
        <f>#REF!</f>
        <v>#REF!</v>
      </c>
      <c r="F39" s="255" t="e">
        <f>#REF!</f>
        <v>#REF!</v>
      </c>
      <c r="G39" t="e">
        <f>C39&amp;" "&amp;B39</f>
        <v>#REF!</v>
      </c>
      <c r="H39" s="256" t="e">
        <f>#REF!</f>
        <v>#REF!</v>
      </c>
      <c r="I39" s="256" t="e">
        <f>AVERAGE(H$2:H$51)</f>
        <v>#REF!</v>
      </c>
      <c r="J39" s="257" t="e">
        <f>#REF!</f>
        <v>#REF!</v>
      </c>
      <c r="K39" s="258" t="e">
        <f>IF(DAY(J39)&gt;30,24+HOUR(J39)+MINUTE(J39)/60,HOUR(J39)+MINUTE(J39)/60)</f>
        <v>#REF!</v>
      </c>
      <c r="L39" s="258" t="e">
        <f>AVERAGE(K$2:K$51)</f>
        <v>#REF!</v>
      </c>
      <c r="M39" s="247">
        <v>24</v>
      </c>
      <c r="N39" s="247">
        <v>36</v>
      </c>
      <c r="O39" s="259" t="e">
        <f>#REF!</f>
        <v>#REF!</v>
      </c>
      <c r="P39" s="259" t="e">
        <f>IF(O39&gt;0,O39-E39,"")</f>
        <v>#REF!</v>
      </c>
      <c r="Q39" s="258" t="e">
        <f>HOUR(P39)+MINUTE(P39)/60</f>
        <v>#REF!</v>
      </c>
      <c r="R39" t="e">
        <f>HOUR("02.23.00")+MINUTE("02.23.00")/60</f>
        <v>#VALUE!</v>
      </c>
      <c r="T39" t="e">
        <f>O39-E39</f>
        <v>#REF!</v>
      </c>
      <c r="U39" s="258" t="e">
        <f>IF(DAY(T39)&gt;30,24+HOUR(T39)+MINUTE(T39)/60,HOUR(T39)+MINUTE(T39)/60)</f>
        <v>#REF!</v>
      </c>
    </row>
    <row r="40">
      <c r="A40" t="e">
        <f>#REF!</f>
        <v>#REF!</v>
      </c>
      <c r="B40" t="e">
        <f>#REF!</f>
        <v>#REF!</v>
      </c>
      <c r="C40" t="e">
        <f>#REF!</f>
        <v>#REF!</v>
      </c>
      <c r="D40" t="e">
        <f>#REF!</f>
        <v>#REF!</v>
      </c>
      <c r="E40" s="254" t="e">
        <f>#REF!</f>
        <v>#REF!</v>
      </c>
      <c r="F40" s="255" t="e">
        <f>#REF!</f>
        <v>#REF!</v>
      </c>
      <c r="G40" t="e">
        <f>C40&amp;" "&amp;B40</f>
        <v>#REF!</v>
      </c>
      <c r="H40" s="256" t="e">
        <f>#REF!</f>
        <v>#REF!</v>
      </c>
      <c r="I40" s="256" t="e">
        <f>AVERAGE(H$2:H$51)</f>
        <v>#REF!</v>
      </c>
      <c r="J40" s="257" t="e">
        <f>#REF!</f>
        <v>#REF!</v>
      </c>
      <c r="K40" s="258" t="e">
        <f>IF(DAY(J40)&gt;30,24+HOUR(J40)+MINUTE(J40)/60,HOUR(J40)+MINUTE(J40)/60)</f>
        <v>#REF!</v>
      </c>
      <c r="L40" s="258" t="e">
        <f>AVERAGE(K$2:K$51)</f>
        <v>#REF!</v>
      </c>
      <c r="M40" s="247">
        <v>24</v>
      </c>
      <c r="N40" s="247">
        <v>36</v>
      </c>
      <c r="O40" s="259" t="e">
        <f>#REF!</f>
        <v>#REF!</v>
      </c>
      <c r="P40" s="259" t="e">
        <f>IF(O40&gt;0,O40-E40,"")</f>
        <v>#REF!</v>
      </c>
      <c r="Q40" s="258" t="e">
        <f>HOUR(P40)+MINUTE(P40)/60</f>
        <v>#REF!</v>
      </c>
      <c r="R40" t="e">
        <f>HOUR("02.23.00")+MINUTE("02.23.00")/60</f>
        <v>#VALUE!</v>
      </c>
      <c r="T40" t="e">
        <f>O40-E40</f>
        <v>#REF!</v>
      </c>
      <c r="U40" s="258" t="e">
        <f>IF(DAY(T40)&gt;30,24+HOUR(T40)+MINUTE(T40)/60,HOUR(T40)+MINUTE(T40)/60)</f>
        <v>#REF!</v>
      </c>
    </row>
    <row r="41">
      <c r="A41" t="e">
        <f>#REF!</f>
        <v>#REF!</v>
      </c>
      <c r="B41" t="e">
        <f>#REF!</f>
        <v>#REF!</v>
      </c>
      <c r="C41" t="e">
        <f>#REF!</f>
        <v>#REF!</v>
      </c>
      <c r="D41" t="e">
        <f>#REF!</f>
        <v>#REF!</v>
      </c>
      <c r="E41" s="254" t="e">
        <f>#REF!</f>
        <v>#REF!</v>
      </c>
      <c r="F41" s="255" t="e">
        <f>#REF!</f>
        <v>#REF!</v>
      </c>
      <c r="G41" t="e">
        <f>C41&amp;" "&amp;B41</f>
        <v>#REF!</v>
      </c>
      <c r="H41" s="256" t="e">
        <f>#REF!</f>
        <v>#REF!</v>
      </c>
      <c r="I41" s="256" t="e">
        <f>AVERAGE(H$2:H$51)</f>
        <v>#REF!</v>
      </c>
      <c r="J41" s="257" t="e">
        <f>#REF!</f>
        <v>#REF!</v>
      </c>
      <c r="K41" s="258" t="e">
        <f>IF(DAY(J41)&gt;30,24+HOUR(J41)+MINUTE(J41)/60,HOUR(J41)+MINUTE(J41)/60)</f>
        <v>#REF!</v>
      </c>
      <c r="L41" s="258" t="e">
        <f>AVERAGE(K$2:K$51)</f>
        <v>#REF!</v>
      </c>
      <c r="M41" s="247">
        <v>24</v>
      </c>
      <c r="N41" s="247">
        <v>36</v>
      </c>
      <c r="O41" s="259" t="e">
        <f>#REF!</f>
        <v>#REF!</v>
      </c>
      <c r="P41" s="259" t="e">
        <f>IF(O41&gt;0,O41-E41,"")</f>
        <v>#REF!</v>
      </c>
      <c r="Q41" s="258" t="e">
        <f>HOUR(P41)+MINUTE(P41)/60</f>
        <v>#REF!</v>
      </c>
      <c r="R41" t="e">
        <f>HOUR("02.23.00")+MINUTE("02.23.00")/60</f>
        <v>#VALUE!</v>
      </c>
      <c r="T41" t="e">
        <f>O41-E41</f>
        <v>#REF!</v>
      </c>
      <c r="U41" s="258" t="e">
        <f>IF(DAY(T41)&gt;30,24+HOUR(T41)+MINUTE(T41)/60,HOUR(T41)+MINUTE(T41)/60)</f>
        <v>#REF!</v>
      </c>
    </row>
    <row r="42">
      <c r="A42" t="e">
        <f>#REF!</f>
        <v>#REF!</v>
      </c>
      <c r="B42" t="e">
        <f>#REF!</f>
        <v>#REF!</v>
      </c>
      <c r="C42" t="e">
        <f>#REF!</f>
        <v>#REF!</v>
      </c>
      <c r="D42" t="e">
        <f>#REF!</f>
        <v>#REF!</v>
      </c>
      <c r="E42" s="254" t="e">
        <f>#REF!</f>
        <v>#REF!</v>
      </c>
      <c r="F42" s="255" t="e">
        <f>#REF!</f>
        <v>#REF!</v>
      </c>
      <c r="G42" t="e">
        <f>C42&amp;" "&amp;B42</f>
        <v>#REF!</v>
      </c>
      <c r="H42" s="256" t="e">
        <f>#REF!</f>
        <v>#REF!</v>
      </c>
      <c r="I42" s="256" t="e">
        <f>AVERAGE(H$2:H$51)</f>
        <v>#REF!</v>
      </c>
      <c r="J42" s="257" t="e">
        <f>#REF!</f>
        <v>#REF!</v>
      </c>
      <c r="K42" s="258" t="e">
        <f>IF(DAY(J42)&gt;30,24+HOUR(J42)+MINUTE(J42)/60,HOUR(J42)+MINUTE(J42)/60)</f>
        <v>#REF!</v>
      </c>
      <c r="L42" s="258" t="e">
        <f>AVERAGE(K$2:K$51)</f>
        <v>#REF!</v>
      </c>
      <c r="M42" s="247">
        <v>24</v>
      </c>
      <c r="N42" s="247">
        <v>36</v>
      </c>
      <c r="O42" s="259" t="e">
        <f>#REF!</f>
        <v>#REF!</v>
      </c>
      <c r="P42" s="259" t="e">
        <f>IF(O42&gt;0,O42-E42,"")</f>
        <v>#REF!</v>
      </c>
      <c r="Q42" s="258" t="e">
        <f>HOUR(P42)+MINUTE(P42)/60</f>
        <v>#REF!</v>
      </c>
      <c r="R42" t="e">
        <f>HOUR("02.23.00")+MINUTE("02.23.00")/60</f>
        <v>#VALUE!</v>
      </c>
      <c r="T42" t="e">
        <f>O42-E42</f>
        <v>#REF!</v>
      </c>
      <c r="U42" s="258" t="e">
        <f>IF(DAY(T42)&gt;30,24+HOUR(T42)+MINUTE(T42)/60,HOUR(T42)+MINUTE(T42)/60)</f>
        <v>#REF!</v>
      </c>
    </row>
    <row r="43">
      <c r="A43" t="e">
        <f>#REF!</f>
        <v>#REF!</v>
      </c>
      <c r="B43" t="e">
        <f>#REF!</f>
        <v>#REF!</v>
      </c>
      <c r="C43" t="e">
        <f>#REF!</f>
        <v>#REF!</v>
      </c>
      <c r="D43" t="e">
        <f>#REF!</f>
        <v>#REF!</v>
      </c>
      <c r="E43" s="254" t="e">
        <f>#REF!</f>
        <v>#REF!</v>
      </c>
      <c r="F43" s="255" t="e">
        <f>#REF!</f>
        <v>#REF!</v>
      </c>
      <c r="G43" t="e">
        <f>C43&amp;" "&amp;B43</f>
        <v>#REF!</v>
      </c>
      <c r="H43" s="256" t="e">
        <f>#REF!</f>
        <v>#REF!</v>
      </c>
      <c r="I43" s="256" t="e">
        <f>AVERAGE(H$2:H$51)</f>
        <v>#REF!</v>
      </c>
      <c r="J43" s="257" t="e">
        <f>#REF!</f>
        <v>#REF!</v>
      </c>
      <c r="K43" s="258" t="e">
        <f>IF(DAY(J43)&gt;30,24+HOUR(J43)+MINUTE(J43)/60,HOUR(J43)+MINUTE(J43)/60)</f>
        <v>#REF!</v>
      </c>
      <c r="L43" s="258" t="e">
        <f>AVERAGE(K$2:K$51)</f>
        <v>#REF!</v>
      </c>
      <c r="M43" s="247">
        <v>24</v>
      </c>
      <c r="N43" s="247">
        <v>36</v>
      </c>
      <c r="O43" s="259" t="e">
        <f>#REF!</f>
        <v>#REF!</v>
      </c>
      <c r="P43" s="259" t="e">
        <f>IF(O43&gt;0,O43-E43,"")</f>
        <v>#REF!</v>
      </c>
      <c r="Q43" s="258" t="e">
        <f>HOUR(P43)+MINUTE(P43)/60</f>
        <v>#REF!</v>
      </c>
      <c r="R43" t="e">
        <f>HOUR("02.23.00")+MINUTE("02.23.00")/60</f>
        <v>#VALUE!</v>
      </c>
      <c r="T43" t="e">
        <f>O43-E43</f>
        <v>#REF!</v>
      </c>
      <c r="U43" s="258" t="e">
        <f>IF(DAY(T43)&gt;30,24+HOUR(T43)+MINUTE(T43)/60,HOUR(T43)+MINUTE(T43)/60)</f>
        <v>#REF!</v>
      </c>
    </row>
    <row r="44">
      <c r="A44" s="46">
        <f>'Plan - NL'!B28</f>
        <v>20</v>
      </c>
      <c r="B44" t="str">
        <f>'Plan - NL'!E28</f>
        <v>September</v>
      </c>
      <c r="C44" s="56">
        <f>'Plan - NL'!D28</f>
        <v>13</v>
      </c>
      <c r="D44" t="str">
        <f>'Plan - NL'!C28</f>
        <v>Lørdag</v>
      </c>
      <c r="E44" s="254">
        <f>'Plan - NL'!F28</f>
        <v>0.541666666666667</v>
      </c>
      <c r="F44" s="255" t="str">
        <f>'Plan - NL'!A28</f>
        <v>NL</v>
      </c>
      <c r="G44" t="str">
        <f>C44&amp;" "&amp;B44</f>
        <v>13 September</v>
      </c>
      <c r="H44" s="256" t="s">
        <f>'Plan - NL'!Y28</f>
      </c>
      <c r="I44" s="256" t="e">
        <f>AVERAGE(H$2:H$51)</f>
        <v>#REF!</v>
      </c>
      <c r="J44" s="257">
        <f>'Plan - NL'!AK15</f>
        <v>0</v>
      </c>
      <c r="K44" s="258">
        <f>IF(DAY(J44)&gt;30,24+HOUR(J44)+MINUTE(J44)/60,HOUR(J44)+MINUTE(J44)/60)</f>
        <v>0</v>
      </c>
      <c r="L44" s="258" t="e">
        <f>AVERAGE(K$2:K$51)</f>
        <v>#REF!</v>
      </c>
      <c r="M44" s="247">
        <v>24</v>
      </c>
      <c r="N44" s="247">
        <v>36</v>
      </c>
      <c r="O44" s="259" t="s">
        <f>'Plan - NL'!AD15</f>
      </c>
      <c r="P44" s="259" t="str">
        <f>IF(O44&gt;0,O44-E44,"")</f>
        <v/>
      </c>
      <c r="Q44" s="258" t="e">
        <f>HOUR(P44)+MINUTE(P44)/60</f>
        <v>#VALUE!</v>
      </c>
      <c r="R44" t="e">
        <f>HOUR("02.23.00")+MINUTE("02.23.00")/60</f>
        <v>#VALUE!</v>
      </c>
      <c r="T44" s="254">
        <f>O44-E44</f>
        <v>-0.541666666666667</v>
      </c>
      <c r="U44" s="258" t="e">
        <f>IF(DAY(T44)&gt;30,24+HOUR(T44)+MINUTE(T44)/60,HOUR(T44)+MINUTE(T44)/60)</f>
        <v>#NUM!</v>
      </c>
    </row>
    <row r="45">
      <c r="A45" t="e">
        <f>#REF!</f>
        <v>#REF!</v>
      </c>
      <c r="B45" t="e">
        <f>#REF!</f>
        <v>#REF!</v>
      </c>
      <c r="C45" t="e">
        <f>#REF!</f>
        <v>#REF!</v>
      </c>
      <c r="D45" t="e">
        <f>#REF!</f>
        <v>#REF!</v>
      </c>
      <c r="E45" s="254" t="e">
        <f>#REF!</f>
        <v>#REF!</v>
      </c>
      <c r="F45" s="255" t="e">
        <f>#REF!</f>
        <v>#REF!</v>
      </c>
      <c r="G45" t="e">
        <f>C45&amp;" "&amp;B45</f>
        <v>#REF!</v>
      </c>
      <c r="H45" s="256" t="e">
        <f>#REF!</f>
        <v>#REF!</v>
      </c>
      <c r="I45" s="256" t="e">
        <f>AVERAGE(H$2:H$51)</f>
        <v>#REF!</v>
      </c>
      <c r="J45" s="257" t="e">
        <f>#REF!</f>
        <v>#REF!</v>
      </c>
      <c r="K45" s="258" t="e">
        <f>IF(DAY(J45)&gt;30,24+HOUR(J45)+MINUTE(J45)/60,HOUR(J45)+MINUTE(J45)/60)</f>
        <v>#REF!</v>
      </c>
      <c r="L45" s="258" t="e">
        <f>AVERAGE(K$2:K$51)</f>
        <v>#REF!</v>
      </c>
      <c r="M45" s="247">
        <v>24</v>
      </c>
      <c r="N45" s="247">
        <v>36</v>
      </c>
      <c r="O45" s="259" t="e">
        <f>#REF!</f>
        <v>#REF!</v>
      </c>
      <c r="P45" s="259" t="e">
        <f>IF(O45&gt;0,O45-E45,"")</f>
        <v>#REF!</v>
      </c>
      <c r="Q45" s="258" t="e">
        <f>HOUR(P45)+MINUTE(P45)/60</f>
        <v>#REF!</v>
      </c>
      <c r="R45" t="e">
        <f>HOUR("02.23.00")+MINUTE("02.23.00")/60</f>
        <v>#VALUE!</v>
      </c>
      <c r="T45" t="e">
        <f>O45-E45</f>
        <v>#REF!</v>
      </c>
      <c r="U45" s="258" t="e">
        <f>IF(DAY(T45)&gt;30,24+HOUR(T45)+MINUTE(T45)/60,HOUR(T45)+MINUTE(T45)/60)</f>
        <v>#REF!</v>
      </c>
    </row>
    <row r="46">
      <c r="A46" t="e">
        <f>#REF!</f>
        <v>#REF!</v>
      </c>
      <c r="B46" t="e">
        <f>#REF!</f>
        <v>#REF!</v>
      </c>
      <c r="C46" t="e">
        <f>#REF!</f>
        <v>#REF!</v>
      </c>
      <c r="D46" t="e">
        <f>#REF!</f>
        <v>#REF!</v>
      </c>
      <c r="E46" s="254" t="e">
        <f>#REF!</f>
        <v>#REF!</v>
      </c>
      <c r="F46" s="255" t="e">
        <f>#REF!</f>
        <v>#REF!</v>
      </c>
      <c r="G46" t="e">
        <f>C46&amp;" "&amp;B46</f>
        <v>#REF!</v>
      </c>
      <c r="H46" s="256" t="e">
        <f>#REF!</f>
        <v>#REF!</v>
      </c>
      <c r="I46" s="256" t="e">
        <f>AVERAGE(H$2:H$51)</f>
        <v>#REF!</v>
      </c>
      <c r="J46" s="257" t="e">
        <f>#REF!</f>
        <v>#REF!</v>
      </c>
      <c r="K46" s="258" t="e">
        <f>IF(DAY(J46)&gt;30,24+HOUR(J46)+MINUTE(J46)/60,HOUR(J46)+MINUTE(J46)/60)</f>
        <v>#REF!</v>
      </c>
      <c r="L46" s="258" t="e">
        <f>AVERAGE(K$2:K$51)</f>
        <v>#REF!</v>
      </c>
      <c r="M46" s="247">
        <v>24</v>
      </c>
      <c r="N46" s="247">
        <v>36</v>
      </c>
      <c r="O46" s="259" t="e">
        <f>#REF!</f>
        <v>#REF!</v>
      </c>
      <c r="P46" s="259" t="e">
        <f>IF(O46&gt;0,O46-E46,"")</f>
        <v>#REF!</v>
      </c>
      <c r="Q46" s="258" t="e">
        <f>HOUR(P46)+MINUTE(P46)/60</f>
        <v>#REF!</v>
      </c>
      <c r="R46" t="e">
        <f>HOUR("02.23.00")+MINUTE("02.23.00")/60</f>
        <v>#VALUE!</v>
      </c>
      <c r="T46" t="e">
        <f>O46-E46</f>
        <v>#REF!</v>
      </c>
      <c r="U46" s="258" t="e">
        <f>IF(DAY(T46)&gt;30,24+HOUR(T46)+MINUTE(T46)/60,HOUR(T46)+MINUTE(T46)/60)</f>
        <v>#REF!</v>
      </c>
    </row>
    <row r="47">
      <c r="A47" t="e">
        <f>#REF!</f>
        <v>#REF!</v>
      </c>
      <c r="B47" t="e">
        <f>#REF!</f>
        <v>#REF!</v>
      </c>
      <c r="C47" t="e">
        <f>#REF!</f>
        <v>#REF!</v>
      </c>
      <c r="D47" t="e">
        <f>#REF!</f>
        <v>#REF!</v>
      </c>
      <c r="E47" s="254" t="e">
        <f>#REF!</f>
        <v>#REF!</v>
      </c>
      <c r="F47" s="255" t="e">
        <f>#REF!</f>
        <v>#REF!</v>
      </c>
      <c r="G47" t="e">
        <f>C47&amp;" "&amp;B47</f>
        <v>#REF!</v>
      </c>
      <c r="H47" s="256" t="e">
        <f>#REF!</f>
        <v>#REF!</v>
      </c>
      <c r="I47" s="256" t="e">
        <f>AVERAGE(H$2:H$51)</f>
        <v>#REF!</v>
      </c>
      <c r="J47" s="257" t="e">
        <f>#REF!</f>
        <v>#REF!</v>
      </c>
      <c r="K47" s="258" t="e">
        <f>IF(DAY(J47)&gt;30,24+HOUR(J47)+MINUTE(J47)/60,HOUR(J47)+MINUTE(J47)/60)</f>
        <v>#REF!</v>
      </c>
      <c r="L47" s="258" t="e">
        <f>AVERAGE(K$2:K$51)</f>
        <v>#REF!</v>
      </c>
      <c r="M47" s="247">
        <v>24</v>
      </c>
      <c r="N47" s="247">
        <v>36</v>
      </c>
      <c r="O47" s="259" t="e">
        <f>#REF!</f>
        <v>#REF!</v>
      </c>
      <c r="P47" s="259" t="e">
        <f>IF(O47&gt;0,O47-E47,"")</f>
        <v>#REF!</v>
      </c>
      <c r="Q47" s="258" t="e">
        <f>HOUR(P47)+MINUTE(P47)/60</f>
        <v>#REF!</v>
      </c>
      <c r="R47" t="e">
        <f>HOUR("02.23.00")+MINUTE("02.23.00")/60</f>
        <v>#VALUE!</v>
      </c>
      <c r="T47" t="e">
        <f>O47-E47</f>
        <v>#REF!</v>
      </c>
      <c r="U47" s="258" t="e">
        <f>IF(DAY(T47)&gt;30,24+HOUR(T47)+MINUTE(T47)/60,HOUR(T47)+MINUTE(T47)/60)</f>
        <v>#REF!</v>
      </c>
    </row>
    <row r="48">
      <c r="A48" t="e">
        <f>#REF!</f>
        <v>#REF!</v>
      </c>
      <c r="B48" t="e">
        <f>#REF!</f>
        <v>#REF!</v>
      </c>
      <c r="C48" t="e">
        <f>#REF!</f>
        <v>#REF!</v>
      </c>
      <c r="D48" t="e">
        <f>#REF!</f>
        <v>#REF!</v>
      </c>
      <c r="E48" s="254" t="e">
        <f>#REF!</f>
        <v>#REF!</v>
      </c>
      <c r="F48" s="255" t="e">
        <f>#REF!</f>
        <v>#REF!</v>
      </c>
      <c r="G48" t="e">
        <f>C48&amp;" "&amp;B48</f>
        <v>#REF!</v>
      </c>
      <c r="H48" s="256" t="s">
        <f>'Plan - NL'!Y29</f>
      </c>
      <c r="I48" s="256" t="e">
        <f>AVERAGE(H$2:H$51)</f>
        <v>#REF!</v>
      </c>
      <c r="J48" s="257" t="e">
        <f>#REF!</f>
        <v>#REF!</v>
      </c>
      <c r="K48" s="258" t="e">
        <f>IF(DAY(J48)&gt;30,24+HOUR(J48)+MINUTE(J48)/60,HOUR(J48)+MINUTE(J48)/60)</f>
        <v>#REF!</v>
      </c>
      <c r="L48" s="258" t="e">
        <f>AVERAGE(K$2:K$51)</f>
        <v>#REF!</v>
      </c>
      <c r="M48" s="247">
        <v>24</v>
      </c>
      <c r="N48" s="247">
        <v>36</v>
      </c>
      <c r="O48" s="259" t="e">
        <f>#REF!</f>
        <v>#REF!</v>
      </c>
      <c r="P48" s="259" t="e">
        <f>IF(O48&gt;0,O48-E48,"")</f>
        <v>#REF!</v>
      </c>
      <c r="Q48" s="258" t="e">
        <f>HOUR(P48)+MINUTE(P48)/60</f>
        <v>#REF!</v>
      </c>
      <c r="R48" t="e">
        <f>HOUR("02.23.00")+MINUTE("02.23.00")/60</f>
        <v>#VALUE!</v>
      </c>
      <c r="T48" t="e">
        <f>O48-E48</f>
        <v>#REF!</v>
      </c>
      <c r="U48" s="258" t="e">
        <f>IF(DAY(T48)&gt;30,24+HOUR(T48)+MINUTE(T48)/60,HOUR(T48)+MINUTE(T48)/60)</f>
        <v>#REF!</v>
      </c>
    </row>
    <row r="49">
      <c r="E49" s="254"/>
      <c r="F49" s="255"/>
      <c r="H49" s="256"/>
      <c r="I49" s="256"/>
      <c r="J49" s="257"/>
      <c r="K49" s="258"/>
      <c r="L49" s="258"/>
      <c r="M49" s="247"/>
      <c r="N49" s="247"/>
      <c r="O49" s="259"/>
      <c r="P49" s="259"/>
      <c r="Q49" s="258"/>
      <c r="U49" s="258"/>
    </row>
    <row r="50">
      <c r="E50" s="254"/>
      <c r="F50" s="255"/>
      <c r="H50" s="260"/>
      <c r="I50" s="256"/>
      <c r="J50" s="257"/>
      <c r="K50" s="258"/>
      <c r="L50" s="258"/>
      <c r="M50" s="247"/>
      <c r="N50" s="247"/>
      <c r="O50" s="261"/>
      <c r="P50" s="261"/>
      <c r="Q50" s="258"/>
    </row>
    <row r="51">
      <c r="E51" s="254"/>
      <c r="F51" s="255"/>
      <c r="H51" s="256"/>
      <c r="I51" s="256"/>
      <c r="J51" s="257"/>
      <c r="K51" s="258"/>
      <c r="L51" s="258"/>
      <c r="M51" s="247"/>
      <c r="N51" s="247"/>
      <c r="O51" s="259"/>
      <c r="P51" s="259"/>
      <c r="Q51" s="258"/>
    </row>
    <row r="52">
      <c r="E52" s="254"/>
      <c r="F52" s="255"/>
      <c r="H52" s="260"/>
      <c r="I52" s="256"/>
      <c r="J52" s="257"/>
      <c r="K52" s="258"/>
      <c r="L52" s="258"/>
      <c r="M52" s="247"/>
      <c r="N52" s="247"/>
      <c r="O52" s="261"/>
      <c r="P52" s="261"/>
      <c r="Q52" s="258"/>
    </row>
    <row r="53">
      <c r="E53" s="254"/>
      <c r="F53" s="255"/>
      <c r="H53" s="256"/>
      <c r="I53" s="256"/>
      <c r="J53" s="257"/>
      <c r="K53" s="258"/>
      <c r="L53" s="258"/>
      <c r="M53" s="247"/>
      <c r="N53" s="247"/>
      <c r="O53" s="259"/>
      <c r="P53" s="259"/>
      <c r="Q53" s="258"/>
    </row>
    <row r="54">
      <c r="E54" s="254"/>
      <c r="F54" s="255"/>
      <c r="H54" s="256"/>
      <c r="I54" s="256"/>
      <c r="J54" s="257"/>
      <c r="K54" s="258"/>
      <c r="L54" s="258"/>
      <c r="M54" s="247"/>
      <c r="N54" s="247"/>
      <c r="O54" s="261"/>
      <c r="P54" s="261"/>
      <c r="Q54" s="258"/>
    </row>
    <row r="55">
      <c r="E55" s="254"/>
      <c r="F55" s="255"/>
      <c r="H55" s="256"/>
      <c r="I55" s="256"/>
      <c r="J55" s="257"/>
      <c r="K55" s="258"/>
      <c r="L55" s="258"/>
      <c r="M55" s="247"/>
      <c r="N55" s="247"/>
      <c r="O55" s="259"/>
      <c r="P55" s="259"/>
      <c r="Q55" s="258"/>
    </row>
    <row r="56">
      <c r="E56" s="254"/>
      <c r="F56" s="255"/>
      <c r="H56" s="256"/>
      <c r="I56" s="256"/>
      <c r="J56" s="257"/>
      <c r="K56" s="258"/>
      <c r="L56" s="258"/>
      <c r="M56" s="247"/>
      <c r="N56" s="247"/>
      <c r="O56" s="261"/>
      <c r="P56" s="261"/>
      <c r="Q56" s="258"/>
    </row>
    <row r="57">
      <c r="E57" s="254"/>
      <c r="F57" s="255"/>
      <c r="H57" s="256"/>
      <c r="I57" s="256"/>
      <c r="J57" s="257"/>
      <c r="K57" s="258"/>
      <c r="L57" s="258"/>
      <c r="M57" s="247"/>
      <c r="N57" s="247"/>
      <c r="O57" s="261"/>
      <c r="P57" s="261"/>
      <c r="Q57" s="258"/>
    </row>
    <row r="58">
      <c r="E58" s="254"/>
      <c r="F58" s="255"/>
      <c r="H58" s="256"/>
      <c r="I58" s="256"/>
      <c r="J58" s="257"/>
      <c r="K58" s="258"/>
      <c r="L58" s="258"/>
      <c r="M58" s="247"/>
      <c r="N58" s="247"/>
      <c r="O58" s="259"/>
      <c r="P58" s="259"/>
      <c r="Q58" s="258"/>
    </row>
    <row r="59">
      <c r="E59" s="254"/>
      <c r="F59" s="255"/>
      <c r="H59" s="256"/>
      <c r="I59" s="256"/>
      <c r="J59" s="257"/>
      <c r="K59" s="258"/>
      <c r="L59" s="258"/>
      <c r="M59" s="247"/>
      <c r="N59" s="247"/>
      <c r="O59" s="261"/>
      <c r="P59" s="261"/>
      <c r="Q59" s="258"/>
    </row>
    <row r="60">
      <c r="F60" s="255"/>
      <c r="H60" s="260"/>
      <c r="I60" s="256"/>
      <c r="J60" s="257"/>
      <c r="K60" s="251"/>
      <c r="L60" s="258"/>
      <c r="M60" s="247"/>
      <c r="N60" s="247"/>
      <c r="O60" s="261"/>
      <c r="P60" s="261"/>
      <c r="Q60" s="258"/>
    </row>
    <row r="61">
      <c r="F61" s="255"/>
      <c r="H61" s="260"/>
      <c r="I61" s="256"/>
      <c r="J61" s="262"/>
      <c r="K61" s="258"/>
      <c r="L61" s="258"/>
      <c r="M61" s="247"/>
      <c r="N61" s="247"/>
      <c r="O61" s="261"/>
      <c r="P61" s="261"/>
      <c r="Q61" s="258"/>
    </row>
    <row r="62">
      <c r="F62" s="255"/>
      <c r="H62" s="256"/>
      <c r="I62" s="256"/>
      <c r="J62" s="262"/>
      <c r="K62" s="258"/>
      <c r="L62" s="258"/>
      <c r="O62" s="261"/>
      <c r="P62" s="261"/>
      <c r="Q62" s="258"/>
    </row>
    <row r="63">
      <c r="I63" s="256"/>
      <c r="J63" s="262"/>
      <c r="L63" s="258"/>
      <c r="P63" s="262"/>
    </row>
    <row r="64">
      <c r="I64" s="256"/>
      <c r="L64" s="258"/>
    </row>
    <row r="65">
      <c r="I65" s="256"/>
      <c r="L65" s="258"/>
    </row>
    <row r="66">
      <c r="I66" s="256"/>
      <c r="L66" s="258"/>
    </row>
    <row r="67">
      <c r="I67" s="256"/>
      <c r="L67" s="258"/>
    </row>
    <row r="68">
      <c r="I68" s="256"/>
      <c r="L68" s="258"/>
    </row>
    <row r="69">
      <c r="I69" s="256"/>
      <c r="L69" s="258"/>
    </row>
    <row r="70">
      <c r="I70" s="256"/>
      <c r="L70" s="258"/>
    </row>
    <row r="71">
      <c r="I71" s="256"/>
      <c r="L71" s="258"/>
    </row>
    <row r="72">
      <c r="I72" s="256"/>
      <c r="L72" s="258"/>
    </row>
    <row r="73">
      <c r="I73" s="256"/>
      <c r="L73" s="258"/>
    </row>
    <row r="74">
      <c r="I74" s="256"/>
      <c r="L74" s="258"/>
    </row>
    <row r="75">
      <c r="I75" s="256"/>
      <c r="L75" s="258"/>
    </row>
    <row r="76">
      <c r="I76" s="256"/>
      <c r="L76" s="258"/>
    </row>
    <row r="77">
      <c r="I77" s="256"/>
      <c r="L77" s="258"/>
    </row>
    <row r="78">
      <c r="I78" s="256"/>
      <c r="L78" s="258"/>
    </row>
    <row r="79">
      <c r="I79" s="256"/>
      <c r="L79" s="258"/>
    </row>
    <row r="80">
      <c r="I80" s="256"/>
      <c r="L80" s="258"/>
    </row>
    <row r="81">
      <c r="I81" s="256"/>
      <c r="L81" s="258"/>
    </row>
    <row r="82">
      <c r="I82" s="256"/>
      <c r="L82" s="258"/>
    </row>
    <row r="83">
      <c r="I83" s="256"/>
      <c r="L83" s="258"/>
    </row>
    <row r="84">
      <c r="I84" s="256"/>
      <c r="L84" s="258"/>
    </row>
    <row r="85">
      <c r="I85" s="256"/>
      <c r="L85" s="258"/>
    </row>
    <row r="86">
      <c r="I86" s="256"/>
      <c r="L86" s="258"/>
    </row>
    <row r="87">
      <c r="I87" s="256"/>
      <c r="L87" s="258"/>
    </row>
    <row r="88">
      <c r="I88" s="256"/>
      <c r="L88" s="258"/>
    </row>
    <row r="89">
      <c r="I89" s="256"/>
      <c r="L89" s="258"/>
    </row>
    <row r="90">
      <c r="I90" s="256"/>
      <c r="L90" s="258"/>
    </row>
    <row r="91">
      <c r="I91" s="256"/>
      <c r="L91" s="258"/>
    </row>
    <row r="92">
      <c r="I92" s="256"/>
      <c r="L92" s="258"/>
    </row>
    <row r="93">
      <c r="I93" s="256"/>
      <c r="L93" s="258"/>
    </row>
    <row r="94">
      <c r="I94" s="256"/>
      <c r="L94" s="258"/>
    </row>
    <row r="95">
      <c r="I95" s="256"/>
      <c r="L95" s="258"/>
    </row>
    <row r="96">
      <c r="I96" s="256"/>
      <c r="L96" s="258"/>
    </row>
    <row r="97">
      <c r="I97" s="256"/>
      <c r="L97" s="258"/>
    </row>
    <row r="98">
      <c r="I98" s="256"/>
      <c r="L98" s="258"/>
    </row>
    <row r="99">
      <c r="I99" s="256"/>
      <c r="L99" s="258"/>
    </row>
  </sheetData>
  <drawing r:id="rId1"/>
</worksheet>
</file>

<file path=xl/worksheets/sheet10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</sheetPr>
  <sheetViews>
    <sheetView workbookViewId="0">
      <selection pane="topLeft" activeCell="A1"/>
    </sheetView>
  </sheetViews>
  <sheetFormatPr baseColWidth="8" defaultColWidth="15.13" defaultRowHeight="15"/>
  <sheetData>
    <row r="1">
      <c r="A1">
        <f>IF(ISBLANK(#REF!),0,1)</f>
        <v>1</v>
      </c>
      <c r="B1">
        <f>IF(ISBLANK(#REF!),0,1)</f>
        <v>1</v>
      </c>
      <c r="C1">
        <f>IF(ISBLANK(#REF!),0,1)</f>
        <v>1</v>
      </c>
      <c r="D1">
        <f>IF(ISBLANK(#REF!),0,1)</f>
        <v>1</v>
      </c>
      <c r="E1">
        <f>IF(ISBLANK(#REF!),0,1)</f>
        <v>1</v>
      </c>
      <c r="F1">
        <f>IF(ISBLANK(#REF!),0,1)</f>
        <v>1</v>
      </c>
      <c r="G1">
        <f>IF(ISBLANK(#REF!),0,1)</f>
        <v>1</v>
      </c>
      <c r="H1">
        <f>IF(ISBLANK(#REF!),0,1)</f>
        <v>1</v>
      </c>
      <c r="I1" s="0">
        <f>sum(A1:G1)</f>
        <v>7</v>
      </c>
    </row>
    <row r="2">
      <c r="A2">
        <f>IF(ISBLANK(#REF!),0,1)</f>
        <v>1</v>
      </c>
      <c r="B2">
        <f>IF(ISBLANK(#REF!),0,1)</f>
        <v>1</v>
      </c>
      <c r="C2">
        <f>IF(ISBLANK(#REF!),0,1)</f>
        <v>1</v>
      </c>
      <c r="D2">
        <f>IF(ISBLANK(#REF!),0,1)</f>
        <v>1</v>
      </c>
      <c r="E2">
        <f>IF(ISBLANK(#REF!),0,1)</f>
        <v>1</v>
      </c>
      <c r="F2">
        <f>IF(ISBLANK(#REF!),0,1)</f>
        <v>1</v>
      </c>
      <c r="G2">
        <f>IF(ISBLANK(#REF!),0,1)</f>
        <v>1</v>
      </c>
      <c r="H2">
        <f>IF(ISBLANK(#REF!),0,1)</f>
        <v>1</v>
      </c>
      <c r="I2" s="0">
        <f>SUM(A2:G2)</f>
        <v>7</v>
      </c>
    </row>
    <row r="3">
      <c r="A3">
        <f>IF(ISBLANK(#REF!),0,1)</f>
        <v>1</v>
      </c>
      <c r="B3">
        <f>IF(ISBLANK(#REF!),0,1)</f>
        <v>1</v>
      </c>
      <c r="C3">
        <f>IF(ISBLANK(#REF!),0,1)</f>
        <v>1</v>
      </c>
      <c r="D3">
        <f>IF(ISBLANK(#REF!),0,1)</f>
        <v>1</v>
      </c>
      <c r="E3">
        <f>IF(ISBLANK(#REF!),0,1)</f>
        <v>1</v>
      </c>
      <c r="F3">
        <f>IF(ISBLANK(#REF!),0,1)</f>
        <v>1</v>
      </c>
      <c r="G3">
        <f>IF(ISBLANK(#REF!),0,1)</f>
        <v>1</v>
      </c>
      <c r="H3">
        <f>IF(ISBLANK(#REF!),0,1)</f>
        <v>1</v>
      </c>
      <c r="I3" s="0">
        <f>SUM(A3:G3)</f>
        <v>7</v>
      </c>
    </row>
    <row r="4">
      <c r="A4">
        <f>IF(ISBLANK(#REF!),0,1)</f>
        <v>1</v>
      </c>
      <c r="B4">
        <f>IF(ISBLANK(#REF!),0,1)</f>
        <v>1</v>
      </c>
      <c r="C4">
        <f>IF(ISBLANK(#REF!),0,1)</f>
        <v>1</v>
      </c>
      <c r="D4">
        <f>IF(ISBLANK(#REF!),0,1)</f>
        <v>1</v>
      </c>
      <c r="E4">
        <f>IF(ISBLANK(#REF!),0,1)</f>
        <v>1</v>
      </c>
      <c r="F4">
        <f>IF(ISBLANK(#REF!),0,1)</f>
        <v>1</v>
      </c>
      <c r="G4">
        <f>IF(ISBLANK(#REF!),0,1)</f>
        <v>1</v>
      </c>
      <c r="H4">
        <f>IF(ISBLANK(#REF!),0,1)</f>
        <v>1</v>
      </c>
      <c r="I4" s="0">
        <f>SUM(A4:G4)</f>
        <v>7</v>
      </c>
    </row>
    <row r="5">
      <c r="A5">
        <f>IF(ISBLANK(#REF!),0,1)</f>
        <v>1</v>
      </c>
      <c r="B5">
        <f>IF(ISBLANK(#REF!),0,1)</f>
        <v>1</v>
      </c>
      <c r="C5">
        <f>IF(ISBLANK(#REF!),0,1)</f>
        <v>1</v>
      </c>
      <c r="D5">
        <f>IF(ISBLANK(#REF!),0,1)</f>
        <v>1</v>
      </c>
      <c r="E5">
        <f>IF(ISBLANK(#REF!),0,1)</f>
        <v>1</v>
      </c>
      <c r="F5">
        <f>IF(ISBLANK(#REF!),0,1)</f>
        <v>1</v>
      </c>
      <c r="G5">
        <f>IF(ISBLANK(#REF!),0,1)</f>
        <v>1</v>
      </c>
      <c r="H5">
        <f>IF(ISBLANK(#REF!),0,1)</f>
        <v>1</v>
      </c>
      <c r="I5" s="0">
        <f>SUM(A5:G5)</f>
        <v>7</v>
      </c>
    </row>
    <row r="6">
      <c r="A6">
        <f>IF(ISBLANK(#REF!),0,1)</f>
        <v>1</v>
      </c>
      <c r="B6">
        <f>IF(ISBLANK(#REF!),0,1)</f>
        <v>1</v>
      </c>
      <c r="C6">
        <f>IF(ISBLANK(#REF!),0,1)</f>
        <v>1</v>
      </c>
      <c r="D6">
        <f>IF(ISBLANK(#REF!),0,1)</f>
        <v>1</v>
      </c>
      <c r="E6">
        <f>IF(ISBLANK(#REF!),0,1)</f>
        <v>1</v>
      </c>
      <c r="F6">
        <f>IF(ISBLANK(#REF!),0,1)</f>
        <v>1</v>
      </c>
      <c r="G6">
        <f>IF(ISBLANK(#REF!),0,1)</f>
        <v>1</v>
      </c>
      <c r="H6">
        <f>IF(ISBLANK(#REF!),0,1)</f>
        <v>1</v>
      </c>
      <c r="I6" s="0">
        <f>SUM(A6:G6)</f>
        <v>7</v>
      </c>
    </row>
    <row r="7">
      <c r="A7">
        <f>IF(ISBLANK(#REF!),0,1)</f>
        <v>1</v>
      </c>
      <c r="B7">
        <f>IF(ISBLANK(#REF!),0,1)</f>
        <v>1</v>
      </c>
      <c r="C7">
        <f>IF(ISBLANK(#REF!),0,1)</f>
        <v>1</v>
      </c>
      <c r="D7">
        <f>IF(ISBLANK(#REF!),0,1)</f>
        <v>1</v>
      </c>
      <c r="E7">
        <f>IF(ISBLANK(#REF!),0,1)</f>
        <v>1</v>
      </c>
      <c r="F7">
        <f>IF(ISBLANK(#REF!),0,1)</f>
        <v>1</v>
      </c>
      <c r="G7">
        <f>IF(ISBLANK(#REF!),0,1)</f>
        <v>1</v>
      </c>
      <c r="H7">
        <f>IF(ISBLANK(#REF!),0,1)</f>
        <v>1</v>
      </c>
      <c r="I7" s="0">
        <f>SUM(A7:G7)</f>
        <v>7</v>
      </c>
    </row>
    <row r="8">
      <c r="A8">
        <f>IF(ISBLANK(#REF!),0,1)</f>
        <v>1</v>
      </c>
      <c r="B8">
        <f>IF(ISBLANK(#REF!),0,1)</f>
        <v>1</v>
      </c>
      <c r="C8">
        <f>IF(ISBLANK(#REF!),0,1)</f>
        <v>1</v>
      </c>
      <c r="D8">
        <f>IF(ISBLANK(#REF!),0,1)</f>
        <v>1</v>
      </c>
      <c r="E8">
        <f>IF(ISBLANK(#REF!),0,1)</f>
        <v>1</v>
      </c>
      <c r="F8">
        <f>IF(ISBLANK(#REF!),0,1)</f>
        <v>1</v>
      </c>
      <c r="G8">
        <f>IF(ISBLANK(#REF!),0,1)</f>
        <v>1</v>
      </c>
      <c r="H8">
        <f>IF(ISBLANK(#REF!),0,1)</f>
        <v>1</v>
      </c>
      <c r="I8" s="0">
        <f>SUM(A8:G8)</f>
        <v>7</v>
      </c>
    </row>
    <row r="9">
      <c r="A9">
        <f>IF(ISBLANK(#REF!),0,1)</f>
        <v>1</v>
      </c>
      <c r="B9">
        <f>IF(ISBLANK(#REF!),0,1)</f>
        <v>1</v>
      </c>
      <c r="C9">
        <f>IF(ISBLANK(#REF!),0,1)</f>
        <v>1</v>
      </c>
      <c r="D9">
        <f>IF(ISBLANK(#REF!),0,1)</f>
        <v>1</v>
      </c>
      <c r="E9">
        <f>IF(ISBLANK(#REF!),0,1)</f>
        <v>1</v>
      </c>
      <c r="F9">
        <f>IF(ISBLANK(#REF!),0,1)</f>
        <v>1</v>
      </c>
      <c r="G9">
        <f>IF(ISBLANK(#REF!),0,1)</f>
        <v>1</v>
      </c>
      <c r="H9">
        <f>IF(ISBLANK(#REF!),0,1)</f>
        <v>1</v>
      </c>
      <c r="I9" s="0">
        <f>SUM(A9:G9)</f>
        <v>7</v>
      </c>
    </row>
    <row r="10">
      <c r="A10">
        <f>IF(ISBLANK(#REF!),0,1)</f>
        <v>1</v>
      </c>
      <c r="B10">
        <f>IF(ISBLANK(#REF!),0,1)</f>
        <v>1</v>
      </c>
      <c r="C10">
        <f>IF(ISBLANK(#REF!),0,1)</f>
        <v>1</v>
      </c>
      <c r="D10">
        <f>IF(ISBLANK(#REF!),0,1)</f>
        <v>1</v>
      </c>
      <c r="E10">
        <f>IF(ISBLANK(#REF!),0,1)</f>
        <v>1</v>
      </c>
      <c r="F10">
        <f>IF(ISBLANK(#REF!),0,1)</f>
        <v>1</v>
      </c>
      <c r="G10">
        <f>IF(ISBLANK(#REF!),0,1)</f>
        <v>1</v>
      </c>
      <c r="H10">
        <f>IF(ISBLANK(#REF!),0,1)</f>
        <v>1</v>
      </c>
      <c r="I10" s="0">
        <f>SUM(A10:G10)</f>
        <v>7</v>
      </c>
    </row>
    <row r="11">
      <c r="A11">
        <f>IF(ISBLANK(#REF!),0,1)</f>
        <v>1</v>
      </c>
      <c r="B11">
        <f>IF(ISBLANK(#REF!),0,1)</f>
        <v>1</v>
      </c>
      <c r="C11">
        <f>IF(ISBLANK(#REF!),0,1)</f>
        <v>1</v>
      </c>
      <c r="D11">
        <f>IF(ISBLANK(#REF!),0,1)</f>
        <v>1</v>
      </c>
      <c r="E11">
        <f>IF(ISBLANK(#REF!),0,1)</f>
        <v>1</v>
      </c>
      <c r="F11">
        <f>IF(ISBLANK(#REF!),0,1)</f>
        <v>1</v>
      </c>
      <c r="G11">
        <f>IF(ISBLANK(#REF!),0,1)</f>
        <v>1</v>
      </c>
      <c r="H11">
        <f>IF(ISBLANK(#REF!),0,1)</f>
        <v>1</v>
      </c>
      <c r="I11" s="0">
        <f>SUM(A11:G11)</f>
        <v>7</v>
      </c>
    </row>
    <row r="12">
      <c r="A12">
        <f>IF(ISBLANK(#REF!),0,1)</f>
        <v>1</v>
      </c>
      <c r="B12">
        <f>IF(ISBLANK(#REF!),0,1)</f>
        <v>1</v>
      </c>
      <c r="C12">
        <f>IF(ISBLANK(#REF!),0,1)</f>
        <v>1</v>
      </c>
      <c r="D12">
        <f>IF(ISBLANK(#REF!),0,1)</f>
        <v>1</v>
      </c>
      <c r="E12">
        <f>IF(ISBLANK(#REF!),0,1)</f>
        <v>1</v>
      </c>
      <c r="F12">
        <f>IF(ISBLANK(#REF!),0,1)</f>
        <v>1</v>
      </c>
      <c r="G12">
        <f>IF(ISBLANK(#REF!),0,1)</f>
        <v>1</v>
      </c>
      <c r="H12">
        <f>IF(ISBLANK(#REF!),0,1)</f>
        <v>1</v>
      </c>
      <c r="I12" s="0">
        <f>SUM(A12:G12)</f>
        <v>7</v>
      </c>
    </row>
    <row r="13">
      <c r="A13">
        <f>IF(ISBLANK(#REF!),0,1)</f>
        <v>1</v>
      </c>
      <c r="B13">
        <f>IF(ISBLANK(#REF!),0,1)</f>
        <v>1</v>
      </c>
      <c r="C13">
        <f>IF(ISBLANK(#REF!),0,1)</f>
        <v>1</v>
      </c>
      <c r="D13">
        <f>IF(ISBLANK(#REF!),0,1)</f>
        <v>1</v>
      </c>
      <c r="E13">
        <f>IF(ISBLANK(#REF!),0,1)</f>
        <v>1</v>
      </c>
      <c r="F13">
        <f>IF(ISBLANK(#REF!),0,1)</f>
        <v>1</v>
      </c>
      <c r="G13">
        <f>IF(ISBLANK(#REF!),0,1)</f>
        <v>1</v>
      </c>
      <c r="H13">
        <f>IF(ISBLANK(#REF!),0,1)</f>
        <v>1</v>
      </c>
      <c r="I13" s="0">
        <f>SUM(A13:G13)</f>
        <v>7</v>
      </c>
    </row>
    <row r="14">
      <c r="A14">
        <f>IF(ISBLANK(#REF!),0,1)</f>
        <v>1</v>
      </c>
      <c r="B14">
        <f>IF(ISBLANK(#REF!),0,1)</f>
        <v>1</v>
      </c>
      <c r="C14">
        <f>IF(ISBLANK(#REF!),0,1)</f>
        <v>1</v>
      </c>
      <c r="D14">
        <f>IF(ISBLANK(#REF!),0,1)</f>
        <v>1</v>
      </c>
      <c r="E14">
        <f>IF(ISBLANK(#REF!),0,1)</f>
        <v>1</v>
      </c>
      <c r="F14">
        <f>IF(ISBLANK(#REF!),0,1)</f>
        <v>1</v>
      </c>
      <c r="G14">
        <f>IF(ISBLANK(#REF!),0,1)</f>
        <v>1</v>
      </c>
      <c r="H14">
        <f>IF(ISBLANK(#REF!),0,1)</f>
        <v>1</v>
      </c>
      <c r="I14" s="0">
        <f>SUM(A14:G14)</f>
        <v>7</v>
      </c>
    </row>
    <row r="15">
      <c r="A15">
        <f>IF(ISBLANK(#REF!),0,1)</f>
        <v>1</v>
      </c>
      <c r="B15">
        <f>IF(ISBLANK(#REF!),0,1)</f>
        <v>1</v>
      </c>
      <c r="C15">
        <f>IF(ISBLANK(#REF!),0,1)</f>
        <v>1</v>
      </c>
      <c r="D15">
        <f>IF(ISBLANK(#REF!),0,1)</f>
        <v>1</v>
      </c>
      <c r="E15">
        <f>IF(ISBLANK(#REF!),0,1)</f>
        <v>1</v>
      </c>
      <c r="F15">
        <f>IF(ISBLANK(#REF!),0,1)</f>
        <v>1</v>
      </c>
      <c r="G15">
        <f>IF(ISBLANK(#REF!),0,1)</f>
        <v>1</v>
      </c>
      <c r="H15">
        <f>IF(ISBLANK(#REF!),0,1)</f>
        <v>1</v>
      </c>
      <c r="I15" s="0">
        <f>SUM(A15:G15)</f>
        <v>7</v>
      </c>
    </row>
    <row r="16">
      <c r="A16">
        <f>IF(ISBLANK(#REF!),0,1)</f>
        <v>1</v>
      </c>
      <c r="B16">
        <f>IF(ISBLANK(#REF!),0,1)</f>
        <v>1</v>
      </c>
      <c r="C16">
        <f>IF(ISBLANK(#REF!),0,1)</f>
        <v>1</v>
      </c>
      <c r="D16">
        <f>IF(ISBLANK(#REF!),0,1)</f>
        <v>1</v>
      </c>
      <c r="E16">
        <f>IF(ISBLANK(#REF!),0,1)</f>
        <v>1</v>
      </c>
      <c r="F16">
        <f>IF(ISBLANK(#REF!),0,1)</f>
        <v>1</v>
      </c>
      <c r="G16">
        <f>IF(ISBLANK(#REF!),0,1)</f>
        <v>1</v>
      </c>
      <c r="H16">
        <f>IF(ISBLANK(#REF!),0,1)</f>
        <v>1</v>
      </c>
      <c r="I16" s="0">
        <f>SUM(A16:G16)</f>
        <v>7</v>
      </c>
    </row>
    <row r="17">
      <c r="A17">
        <f>IF(ISBLANK(#REF!),0,1)</f>
        <v>1</v>
      </c>
      <c r="B17">
        <f>IF(ISBLANK(#REF!),0,1)</f>
        <v>1</v>
      </c>
      <c r="C17">
        <f>IF(ISBLANK(#REF!),0,1)</f>
        <v>1</v>
      </c>
      <c r="D17">
        <f>IF(ISBLANK(#REF!),0,1)</f>
        <v>1</v>
      </c>
      <c r="E17">
        <f>IF(ISBLANK(#REF!),0,1)</f>
        <v>1</v>
      </c>
      <c r="F17">
        <f>IF(ISBLANK(#REF!),0,1)</f>
        <v>1</v>
      </c>
      <c r="G17">
        <f>IF(ISBLANK(#REF!),0,1)</f>
        <v>1</v>
      </c>
      <c r="H17">
        <f>IF(ISBLANK(#REF!),0,1)</f>
        <v>1</v>
      </c>
      <c r="I17" s="0">
        <f>SUM(A17:G17)</f>
        <v>7</v>
      </c>
    </row>
    <row r="18">
      <c r="A18">
        <f>IF(ISBLANK(#REF!),0,1)</f>
        <v>1</v>
      </c>
      <c r="B18">
        <f>IF(ISBLANK(#REF!),0,1)</f>
        <v>1</v>
      </c>
      <c r="C18">
        <f>IF(ISBLANK(#REF!),0,1)</f>
        <v>1</v>
      </c>
      <c r="D18">
        <f>IF(ISBLANK(#REF!),0,1)</f>
        <v>1</v>
      </c>
      <c r="E18">
        <f>IF(ISBLANK(#REF!),0,1)</f>
        <v>1</v>
      </c>
      <c r="F18">
        <f>IF(ISBLANK(#REF!),0,1)</f>
        <v>1</v>
      </c>
      <c r="G18">
        <f>IF(ISBLANK(#REF!),0,1)</f>
        <v>1</v>
      </c>
      <c r="H18">
        <f>IF(ISBLANK(#REF!),0,1)</f>
        <v>1</v>
      </c>
      <c r="I18" s="0">
        <f>SUM(A18:G18)</f>
        <v>7</v>
      </c>
    </row>
    <row r="19">
      <c r="A19">
        <f>IF(ISBLANK(#REF!),0,1)</f>
        <v>1</v>
      </c>
      <c r="B19">
        <f>IF(ISBLANK(#REF!),0,1)</f>
        <v>1</v>
      </c>
      <c r="C19">
        <f>IF(ISBLANK(#REF!),0,1)</f>
        <v>1</v>
      </c>
      <c r="D19">
        <f>IF(ISBLANK(#REF!),0,1)</f>
        <v>1</v>
      </c>
      <c r="E19">
        <f>IF(ISBLANK(#REF!),0,1)</f>
        <v>1</v>
      </c>
      <c r="F19">
        <f>IF(ISBLANK(#REF!),0,1)</f>
        <v>1</v>
      </c>
      <c r="G19">
        <f>IF(ISBLANK(#REF!),0,1)</f>
        <v>1</v>
      </c>
      <c r="H19">
        <f>IF(ISBLANK(#REF!),0,1)</f>
        <v>1</v>
      </c>
      <c r="I19" s="0">
        <f>SUM(A19:G19)</f>
        <v>7</v>
      </c>
    </row>
    <row r="20">
      <c r="A20">
        <f>IF(ISBLANK(#REF!),0,1)</f>
        <v>1</v>
      </c>
      <c r="B20">
        <f>IF(ISBLANK(#REF!),0,1)</f>
        <v>1</v>
      </c>
      <c r="C20">
        <f>IF(ISBLANK(#REF!),0,1)</f>
        <v>1</v>
      </c>
      <c r="D20">
        <f>IF(ISBLANK(#REF!),0,1)</f>
        <v>1</v>
      </c>
      <c r="E20">
        <f>IF(ISBLANK(#REF!),0,1)</f>
        <v>1</v>
      </c>
      <c r="F20">
        <f>IF(ISBLANK(#REF!),0,1)</f>
        <v>1</v>
      </c>
      <c r="G20">
        <f>IF(ISBLANK(#REF!),0,1)</f>
        <v>1</v>
      </c>
      <c r="H20">
        <f>IF(ISBLANK(#REF!),0,1)</f>
        <v>1</v>
      </c>
      <c r="I20" s="0">
        <f>SUM(A20:G20)</f>
        <v>7</v>
      </c>
    </row>
    <row r="21">
      <c r="A21">
        <f>IF(ISBLANK(#REF!),0,1)</f>
        <v>1</v>
      </c>
      <c r="B21">
        <f>IF(ISBLANK(#REF!),0,1)</f>
        <v>1</v>
      </c>
      <c r="C21">
        <f>IF(ISBLANK(#REF!),0,1)</f>
        <v>1</v>
      </c>
      <c r="D21">
        <f>IF(ISBLANK(#REF!),0,1)</f>
        <v>1</v>
      </c>
      <c r="E21">
        <f>IF(ISBLANK(#REF!),0,1)</f>
        <v>1</v>
      </c>
      <c r="F21">
        <f>IF(ISBLANK(#REF!),0,1)</f>
        <v>1</v>
      </c>
      <c r="G21">
        <f>IF(ISBLANK(#REF!),0,1)</f>
        <v>1</v>
      </c>
      <c r="H21">
        <f>IF(ISBLANK(#REF!),0,1)</f>
        <v>1</v>
      </c>
      <c r="I21" s="0">
        <f>SUM(A21:G21)</f>
        <v>7</v>
      </c>
    </row>
    <row r="22">
      <c r="A22">
        <f>IF(ISBLANK(#REF!),0,1)</f>
        <v>1</v>
      </c>
      <c r="B22">
        <f>IF(ISBLANK(#REF!),0,1)</f>
        <v>1</v>
      </c>
      <c r="C22">
        <f>IF(ISBLANK(#REF!),0,1)</f>
        <v>1</v>
      </c>
      <c r="D22">
        <f>IF(ISBLANK(#REF!),0,1)</f>
        <v>1</v>
      </c>
      <c r="E22">
        <f>IF(ISBLANK(#REF!),0,1)</f>
        <v>1</v>
      </c>
      <c r="F22">
        <f>IF(ISBLANK(#REF!),0,1)</f>
        <v>1</v>
      </c>
      <c r="G22">
        <f>IF(ISBLANK(#REF!),0,1)</f>
        <v>1</v>
      </c>
      <c r="H22">
        <f>IF(ISBLANK(#REF!),0,1)</f>
        <v>1</v>
      </c>
      <c r="I22" s="0">
        <f>SUM(A22:G22)</f>
        <v>7</v>
      </c>
    </row>
    <row r="23">
      <c r="A23">
        <f>IF(ISBLANK(#REF!),0,1)</f>
        <v>1</v>
      </c>
      <c r="B23">
        <f>IF(ISBLANK(#REF!),0,1)</f>
        <v>1</v>
      </c>
      <c r="C23">
        <f>IF(ISBLANK(#REF!),0,1)</f>
        <v>1</v>
      </c>
      <c r="D23">
        <f>IF(ISBLANK(#REF!),0,1)</f>
        <v>1</v>
      </c>
      <c r="E23">
        <f>IF(ISBLANK(#REF!),0,1)</f>
        <v>1</v>
      </c>
      <c r="F23">
        <f>IF(ISBLANK(#REF!),0,1)</f>
        <v>1</v>
      </c>
      <c r="G23">
        <f>IF(ISBLANK(#REF!),0,1)</f>
        <v>1</v>
      </c>
      <c r="H23">
        <f>IF(ISBLANK(#REF!),0,1)</f>
        <v>1</v>
      </c>
      <c r="I23" s="0">
        <f>SUM(A23:G23)</f>
        <v>7</v>
      </c>
    </row>
    <row r="24">
      <c r="A24">
        <f>IF(ISBLANK(#REF!),0,1)</f>
        <v>1</v>
      </c>
      <c r="B24">
        <f>IF(ISBLANK(#REF!),0,1)</f>
        <v>1</v>
      </c>
      <c r="C24">
        <f>IF(ISBLANK(#REF!),0,1)</f>
        <v>1</v>
      </c>
      <c r="D24">
        <f>IF(ISBLANK(#REF!),0,1)</f>
        <v>1</v>
      </c>
      <c r="E24">
        <f>IF(ISBLANK(#REF!),0,1)</f>
        <v>1</v>
      </c>
      <c r="F24">
        <f>IF(ISBLANK(#REF!),0,1)</f>
        <v>1</v>
      </c>
      <c r="G24">
        <f>IF(ISBLANK(#REF!),0,1)</f>
        <v>1</v>
      </c>
      <c r="H24">
        <f>IF(ISBLANK(#REF!),0,1)</f>
        <v>1</v>
      </c>
      <c r="I24" s="0">
        <f>SUM(A24:G24)</f>
        <v>7</v>
      </c>
    </row>
    <row r="25">
      <c r="A25">
        <f>IF(ISBLANK(#REF!),0,1)</f>
        <v>1</v>
      </c>
      <c r="B25">
        <f>IF(ISBLANK(#REF!),0,1)</f>
        <v>1</v>
      </c>
      <c r="C25">
        <f>IF(ISBLANK(#REF!),0,1)</f>
        <v>1</v>
      </c>
      <c r="D25">
        <f>IF(ISBLANK(#REF!),0,1)</f>
        <v>1</v>
      </c>
      <c r="E25">
        <f>IF(ISBLANK(#REF!),0,1)</f>
        <v>1</v>
      </c>
      <c r="F25">
        <f>IF(ISBLANK(#REF!),0,1)</f>
        <v>1</v>
      </c>
      <c r="G25">
        <f>IF(ISBLANK(#REF!),0,1)</f>
        <v>1</v>
      </c>
      <c r="H25">
        <f>IF(ISBLANK(#REF!),0,1)</f>
        <v>1</v>
      </c>
      <c r="I25" s="0">
        <f>SUM(A25:G25)</f>
        <v>7</v>
      </c>
    </row>
    <row r="26">
      <c r="A26">
        <f>IF(ISBLANK(#REF!),0,1)</f>
        <v>1</v>
      </c>
      <c r="B26">
        <f>IF(ISBLANK(#REF!),0,1)</f>
        <v>1</v>
      </c>
      <c r="C26">
        <f>IF(ISBLANK(#REF!),0,1)</f>
        <v>1</v>
      </c>
      <c r="D26">
        <f>IF(ISBLANK(#REF!),0,1)</f>
        <v>1</v>
      </c>
      <c r="E26">
        <f>IF(ISBLANK(#REF!),0,1)</f>
        <v>1</v>
      </c>
      <c r="F26">
        <f>IF(ISBLANK(#REF!),0,1)</f>
        <v>1</v>
      </c>
      <c r="G26">
        <f>IF(ISBLANK(#REF!),0,1)</f>
        <v>1</v>
      </c>
      <c r="H26">
        <f>IF(ISBLANK(#REF!),0,1)</f>
        <v>1</v>
      </c>
      <c r="I26" s="0">
        <f>SUM(A26:G26)</f>
        <v>7</v>
      </c>
    </row>
    <row r="27">
      <c r="A27">
        <f>IF(ISBLANK(#REF!),0,1)</f>
        <v>1</v>
      </c>
      <c r="B27">
        <f>IF(ISBLANK(#REF!),0,1)</f>
        <v>1</v>
      </c>
      <c r="C27">
        <f>IF(ISBLANK(#REF!),0,1)</f>
        <v>1</v>
      </c>
      <c r="D27">
        <f>IF(ISBLANK(#REF!),0,1)</f>
        <v>1</v>
      </c>
      <c r="E27">
        <f>IF(ISBLANK(#REF!),0,1)</f>
        <v>1</v>
      </c>
      <c r="F27">
        <f>IF(ISBLANK(#REF!),0,1)</f>
        <v>1</v>
      </c>
      <c r="G27">
        <f>IF(ISBLANK(#REF!),0,1)</f>
        <v>1</v>
      </c>
      <c r="H27">
        <f>IF(ISBLANK(#REF!),0,1)</f>
        <v>1</v>
      </c>
      <c r="I27" s="0">
        <f>SUM(A27:G27)</f>
        <v>7</v>
      </c>
    </row>
    <row r="28">
      <c r="A28">
        <f>IF(ISBLANK(#REF!),0,1)</f>
        <v>1</v>
      </c>
      <c r="B28">
        <f>IF(ISBLANK(#REF!),0,1)</f>
        <v>1</v>
      </c>
      <c r="C28">
        <f>IF(ISBLANK(#REF!),0,1)</f>
        <v>1</v>
      </c>
      <c r="D28">
        <f>IF(ISBLANK(#REF!),0,1)</f>
        <v>1</v>
      </c>
      <c r="E28">
        <f>IF(ISBLANK(#REF!),0,1)</f>
        <v>1</v>
      </c>
      <c r="F28">
        <f>IF(ISBLANK(#REF!),0,1)</f>
        <v>1</v>
      </c>
      <c r="G28">
        <f>IF(ISBLANK(#REF!),0,1)</f>
        <v>1</v>
      </c>
      <c r="H28">
        <f>IF(ISBLANK(#REF!),0,1)</f>
        <v>1</v>
      </c>
      <c r="I28" s="0">
        <f>SUM(A28:G28)</f>
        <v>7</v>
      </c>
    </row>
    <row r="29">
      <c r="A29">
        <f>IF(ISBLANK(#REF!),0,1)</f>
        <v>1</v>
      </c>
      <c r="B29">
        <f>IF(ISBLANK(#REF!),0,1)</f>
        <v>1</v>
      </c>
      <c r="C29">
        <f>IF(ISBLANK(#REF!),0,1)</f>
        <v>1</v>
      </c>
      <c r="D29">
        <f>IF(ISBLANK(#REF!),0,1)</f>
        <v>1</v>
      </c>
      <c r="E29">
        <f>IF(ISBLANK(#REF!),0,1)</f>
        <v>1</v>
      </c>
      <c r="F29">
        <f>IF(ISBLANK(#REF!),0,1)</f>
        <v>1</v>
      </c>
      <c r="G29">
        <f>IF(ISBLANK(#REF!),0,1)</f>
        <v>1</v>
      </c>
      <c r="H29">
        <f>IF(ISBLANK(#REF!),0,1)</f>
        <v>1</v>
      </c>
      <c r="I29" s="0">
        <f>SUM(A29:G29)</f>
        <v>7</v>
      </c>
    </row>
    <row r="30">
      <c r="A30">
        <f>IF(ISBLANK(#REF!),0,1)</f>
        <v>1</v>
      </c>
      <c r="B30">
        <f>IF(ISBLANK(#REF!),0,1)</f>
        <v>1</v>
      </c>
      <c r="C30">
        <f>IF(ISBLANK(#REF!),0,1)</f>
        <v>1</v>
      </c>
      <c r="D30">
        <f>IF(ISBLANK(#REF!),0,1)</f>
        <v>1</v>
      </c>
      <c r="E30">
        <f>IF(ISBLANK(#REF!),0,1)</f>
        <v>1</v>
      </c>
      <c r="F30">
        <f>IF(ISBLANK(#REF!),0,1)</f>
        <v>1</v>
      </c>
      <c r="G30">
        <f>IF(ISBLANK(#REF!),0,1)</f>
        <v>1</v>
      </c>
      <c r="H30">
        <f>IF(ISBLANK(#REF!),0,1)</f>
        <v>1</v>
      </c>
      <c r="I30" s="0">
        <f>SUM(A30:G30)</f>
        <v>7</v>
      </c>
    </row>
    <row r="31">
      <c r="A31">
        <f>IF(ISBLANK(#REF!),0,1)</f>
        <v>1</v>
      </c>
      <c r="B31">
        <f>IF(ISBLANK(#REF!),0,1)</f>
        <v>1</v>
      </c>
      <c r="C31">
        <f>IF(ISBLANK(#REF!),0,1)</f>
        <v>1</v>
      </c>
      <c r="D31">
        <f>IF(ISBLANK(#REF!),0,1)</f>
        <v>1</v>
      </c>
      <c r="E31">
        <f>IF(ISBLANK(#REF!),0,1)</f>
        <v>1</v>
      </c>
      <c r="F31">
        <f>IF(ISBLANK(#REF!),0,1)</f>
        <v>1</v>
      </c>
      <c r="G31">
        <f>IF(ISBLANK(#REF!),0,1)</f>
        <v>1</v>
      </c>
      <c r="H31">
        <f>IF(ISBLANK(#REF!),0,1)</f>
        <v>1</v>
      </c>
      <c r="I31" s="0">
        <f>SUM(A31:G31)</f>
        <v>7</v>
      </c>
    </row>
    <row r="32">
      <c r="A32">
        <f>IF(ISBLANK(#REF!),0,1)</f>
        <v>1</v>
      </c>
      <c r="B32">
        <f>IF(ISBLANK(#REF!),0,1)</f>
        <v>1</v>
      </c>
      <c r="C32">
        <f>IF(ISBLANK(#REF!),0,1)</f>
        <v>1</v>
      </c>
      <c r="D32">
        <f>IF(ISBLANK(#REF!),0,1)</f>
        <v>1</v>
      </c>
      <c r="E32">
        <f>IF(ISBLANK(#REF!),0,1)</f>
        <v>1</v>
      </c>
      <c r="F32">
        <f>IF(ISBLANK(#REF!),0,1)</f>
        <v>1</v>
      </c>
      <c r="G32">
        <f>IF(ISBLANK(#REF!),0,1)</f>
        <v>1</v>
      </c>
      <c r="H32">
        <f>IF(ISBLANK(#REF!),0,1)</f>
        <v>1</v>
      </c>
      <c r="I32" s="0">
        <f>SUM(A32:G32)</f>
        <v>7</v>
      </c>
    </row>
    <row r="33">
      <c r="A33">
        <f>IF(ISBLANK(#REF!),0,1)</f>
        <v>1</v>
      </c>
      <c r="B33">
        <f>IF(ISBLANK(#REF!),0,1)</f>
        <v>1</v>
      </c>
      <c r="C33">
        <f>IF(ISBLANK(#REF!),0,1)</f>
        <v>1</v>
      </c>
      <c r="D33">
        <f>IF(ISBLANK(#REF!),0,1)</f>
        <v>1</v>
      </c>
      <c r="E33">
        <f>IF(ISBLANK(#REF!),0,1)</f>
        <v>1</v>
      </c>
      <c r="F33">
        <f>IF(ISBLANK(#REF!),0,1)</f>
        <v>1</v>
      </c>
      <c r="G33">
        <f>IF(ISBLANK(#REF!),0,1)</f>
        <v>1</v>
      </c>
      <c r="H33">
        <f>IF(ISBLANK(#REF!),0,1)</f>
        <v>1</v>
      </c>
      <c r="I33" s="0">
        <f>SUM(A33:G33)</f>
        <v>7</v>
      </c>
    </row>
    <row r="34">
      <c r="A34">
        <f>IF(ISBLANK(#REF!),0,1)</f>
        <v>1</v>
      </c>
      <c r="B34">
        <f>IF(ISBLANK(#REF!),0,1)</f>
        <v>1</v>
      </c>
      <c r="C34">
        <f>IF(ISBLANK(#REF!),0,1)</f>
        <v>1</v>
      </c>
      <c r="D34">
        <f>IF(ISBLANK(#REF!),0,1)</f>
        <v>1</v>
      </c>
      <c r="E34">
        <f>IF(ISBLANK(#REF!),0,1)</f>
        <v>1</v>
      </c>
      <c r="F34">
        <f>IF(ISBLANK(#REF!),0,1)</f>
        <v>1</v>
      </c>
      <c r="G34">
        <f>IF(ISBLANK(#REF!),0,1)</f>
        <v>1</v>
      </c>
      <c r="H34">
        <f>IF(ISBLANK(#REF!),0,1)</f>
        <v>1</v>
      </c>
      <c r="I34" s="0">
        <f>SUM(A34:G34)</f>
        <v>7</v>
      </c>
    </row>
    <row r="35">
      <c r="A35">
        <f>IF(ISBLANK(#REF!),0,1)</f>
        <v>1</v>
      </c>
      <c r="B35">
        <f>IF(ISBLANK(#REF!),0,1)</f>
        <v>1</v>
      </c>
      <c r="C35">
        <f>IF(ISBLANK(#REF!),0,1)</f>
        <v>1</v>
      </c>
      <c r="D35">
        <f>IF(ISBLANK(#REF!),0,1)</f>
        <v>1</v>
      </c>
      <c r="E35">
        <f>IF(ISBLANK(#REF!),0,1)</f>
        <v>1</v>
      </c>
      <c r="F35">
        <f>IF(ISBLANK(#REF!),0,1)</f>
        <v>1</v>
      </c>
      <c r="G35">
        <f>IF(ISBLANK(#REF!),0,1)</f>
        <v>1</v>
      </c>
      <c r="H35">
        <f>IF(ISBLANK(#REF!),0,1)</f>
        <v>1</v>
      </c>
      <c r="I35" s="0">
        <f>SUM(A35:G35)</f>
        <v>7</v>
      </c>
    </row>
    <row r="36">
      <c r="A36">
        <f>IF(ISBLANK(#REF!),0,1)</f>
        <v>1</v>
      </c>
      <c r="B36">
        <f>IF(ISBLANK(#REF!),0,1)</f>
        <v>1</v>
      </c>
      <c r="C36">
        <f>IF(ISBLANK(#REF!),0,1)</f>
        <v>1</v>
      </c>
      <c r="D36">
        <f>IF(ISBLANK(#REF!),0,1)</f>
        <v>1</v>
      </c>
      <c r="E36">
        <f>IF(ISBLANK(#REF!),0,1)</f>
        <v>1</v>
      </c>
      <c r="F36">
        <f>IF(ISBLANK(#REF!),0,1)</f>
        <v>1</v>
      </c>
      <c r="G36">
        <f>IF(ISBLANK(#REF!),0,1)</f>
        <v>1</v>
      </c>
      <c r="H36">
        <f>IF(ISBLANK(#REF!),0,1)</f>
        <v>1</v>
      </c>
      <c r="I36" s="0">
        <f>SUM(A36:G36)</f>
        <v>7</v>
      </c>
    </row>
    <row r="37">
      <c r="A37">
        <f>IF(ISBLANK(#REF!),0,1)</f>
        <v>1</v>
      </c>
      <c r="B37">
        <f>IF(ISBLANK(#REF!),0,1)</f>
        <v>1</v>
      </c>
      <c r="C37">
        <f>IF(ISBLANK(#REF!),0,1)</f>
        <v>1</v>
      </c>
      <c r="D37">
        <f>IF(ISBLANK(#REF!),0,1)</f>
        <v>1</v>
      </c>
      <c r="E37">
        <f>IF(ISBLANK(#REF!),0,1)</f>
        <v>1</v>
      </c>
      <c r="F37">
        <f>IF(ISBLANK(#REF!),0,1)</f>
        <v>1</v>
      </c>
      <c r="G37">
        <f>IF(ISBLANK(#REF!),0,1)</f>
        <v>1</v>
      </c>
      <c r="H37">
        <f>IF(ISBLANK(#REF!),0,1)</f>
        <v>1</v>
      </c>
      <c r="I37" s="0">
        <f>SUM(A37:G37)</f>
        <v>7</v>
      </c>
    </row>
    <row r="38">
      <c r="A38">
        <f>IF(ISBLANK(#REF!),0,1)</f>
        <v>1</v>
      </c>
      <c r="B38">
        <f>IF(ISBLANK(#REF!),0,1)</f>
        <v>1</v>
      </c>
      <c r="C38">
        <f>IF(ISBLANK(#REF!),0,1)</f>
        <v>1</v>
      </c>
      <c r="D38">
        <f>IF(ISBLANK(#REF!),0,1)</f>
        <v>1</v>
      </c>
      <c r="E38">
        <f>IF(ISBLANK(#REF!),0,1)</f>
        <v>1</v>
      </c>
      <c r="F38">
        <f>IF(ISBLANK(#REF!),0,1)</f>
        <v>1</v>
      </c>
      <c r="G38">
        <f>IF(ISBLANK(#REF!),0,1)</f>
        <v>1</v>
      </c>
      <c r="H38">
        <f>IF(ISBLANK(#REF!),0,1)</f>
        <v>1</v>
      </c>
      <c r="I38" s="0">
        <f>SUM(A38:G38)</f>
        <v>7</v>
      </c>
    </row>
    <row r="39">
      <c r="A39">
        <f>IF(ISBLANK(#REF!),0,1)</f>
        <v>1</v>
      </c>
      <c r="B39">
        <f>IF(ISBLANK(#REF!),0,1)</f>
        <v>1</v>
      </c>
      <c r="C39">
        <f>IF(ISBLANK(#REF!),0,1)</f>
        <v>1</v>
      </c>
      <c r="D39">
        <f>IF(ISBLANK(#REF!),0,1)</f>
        <v>1</v>
      </c>
      <c r="E39">
        <f>IF(ISBLANK(#REF!),0,1)</f>
        <v>1</v>
      </c>
      <c r="F39">
        <f>IF(ISBLANK(#REF!),0,1)</f>
        <v>1</v>
      </c>
      <c r="G39">
        <f>IF(ISBLANK(#REF!),0,1)</f>
        <v>1</v>
      </c>
      <c r="H39">
        <f>IF(ISBLANK(#REF!),0,1)</f>
        <v>1</v>
      </c>
      <c r="I39" s="0">
        <f>SUM(A39:G39)</f>
        <v>7</v>
      </c>
    </row>
    <row r="40">
      <c r="A40">
        <f>IF(ISBLANK(#REF!),0,1)</f>
        <v>1</v>
      </c>
      <c r="B40">
        <f>IF(ISBLANK(#REF!),0,1)</f>
        <v>1</v>
      </c>
      <c r="C40">
        <f>IF(ISBLANK(#REF!),0,1)</f>
        <v>1</v>
      </c>
      <c r="D40">
        <f>IF(ISBLANK(#REF!),0,1)</f>
        <v>1</v>
      </c>
      <c r="E40">
        <f>IF(ISBLANK(#REF!),0,1)</f>
        <v>1</v>
      </c>
      <c r="F40">
        <f>IF(ISBLANK(#REF!),0,1)</f>
        <v>1</v>
      </c>
      <c r="G40">
        <f>IF(ISBLANK(#REF!),0,1)</f>
        <v>1</v>
      </c>
      <c r="H40">
        <f>IF(ISBLANK(#REF!),0,1)</f>
        <v>1</v>
      </c>
      <c r="I40" s="0">
        <f>SUM(A40:G40)</f>
        <v>7</v>
      </c>
    </row>
    <row r="41">
      <c r="A41">
        <f>IF(ISBLANK(#REF!),0,1)</f>
        <v>1</v>
      </c>
      <c r="B41">
        <f>IF(ISBLANK(#REF!),0,1)</f>
        <v>1</v>
      </c>
      <c r="C41">
        <f>IF(ISBLANK(#REF!),0,1)</f>
        <v>1</v>
      </c>
      <c r="D41">
        <f>IF(ISBLANK(#REF!),0,1)</f>
        <v>1</v>
      </c>
      <c r="E41">
        <f>IF(ISBLANK(#REF!),0,1)</f>
        <v>1</v>
      </c>
      <c r="F41">
        <f>IF(ISBLANK(#REF!),0,1)</f>
        <v>1</v>
      </c>
      <c r="G41">
        <f>IF(ISBLANK(#REF!),0,1)</f>
        <v>1</v>
      </c>
      <c r="H41">
        <f>IF(ISBLANK(#REF!),0,1)</f>
        <v>1</v>
      </c>
      <c r="I41" s="0">
        <f>SUM(A41:G41)</f>
        <v>7</v>
      </c>
    </row>
    <row r="42">
      <c r="A42">
        <f>IF(ISBLANK(#REF!),0,1)</f>
        <v>1</v>
      </c>
      <c r="B42">
        <f>IF(ISBLANK(#REF!),0,1)</f>
        <v>1</v>
      </c>
      <c r="C42">
        <f>IF(ISBLANK(#REF!),0,1)</f>
        <v>1</v>
      </c>
      <c r="D42">
        <f>IF(ISBLANK(#REF!),0,1)</f>
        <v>1</v>
      </c>
      <c r="E42">
        <f>IF(ISBLANK(#REF!),0,1)</f>
        <v>1</v>
      </c>
      <c r="F42">
        <f>IF(ISBLANK(#REF!),0,1)</f>
        <v>1</v>
      </c>
      <c r="G42">
        <f>IF(ISBLANK(#REF!),0,1)</f>
        <v>1</v>
      </c>
      <c r="H42">
        <f>IF(ISBLANK(#REF!),0,1)</f>
        <v>1</v>
      </c>
      <c r="I42" s="0">
        <f>SUM(A42:G42)</f>
        <v>7</v>
      </c>
    </row>
    <row r="43">
      <c r="A43">
        <f>IF(ISBLANK('Plan - NL'!I28),0,1)</f>
        <v>0</v>
      </c>
      <c r="B43">
        <f>IF(ISBLANK('Plan - NL'!J28),0,1)</f>
        <v>0</v>
      </c>
      <c r="C43">
        <f>IF(ISBLANK('Plan - NL'!K28),0,1)</f>
        <v>0</v>
      </c>
      <c r="D43">
        <f>IF(ISBLANK('Plan - NL'!L28),0,1)</f>
        <v>0</v>
      </c>
      <c r="E43">
        <f>IF(ISBLANK('Plan - NL'!M28),0,1)</f>
        <v>0</v>
      </c>
      <c r="F43">
        <f>IF(ISBLANK('Plan - NL'!N28),0,1)</f>
        <v>0</v>
      </c>
      <c r="G43">
        <f>IF(ISBLANK('Plan - NL'!O28),0,1)</f>
        <v>0</v>
      </c>
      <c r="H43">
        <f>IF(ISBLANK('Plan - NL'!P28),0,1)</f>
        <v>0</v>
      </c>
      <c r="I43" s="0">
        <f>SUM(A43:G43)</f>
        <v>0</v>
      </c>
    </row>
    <row r="44">
      <c r="A44">
        <f>IF(ISBLANK(#REF!),0,1)</f>
        <v>1</v>
      </c>
      <c r="B44">
        <f>IF(ISBLANK(#REF!),0,1)</f>
        <v>1</v>
      </c>
      <c r="C44">
        <f>IF(ISBLANK(#REF!),0,1)</f>
        <v>1</v>
      </c>
      <c r="D44">
        <f>IF(ISBLANK(#REF!),0,1)</f>
        <v>1</v>
      </c>
      <c r="E44">
        <f>IF(ISBLANK(#REF!),0,1)</f>
        <v>1</v>
      </c>
      <c r="F44">
        <f>IF(ISBLANK(#REF!),0,1)</f>
        <v>1</v>
      </c>
      <c r="G44">
        <f>IF(ISBLANK(#REF!),0,1)</f>
        <v>1</v>
      </c>
      <c r="H44">
        <f>IF(ISBLANK(#REF!),0,1)</f>
        <v>1</v>
      </c>
      <c r="I44" s="0">
        <f>SUM(A44:G44)</f>
        <v>7</v>
      </c>
    </row>
    <row r="45">
      <c r="A45">
        <f>IF(ISBLANK(#REF!),0,1)</f>
        <v>1</v>
      </c>
      <c r="B45">
        <f>IF(ISBLANK(#REF!),0,1)</f>
        <v>1</v>
      </c>
      <c r="C45">
        <f>IF(ISBLANK(#REF!),0,1)</f>
        <v>1</v>
      </c>
      <c r="D45">
        <f>IF(ISBLANK(#REF!),0,1)</f>
        <v>1</v>
      </c>
      <c r="E45">
        <f>IF(ISBLANK(#REF!),0,1)</f>
        <v>1</v>
      </c>
      <c r="F45">
        <f>IF(ISBLANK(#REF!),0,1)</f>
        <v>1</v>
      </c>
      <c r="G45">
        <f>IF(ISBLANK(#REF!),0,1)</f>
        <v>1</v>
      </c>
      <c r="H45">
        <f>IF(ISBLANK(#REF!),0,1)</f>
        <v>1</v>
      </c>
      <c r="I45" s="0">
        <f>SUM(A45:G45)</f>
        <v>7</v>
      </c>
    </row>
    <row r="46">
      <c r="A46">
        <f>IF(ISBLANK(#REF!),0,1)</f>
        <v>1</v>
      </c>
      <c r="B46">
        <f>IF(ISBLANK(#REF!),0,1)</f>
        <v>1</v>
      </c>
      <c r="C46">
        <f>IF(ISBLANK(#REF!),0,1)</f>
        <v>1</v>
      </c>
      <c r="D46">
        <f>IF(ISBLANK(#REF!),0,1)</f>
        <v>1</v>
      </c>
      <c r="E46">
        <f>IF(ISBLANK(#REF!),0,1)</f>
        <v>1</v>
      </c>
      <c r="F46">
        <f>IF(ISBLANK(#REF!),0,1)</f>
        <v>1</v>
      </c>
      <c r="G46">
        <f>IF(ISBLANK(#REF!),0,1)</f>
        <v>1</v>
      </c>
      <c r="H46">
        <f>IF(ISBLANK(#REF!),0,1)</f>
        <v>1</v>
      </c>
      <c r="I46" s="0">
        <f>SUM(A46:G46)</f>
        <v>7</v>
      </c>
    </row>
    <row r="47">
      <c r="A47">
        <f>IF(ISBLANK(#REF!),0,1)</f>
        <v>1</v>
      </c>
      <c r="B47">
        <f>IF(ISBLANK(#REF!),0,1)</f>
        <v>1</v>
      </c>
      <c r="C47">
        <f>IF(ISBLANK(#REF!),0,1)</f>
        <v>1</v>
      </c>
      <c r="D47">
        <f>IF(ISBLANK(#REF!),0,1)</f>
        <v>1</v>
      </c>
      <c r="E47">
        <f>IF(ISBLANK(#REF!),0,1)</f>
        <v>1</v>
      </c>
      <c r="F47">
        <f>IF(ISBLANK(#REF!),0,1)</f>
        <v>1</v>
      </c>
      <c r="G47">
        <f>IF(ISBLANK(#REF!),0,1)</f>
        <v>1</v>
      </c>
      <c r="H47">
        <f>IF(ISBLANK(#REF!),0,1)</f>
        <v>1</v>
      </c>
      <c r="I47" s="0">
        <f>SUM(A47:G47)</f>
        <v>7</v>
      </c>
    </row>
    <row r="48">
      <c r="A48">
        <f>IF(ISBLANK(#REF!),0,1)</f>
        <v>1</v>
      </c>
      <c r="B48">
        <f>IF(ISBLANK(#REF!),0,1)</f>
        <v>1</v>
      </c>
      <c r="C48">
        <f>IF(ISBLANK(#REF!),0,1)</f>
        <v>1</v>
      </c>
      <c r="D48">
        <f>IF(ISBLANK(#REF!),0,1)</f>
        <v>1</v>
      </c>
      <c r="E48">
        <f>IF(ISBLANK('Plan - NL'!E38),0,1)</f>
        <v>1</v>
      </c>
      <c r="F48">
        <f>IF(ISBLANK(#REF!),0,1)</f>
        <v>1</v>
      </c>
      <c r="G48">
        <f>IF(ISBLANK('Plan - NL'!G38),0,1)</f>
        <v>1</v>
      </c>
      <c r="H48">
        <f>IF(ISBLANK('Plan - NL'!H47),0,1)</f>
        <v>1</v>
      </c>
      <c r="I48" s="0">
        <f>SUM(A48:G48)</f>
        <v>7</v>
      </c>
    </row>
    <row r="49">
      <c r="A49">
        <f>IF(ISBLANK(#REF!),0,1)</f>
        <v>1</v>
      </c>
      <c r="B49">
        <f>IF(ISBLANK(#REF!),0,1)</f>
        <v>1</v>
      </c>
      <c r="C49">
        <f>IF(ISBLANK(#REF!),0,1)</f>
        <v>1</v>
      </c>
      <c r="D49">
        <f>IF(ISBLANK(#REF!),0,1)</f>
        <v>1</v>
      </c>
      <c r="E49">
        <f>IF(ISBLANK('Plan - NL'!E49),0,1)</f>
        <v>1</v>
      </c>
      <c r="F49">
        <f>IF(ISBLANK(#REF!),0,1)</f>
        <v>1</v>
      </c>
      <c r="G49">
        <f>IF(ISBLANK('Plan - NL'!G49),0,1)</f>
        <v>1</v>
      </c>
      <c r="H49">
        <f>IF(ISBLANK('Plan - NL'!H56),0,1)</f>
        <v>1</v>
      </c>
      <c r="I49" s="0">
        <f>SUM(A49:G49)</f>
        <v>7</v>
      </c>
    </row>
    <row r="50">
      <c r="A50">
        <f>IF(ISBLANK(#REF!),0,1)</f>
        <v>1</v>
      </c>
      <c r="B50">
        <f>IF(ISBLANK(#REF!),0,1)</f>
        <v>1</v>
      </c>
      <c r="C50">
        <f>IF(ISBLANK(#REF!),0,1)</f>
        <v>1</v>
      </c>
      <c r="D50">
        <f>IF(ISBLANK(#REF!),0,1)</f>
        <v>1</v>
      </c>
      <c r="E50">
        <f>IF(ISBLANK('Plan - NL'!E50),0,1)</f>
        <v>1</v>
      </c>
      <c r="F50">
        <f>IF(ISBLANK(#REF!),0,1)</f>
        <v>1</v>
      </c>
      <c r="G50">
        <f>IF(ISBLANK(#REF!),0,1)</f>
        <v>1</v>
      </c>
      <c r="H50">
        <f>IF(ISBLANK('Plan - NL'!H41),0,1)</f>
        <v>1</v>
      </c>
      <c r="I50" s="0">
        <f>SUM(A50:G50)</f>
        <v>7</v>
      </c>
    </row>
    <row r="51">
      <c r="A51">
        <f>IF(ISBLANK(#REF!),0,1)</f>
        <v>1</v>
      </c>
      <c r="B51">
        <f>IF(ISBLANK(#REF!),0,1)</f>
        <v>1</v>
      </c>
      <c r="C51">
        <f>IF(ISBLANK(#REF!),0,1)</f>
        <v>1</v>
      </c>
      <c r="D51">
        <f>IF(ISBLANK(#REF!),0,1)</f>
        <v>1</v>
      </c>
      <c r="E51">
        <f>IF(ISBLANK('Plan - NL'!E37),0,1)</f>
        <v>1</v>
      </c>
      <c r="F51">
        <f>IF(ISBLANK(#REF!),0,1)</f>
        <v>1</v>
      </c>
      <c r="G51">
        <f>IF(ISBLANK(#REF!),0,1)</f>
        <v>1</v>
      </c>
      <c r="H51">
        <f>IF(ISBLANK(#REF!),0,1)</f>
        <v>1</v>
      </c>
      <c r="I51" s="0">
        <f>SUM(A51:G51)</f>
        <v>7</v>
      </c>
    </row>
    <row r="52">
      <c r="A52">
        <f>IF(ISBLANK(#REF!),0,1)</f>
        <v>1</v>
      </c>
      <c r="B52">
        <f>IF(ISBLANK(#REF!),0,1)</f>
        <v>1</v>
      </c>
      <c r="C52">
        <f>IF(ISBLANK(#REF!),0,1)</f>
        <v>1</v>
      </c>
      <c r="D52">
        <f>IF(ISBLANK(#REF!),0,1)</f>
        <v>1</v>
      </c>
      <c r="E52">
        <f>IF(ISBLANK(#REF!),0,1)</f>
        <v>1</v>
      </c>
      <c r="F52">
        <f>IF(ISBLANK(#REF!),0,1)</f>
        <v>1</v>
      </c>
      <c r="G52">
        <f>IF(ISBLANK('Plan - NL'!J37),0,1)</f>
        <v>1</v>
      </c>
      <c r="H52">
        <f>IF(ISBLANK(#REF!),0,1)</f>
        <v>1</v>
      </c>
      <c r="I52" s="0">
        <f>SUM(A52:G52)</f>
        <v>7</v>
      </c>
    </row>
    <row r="53">
      <c r="A53">
        <f>IF(ISBLANK(#REF!),0,1)</f>
        <v>1</v>
      </c>
      <c r="B53">
        <f>IF(ISBLANK(#REF!),0,1)</f>
        <v>1</v>
      </c>
      <c r="C53">
        <f>IF(ISBLANK(#REF!),0,1)</f>
        <v>1</v>
      </c>
      <c r="D53">
        <f>IF(ISBLANK('Plan - NL'!M47),0,1)</f>
        <v>0</v>
      </c>
      <c r="E53">
        <f>IF(ISBLANK(#REF!),0,1)</f>
        <v>1</v>
      </c>
      <c r="F53">
        <f>IF(ISBLANK(#REF!),0,1)</f>
        <v>1</v>
      </c>
      <c r="G53">
        <f>IF(ISBLANK('Plan - NL'!J47),0,1)</f>
        <v>1</v>
      </c>
      <c r="H53">
        <f>IF(ISBLANK(#REF!),0,1)</f>
        <v>1</v>
      </c>
      <c r="I53" s="0">
        <f>SUM(A53:G53)</f>
        <v>6</v>
      </c>
    </row>
    <row r="54">
      <c r="A54">
        <f>IF(ISBLANK(#REF!),0,1)</f>
        <v>1</v>
      </c>
      <c r="B54">
        <f>IF(ISBLANK(#REF!),0,1)</f>
        <v>1</v>
      </c>
      <c r="C54">
        <f>IF(ISBLANK(#REF!),0,1)</f>
        <v>1</v>
      </c>
      <c r="D54">
        <f>IF(ISBLANK('Plan - NL'!M56),0,1)</f>
        <v>0</v>
      </c>
      <c r="E54">
        <f>IF(ISBLANK(#REF!),0,1)</f>
        <v>1</v>
      </c>
      <c r="F54">
        <f>IF(ISBLANK(#REF!),0,1)</f>
        <v>1</v>
      </c>
      <c r="G54">
        <f>IF(ISBLANK('Plan - NL'!J56),0,1)</f>
        <v>1</v>
      </c>
      <c r="H54">
        <f>IF(ISBLANK(#REF!),0,1)</f>
        <v>1</v>
      </c>
      <c r="I54" s="0">
        <f>SUM(A54:G54)</f>
        <v>6</v>
      </c>
    </row>
    <row r="55">
      <c r="A55">
        <f>IF(ISBLANK(#REF!),0,1)</f>
        <v>1</v>
      </c>
      <c r="B55">
        <f>IF(ISBLANK(#REF!),0,1)</f>
        <v>1</v>
      </c>
      <c r="C55">
        <f>IF(ISBLANK(#REF!),0,1)</f>
        <v>1</v>
      </c>
      <c r="D55">
        <f>IF(ISBLANK('Plan - NL'!M41),0,1)</f>
        <v>0</v>
      </c>
      <c r="E55">
        <f>IF(ISBLANK(#REF!),0,1)</f>
        <v>1</v>
      </c>
      <c r="F55">
        <f>IF(ISBLANK(#REF!),0,1)</f>
        <v>1</v>
      </c>
      <c r="G55">
        <f>IF(ISBLANK('Plan - NL'!J41),0,1)</f>
        <v>1</v>
      </c>
      <c r="H55">
        <f>IF(ISBLANK(#REF!),0,1)</f>
        <v>1</v>
      </c>
      <c r="I55" s="0">
        <f>SUM(A55:G55)</f>
        <v>6</v>
      </c>
    </row>
    <row r="56">
      <c r="A56">
        <f>IF(ISBLANK('Plan - NL'!J46),0,1)</f>
        <v>1</v>
      </c>
      <c r="B56">
        <f>IF(ISBLANK('Plan - NL'!K46),0,1)</f>
        <v>1</v>
      </c>
      <c r="C56">
        <f>IF(ISBLANK(#REF!),0,1)</f>
        <v>1</v>
      </c>
      <c r="D56">
        <f>IF(ISBLANK('Plan - NL'!M46),0,1)</f>
        <v>0</v>
      </c>
      <c r="E56">
        <f>IF(ISBLANK('Plan - NL'!N46),0,1)</f>
        <v>0</v>
      </c>
      <c r="F56">
        <f>IF(ISBLANK('Plan - NL'!O46),0,1)</f>
        <v>0</v>
      </c>
      <c r="G56">
        <f>IF(ISBLANK('Plan - NL'!P46),0,1)</f>
        <v>0</v>
      </c>
      <c r="H56">
        <f>IF(ISBLANK('Plan - NL'!Q46),0,1)</f>
        <v>0</v>
      </c>
      <c r="I56" s="0">
        <f>SUM(A56:G56)</f>
        <v>3</v>
      </c>
    </row>
    <row r="57">
      <c r="A57">
        <f>IF(ISBLANK(#REF!),0,1)</f>
        <v>1</v>
      </c>
      <c r="B57">
        <f>IF(ISBLANK(#REF!),0,1)</f>
        <v>1</v>
      </c>
      <c r="C57">
        <f>IF(ISBLANK(#REF!),0,1)</f>
        <v>1</v>
      </c>
      <c r="D57">
        <f>IF(ISBLANK(#REF!),0,1)</f>
        <v>1</v>
      </c>
      <c r="E57">
        <f>IF(ISBLANK(#REF!),0,1)</f>
        <v>1</v>
      </c>
      <c r="F57">
        <f>IF(ISBLANK(#REF!),0,1)</f>
        <v>1</v>
      </c>
      <c r="G57">
        <f>IF(ISBLANK(#REF!),0,1)</f>
        <v>1</v>
      </c>
      <c r="H57">
        <f>IF(ISBLANK(#REF!),0,1)</f>
        <v>1</v>
      </c>
      <c r="I57" s="0">
        <f>SUM(A57:G57)</f>
        <v>7</v>
      </c>
    </row>
    <row r="58">
      <c r="A58">
        <f>IF(ISBLANK(#REF!),0,1)</f>
        <v>1</v>
      </c>
      <c r="B58">
        <f>IF(ISBLANK(#REF!),0,1)</f>
        <v>1</v>
      </c>
      <c r="C58">
        <f>IF(ISBLANK(#REF!),0,1)</f>
        <v>1</v>
      </c>
      <c r="D58">
        <f>IF(ISBLANK(#REF!),0,1)</f>
        <v>1</v>
      </c>
      <c r="E58">
        <f>IF(ISBLANK(#REF!),0,1)</f>
        <v>1</v>
      </c>
      <c r="F58">
        <f>IF(ISBLANK(#REF!),0,1)</f>
        <v>1</v>
      </c>
      <c r="G58">
        <f>IF(ISBLANK(#REF!),0,1)</f>
        <v>1</v>
      </c>
      <c r="H58">
        <f>IF(ISBLANK(#REF!),0,1)</f>
        <v>1</v>
      </c>
      <c r="I58" s="0">
        <f>SUM(A58:G58)</f>
        <v>7</v>
      </c>
    </row>
  </sheetData>
  <drawing r:id="rId1"/>
</worksheet>
</file>

<file path=xl/worksheets/sheet1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</sheetPr>
  <sheetViews>
    <sheetView showGridLines="0" workbookViewId="0">
      <selection pane="topLeft" activeCell="A1"/>
    </sheetView>
  </sheetViews>
  <sheetFormatPr baseColWidth="8" defaultColWidth="15.13" defaultRowHeight="15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1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  <pageSetUpPr/>
  </sheetPr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5.13" defaultRowHeight="15"/>
  <cols>
    <col min="1" max="1" width="11.88" customWidth="1"/>
    <col min="2" max="2" width="8.5" customWidth="1"/>
    <col min="3" max="3" width="7.25" customWidth="1"/>
    <col min="4" max="4" width="7.13" customWidth="1"/>
    <col min="5" max="5" width="9" customWidth="1"/>
    <col min="6" max="6" width="11.25" customWidth="1"/>
    <col min="7" max="8" width="10.5" customWidth="1"/>
    <col min="9" max="13" width="5" customWidth="1"/>
    <col min="14" max="14" width="4.5" customWidth="1"/>
    <col min="15" max="16" width="5" customWidth="1"/>
    <col min="17" max="17" width="23.5" customWidth="1"/>
    <col min="18" max="18" width="14" customWidth="1"/>
    <col min="19" max="19" width="7.88" customWidth="1"/>
    <col min="20" max="20" width="8.75" customWidth="1"/>
    <col min="23" max="23" width="3.75" customWidth="1"/>
    <col min="24" max="24" width="15.13" customWidth="1"/>
    <col min="25" max="25" width="11" customWidth="1"/>
    <col min="26" max="26" width="8.13" customWidth="1"/>
    <col min="27" max="27" width="9.75" customWidth="1"/>
    <col min="28" max="28" width="7.25" customWidth="1"/>
    <col min="29" max="29" width="7" customWidth="1"/>
    <col min="30" max="30" width="9.63" customWidth="1"/>
    <col min="31" max="31" width="5.5" customWidth="1"/>
    <col min="32" max="32" width="5.13" customWidth="1"/>
  </cols>
  <sheetData>
    <row r="1">
      <c r="A1" s="159" t="s">
        <v>290</v>
      </c>
      <c r="B1" s="160" t="s">
        <v>1</v>
      </c>
      <c r="C1" s="161" t="s">
        <v>2</v>
      </c>
      <c r="D1" s="161" t="s">
        <v>3</v>
      </c>
      <c r="E1" s="162" t="s">
        <v>4</v>
      </c>
      <c r="F1" s="161" t="s">
        <v>5</v>
      </c>
      <c r="G1" s="161" t="s">
        <v>6</v>
      </c>
      <c r="H1" s="161" t="s">
        <v>7</v>
      </c>
      <c r="I1" s="161" t="s">
        <v>8</v>
      </c>
      <c r="J1" s="161" t="s">
        <v>9</v>
      </c>
      <c r="K1" s="161" t="s">
        <v>10</v>
      </c>
      <c r="L1" s="161" t="s">
        <v>11</v>
      </c>
      <c r="M1" s="161" t="s">
        <v>12</v>
      </c>
      <c r="N1" s="161" t="s">
        <v>13</v>
      </c>
      <c r="O1" s="161" t="s">
        <v>14</v>
      </c>
      <c r="P1" s="162" t="s">
        <v>15</v>
      </c>
      <c r="Q1" s="162" t="s">
        <v>16</v>
      </c>
      <c r="R1" s="163"/>
      <c r="S1" s="162"/>
      <c r="T1" s="163"/>
      <c r="U1" s="160"/>
      <c r="V1" s="160"/>
      <c r="W1" s="160"/>
      <c r="X1" s="160"/>
      <c r="Y1" s="160"/>
      <c r="AA1" s="160"/>
      <c r="AB1" s="163"/>
      <c r="AC1" s="163"/>
      <c r="AD1" s="163"/>
      <c r="AE1" s="163"/>
      <c r="AF1" s="163"/>
    </row>
    <row r="2">
      <c r="A2" s="189">
        <v>105329</v>
      </c>
      <c r="B2" s="190">
        <v>0</v>
      </c>
      <c r="C2" s="191" t="s">
        <v>38</v>
      </c>
      <c r="D2" s="191">
        <v>30</v>
      </c>
      <c r="E2" s="191" t="s">
        <v>39</v>
      </c>
      <c r="F2" s="193">
        <v>0.583333333333333</v>
      </c>
      <c r="G2" s="191" t="s">
        <v>54</v>
      </c>
      <c r="H2" s="265" t="s">
        <v>46</v>
      </c>
      <c r="I2" s="266" t="e">
        <f>#REF!</f>
        <v>#REF!</v>
      </c>
      <c r="J2" s="266" t="e">
        <f>#REF!</f>
        <v>#REF!</v>
      </c>
      <c r="K2" s="266" t="e">
        <f>#REF!</f>
        <v>#REF!</v>
      </c>
      <c r="L2" s="266" t="e">
        <f>#REF!</f>
        <v>#REF!</v>
      </c>
      <c r="M2" s="266" t="e">
        <f>#REF!</f>
        <v>#REF!</v>
      </c>
      <c r="N2" s="266" t="e">
        <f>#REF!</f>
        <v>#REF!</v>
      </c>
      <c r="O2" s="266" t="e">
        <f>#REF!</f>
        <v>#REF!</v>
      </c>
      <c r="P2" s="266" t="e">
        <f>#REF!</f>
        <v>#REF!</v>
      </c>
      <c r="Q2" s="217" t="s">
        <v>389</v>
      </c>
      <c r="R2" s="172"/>
      <c r="S2" s="267"/>
      <c r="T2" s="268"/>
      <c r="U2" s="268"/>
      <c r="V2" s="268"/>
      <c r="W2" s="268"/>
      <c r="X2" s="268"/>
      <c r="Y2" s="268"/>
      <c r="AA2" s="268"/>
      <c r="AB2" s="151"/>
      <c r="AC2" s="151"/>
      <c r="AD2" s="151"/>
      <c r="AE2" s="151"/>
      <c r="AF2" s="151"/>
    </row>
    <row r="3">
      <c r="A3" s="189">
        <v>105330</v>
      </c>
      <c r="B3" s="190">
        <v>1</v>
      </c>
      <c r="C3" s="192" t="s">
        <v>38</v>
      </c>
      <c r="D3" s="192">
        <v>6</v>
      </c>
      <c r="E3" s="192" t="s">
        <v>60</v>
      </c>
      <c r="F3" s="193">
        <v>0.583333333333333</v>
      </c>
      <c r="G3" s="192" t="s">
        <v>40</v>
      </c>
      <c r="H3" s="269" t="s">
        <v>226</v>
      </c>
      <c r="I3" s="266" t="e">
        <f>#REF!</f>
        <v>#REF!</v>
      </c>
      <c r="J3" s="266" t="e">
        <f>#REF!</f>
        <v>#REF!</v>
      </c>
      <c r="K3" s="266" t="e">
        <f>#REF!</f>
        <v>#REF!</v>
      </c>
      <c r="L3" s="266" t="e">
        <f>#REF!</f>
        <v>#REF!</v>
      </c>
      <c r="M3" s="266" t="e">
        <f>#REF!</f>
        <v>#REF!</v>
      </c>
      <c r="N3" s="266" t="e">
        <f>#REF!</f>
        <v>#REF!</v>
      </c>
      <c r="O3" s="266" t="e">
        <f>#REF!</f>
        <v>#REF!</v>
      </c>
      <c r="P3" s="266" t="e">
        <f>#REF!</f>
        <v>#REF!</v>
      </c>
      <c r="Q3" s="217"/>
      <c r="R3" s="172"/>
      <c r="S3" s="267"/>
      <c r="T3" s="268" t="s">
        <v>390</v>
      </c>
      <c r="U3" s="268"/>
      <c r="V3" s="268"/>
      <c r="W3" s="268"/>
      <c r="X3" s="268"/>
      <c r="Y3" s="268"/>
      <c r="Z3" s="128" t="s">
        <v>391</v>
      </c>
      <c r="AA3" s="268"/>
      <c r="AB3" s="151"/>
      <c r="AC3" s="151"/>
      <c r="AD3" s="151"/>
      <c r="AE3" s="151"/>
      <c r="AF3" s="151"/>
    </row>
    <row r="4">
      <c r="A4" s="189">
        <v>105331</v>
      </c>
      <c r="B4" s="190">
        <v>1</v>
      </c>
      <c r="C4" s="192" t="s">
        <v>53</v>
      </c>
      <c r="D4" s="192">
        <v>7</v>
      </c>
      <c r="E4" s="192" t="s">
        <v>60</v>
      </c>
      <c r="F4" s="193">
        <v>0.583333333333333</v>
      </c>
      <c r="G4" s="192" t="s">
        <v>55</v>
      </c>
      <c r="H4" s="269" t="s">
        <v>69</v>
      </c>
      <c r="I4" s="266" t="e">
        <f>#REF!</f>
        <v>#REF!</v>
      </c>
      <c r="J4" s="266" t="e">
        <f>#REF!</f>
        <v>#REF!</v>
      </c>
      <c r="K4" s="266" t="e">
        <f>#REF!</f>
        <v>#REF!</v>
      </c>
      <c r="L4" s="266" t="e">
        <f>#REF!</f>
        <v>#REF!</v>
      </c>
      <c r="M4" s="266" t="e">
        <f>#REF!</f>
        <v>#REF!</v>
      </c>
      <c r="N4" s="266" t="e">
        <f>#REF!</f>
        <v>#REF!</v>
      </c>
      <c r="O4" s="266" t="e">
        <f>#REF!</f>
        <v>#REF!</v>
      </c>
      <c r="P4" s="266" t="e">
        <f>#REF!</f>
        <v>#REF!</v>
      </c>
      <c r="Q4" s="217"/>
      <c r="R4" s="172"/>
      <c r="S4" s="267"/>
      <c r="T4" s="268" t="s">
        <v>392</v>
      </c>
      <c r="W4" s="268"/>
      <c r="X4" s="268"/>
      <c r="Y4" s="268"/>
      <c r="Z4" s="128" t="s">
        <v>54</v>
      </c>
      <c r="AA4" s="268" t="s">
        <v>393</v>
      </c>
      <c r="AB4" s="151" t="s">
        <v>46</v>
      </c>
      <c r="AC4" s="151" t="s">
        <v>226</v>
      </c>
      <c r="AD4" s="151" t="s">
        <v>55</v>
      </c>
      <c r="AE4" s="151" t="s">
        <v>40</v>
      </c>
      <c r="AF4" s="151" t="s">
        <v>69</v>
      </c>
    </row>
    <row r="5">
      <c r="A5" s="189">
        <v>105332</v>
      </c>
      <c r="B5" s="190">
        <v>2</v>
      </c>
      <c r="C5" s="192" t="s">
        <v>38</v>
      </c>
      <c r="D5" s="192">
        <v>13</v>
      </c>
      <c r="E5" s="192" t="s">
        <v>60</v>
      </c>
      <c r="F5" s="193">
        <v>0.583333333333333</v>
      </c>
      <c r="G5" s="192" t="s">
        <v>40</v>
      </c>
      <c r="H5" s="269" t="s">
        <v>54</v>
      </c>
      <c r="I5" s="266" t="e">
        <f>#REF!</f>
        <v>#REF!</v>
      </c>
      <c r="J5" s="266" t="e">
        <f>#REF!</f>
        <v>#REF!</v>
      </c>
      <c r="K5" s="266" t="e">
        <f>#REF!</f>
        <v>#REF!</v>
      </c>
      <c r="L5" s="266" t="e">
        <f>#REF!</f>
        <v>#REF!</v>
      </c>
      <c r="M5" s="266" t="e">
        <f>#REF!</f>
        <v>#REF!</v>
      </c>
      <c r="N5" s="266" t="e">
        <f>#REF!</f>
        <v>#REF!</v>
      </c>
      <c r="O5" s="266" t="e">
        <f>#REF!</f>
        <v>#REF!</v>
      </c>
      <c r="P5" s="266" t="e">
        <f>#REF!</f>
        <v>#REF!</v>
      </c>
      <c r="Q5" s="270" t="s">
        <v>394</v>
      </c>
      <c r="R5" s="172"/>
      <c r="S5" s="267"/>
      <c r="T5" s="268"/>
      <c r="U5" s="268"/>
      <c r="V5" s="268"/>
      <c r="W5" s="268" t="s">
        <v>50</v>
      </c>
      <c r="X5" s="268" t="s">
        <v>212</v>
      </c>
      <c r="Y5" s="151" t="s">
        <v>395</v>
      </c>
      <c r="Z5" s="128">
        <v>104</v>
      </c>
      <c r="AA5" s="151">
        <v>109</v>
      </c>
      <c r="AB5" s="151">
        <v>78</v>
      </c>
      <c r="AC5" s="128">
        <v>71</v>
      </c>
      <c r="AD5" s="151">
        <v>145</v>
      </c>
      <c r="AE5" s="151">
        <v>213</v>
      </c>
      <c r="AF5" s="151">
        <v>323</v>
      </c>
    </row>
    <row r="6">
      <c r="A6" s="189">
        <v>105333</v>
      </c>
      <c r="B6" s="190">
        <v>3</v>
      </c>
      <c r="C6" s="192" t="s">
        <v>53</v>
      </c>
      <c r="D6" s="192">
        <v>21</v>
      </c>
      <c r="E6" s="192" t="s">
        <v>60</v>
      </c>
      <c r="F6" s="193">
        <v>0.583333333333333</v>
      </c>
      <c r="G6" s="265" t="s">
        <v>77</v>
      </c>
      <c r="H6" s="269" t="s">
        <v>226</v>
      </c>
      <c r="I6" s="266" t="e">
        <f>#REF!</f>
        <v>#REF!</v>
      </c>
      <c r="J6" s="266" t="e">
        <f>#REF!</f>
        <v>#REF!</v>
      </c>
      <c r="K6" s="266" t="e">
        <f>#REF!</f>
        <v>#REF!</v>
      </c>
      <c r="L6" s="266" t="e">
        <f>#REF!</f>
        <v>#REF!</v>
      </c>
      <c r="M6" s="266" t="e">
        <f>#REF!</f>
        <v>#REF!</v>
      </c>
      <c r="N6" s="266" t="e">
        <f>#REF!</f>
        <v>#REF!</v>
      </c>
      <c r="O6" s="266" t="e">
        <f>#REF!</f>
        <v>#REF!</v>
      </c>
      <c r="P6" s="266" t="e">
        <f>#REF!</f>
        <v>#REF!</v>
      </c>
      <c r="Q6" s="171" t="s">
        <v>396</v>
      </c>
      <c r="R6" s="172"/>
      <c r="S6" s="267"/>
      <c r="T6" s="268"/>
      <c r="U6" s="268"/>
      <c r="V6" s="268"/>
      <c r="W6" s="268" t="s">
        <v>185</v>
      </c>
      <c r="X6" s="268" t="s">
        <v>184</v>
      </c>
      <c r="Y6" s="151" t="s">
        <v>397</v>
      </c>
      <c r="Z6" s="128">
        <v>417</v>
      </c>
      <c r="AA6" s="151">
        <v>19</v>
      </c>
      <c r="AB6" s="151">
        <v>45</v>
      </c>
      <c r="AC6" s="128">
        <v>165</v>
      </c>
      <c r="AD6" s="151">
        <v>237</v>
      </c>
      <c r="AE6" s="151">
        <v>307</v>
      </c>
      <c r="AF6" s="151">
        <v>417</v>
      </c>
    </row>
    <row r="7">
      <c r="A7" s="189">
        <v>105334</v>
      </c>
      <c r="B7" s="190">
        <v>3</v>
      </c>
      <c r="C7" s="271" t="s">
        <v>398</v>
      </c>
      <c r="D7" s="192">
        <v>22</v>
      </c>
      <c r="E7" s="192" t="s">
        <v>60</v>
      </c>
      <c r="F7" s="193">
        <v>0.583333333333333</v>
      </c>
      <c r="G7" s="192" t="s">
        <v>69</v>
      </c>
      <c r="H7" s="269" t="s">
        <v>40</v>
      </c>
      <c r="I7" s="266" t="e">
        <f>#REF!</f>
        <v>#REF!</v>
      </c>
      <c r="J7" s="266" t="e">
        <f>#REF!</f>
        <v>#REF!</v>
      </c>
      <c r="K7" s="266" t="e">
        <f>#REF!</f>
        <v>#REF!</v>
      </c>
      <c r="L7" s="266" t="e">
        <f>#REF!</f>
        <v>#REF!</v>
      </c>
      <c r="M7" s="266" t="e">
        <f>#REF!</f>
        <v>#REF!</v>
      </c>
      <c r="N7" s="266" t="e">
        <f>#REF!</f>
        <v>#REF!</v>
      </c>
      <c r="O7" s="266" t="e">
        <f>#REF!</f>
        <v>#REF!</v>
      </c>
      <c r="P7" s="266" t="e">
        <f>#REF!</f>
        <v>#REF!</v>
      </c>
      <c r="Q7" s="171" t="s">
        <v>399</v>
      </c>
      <c r="R7" s="172"/>
      <c r="S7" s="267"/>
      <c r="T7" s="268"/>
      <c r="U7" s="268"/>
      <c r="V7" s="268"/>
      <c r="W7" s="268" t="s">
        <v>138</v>
      </c>
      <c r="X7" s="268" t="s">
        <v>227</v>
      </c>
      <c r="Y7" s="151" t="s">
        <v>400</v>
      </c>
      <c r="AA7" s="151"/>
      <c r="AB7" s="151"/>
      <c r="AD7" s="151"/>
      <c r="AE7" s="151"/>
      <c r="AF7" s="151"/>
    </row>
    <row r="8">
      <c r="A8" s="189">
        <v>105335</v>
      </c>
      <c r="B8" s="190">
        <v>4</v>
      </c>
      <c r="C8" s="192" t="s">
        <v>53</v>
      </c>
      <c r="D8" s="192">
        <v>28</v>
      </c>
      <c r="E8" s="192" t="s">
        <v>60</v>
      </c>
      <c r="F8" s="193">
        <v>0.583333333333333</v>
      </c>
      <c r="G8" s="192" t="s">
        <v>46</v>
      </c>
      <c r="H8" s="269" t="s">
        <v>55</v>
      </c>
      <c r="I8" s="266" t="e">
        <f>#REF!</f>
        <v>#REF!</v>
      </c>
      <c r="J8" s="266" t="e">
        <f>#REF!</f>
        <v>#REF!</v>
      </c>
      <c r="K8" s="266" t="e">
        <f>#REF!</f>
        <v>#REF!</v>
      </c>
      <c r="L8" s="266" t="e">
        <f>#REF!</f>
        <v>#REF!</v>
      </c>
      <c r="M8" s="266" t="e">
        <f>#REF!</f>
        <v>#REF!</v>
      </c>
      <c r="N8" s="266" t="e">
        <f>#REF!</f>
        <v>#REF!</v>
      </c>
      <c r="O8" s="266" t="e">
        <f>#REF!</f>
        <v>#REF!</v>
      </c>
      <c r="P8" s="266" t="e">
        <f>#REF!</f>
        <v>#REF!</v>
      </c>
      <c r="Q8" s="171" t="s">
        <v>401</v>
      </c>
      <c r="R8" s="172"/>
      <c r="S8" s="267"/>
      <c r="T8" s="268"/>
      <c r="U8" s="268"/>
      <c r="V8" s="268"/>
      <c r="W8" s="268" t="s">
        <v>147</v>
      </c>
      <c r="X8" s="268" t="s">
        <v>146</v>
      </c>
      <c r="Y8" s="151" t="s">
        <v>402</v>
      </c>
      <c r="Z8" s="128">
        <v>417</v>
      </c>
      <c r="AA8" s="151">
        <v>19</v>
      </c>
      <c r="AB8" s="151">
        <v>45</v>
      </c>
      <c r="AC8" s="128">
        <v>165</v>
      </c>
      <c r="AD8" s="151">
        <v>237</v>
      </c>
      <c r="AE8" s="151">
        <v>307</v>
      </c>
      <c r="AF8" s="151">
        <v>417</v>
      </c>
    </row>
    <row r="9">
      <c r="A9" s="189">
        <v>105336</v>
      </c>
      <c r="B9" s="190">
        <v>5</v>
      </c>
      <c r="C9" s="192" t="s">
        <v>38</v>
      </c>
      <c r="D9" s="192">
        <v>4</v>
      </c>
      <c r="E9" s="192" t="s">
        <v>82</v>
      </c>
      <c r="F9" s="193">
        <v>0.583333333333333</v>
      </c>
      <c r="G9" s="191" t="s">
        <v>77</v>
      </c>
      <c r="H9" s="269" t="s">
        <v>69</v>
      </c>
      <c r="I9" s="266" t="e">
        <f>#REF!</f>
        <v>#REF!</v>
      </c>
      <c r="J9" s="266" t="e">
        <f>#REF!</f>
        <v>#REF!</v>
      </c>
      <c r="K9" s="266" t="e">
        <f>#REF!</f>
        <v>#REF!</v>
      </c>
      <c r="L9" s="266" t="e">
        <f>#REF!</f>
        <v>#REF!</v>
      </c>
      <c r="M9" s="266" t="e">
        <f>#REF!</f>
        <v>#REF!</v>
      </c>
      <c r="N9" s="266" t="e">
        <f>#REF!</f>
        <v>#REF!</v>
      </c>
      <c r="O9" s="266" t="e">
        <f>#REF!</f>
        <v>#REF!</v>
      </c>
      <c r="P9" s="266" t="e">
        <f>#REF!</f>
        <v>#REF!</v>
      </c>
      <c r="Q9" s="171" t="s">
        <v>403</v>
      </c>
      <c r="R9" s="172" t="s">
        <v>185</v>
      </c>
      <c r="S9" s="267" t="s">
        <v>404</v>
      </c>
      <c r="T9" s="268"/>
      <c r="U9" s="268"/>
      <c r="V9" s="268"/>
      <c r="W9" s="268" t="s">
        <v>72</v>
      </c>
      <c r="X9" s="268" t="s">
        <v>142</v>
      </c>
      <c r="Y9" s="151" t="s">
        <v>395</v>
      </c>
      <c r="Z9" s="128">
        <v>104</v>
      </c>
      <c r="AA9" s="151">
        <v>109</v>
      </c>
      <c r="AB9" s="151">
        <v>78</v>
      </c>
      <c r="AC9" s="128">
        <v>71</v>
      </c>
      <c r="AD9" s="151">
        <v>145</v>
      </c>
      <c r="AE9" s="151">
        <v>213</v>
      </c>
      <c r="AF9" s="151">
        <v>323</v>
      </c>
    </row>
    <row r="10">
      <c r="A10" s="189">
        <v>105337</v>
      </c>
      <c r="B10" s="190">
        <v>5</v>
      </c>
      <c r="C10" s="192" t="s">
        <v>53</v>
      </c>
      <c r="D10" s="192">
        <v>5</v>
      </c>
      <c r="E10" s="192" t="s">
        <v>82</v>
      </c>
      <c r="F10" s="193">
        <v>0.583333333333333</v>
      </c>
      <c r="G10" s="265" t="s">
        <v>46</v>
      </c>
      <c r="H10" s="269" t="s">
        <v>226</v>
      </c>
      <c r="I10" s="266" t="e">
        <f>#REF!</f>
        <v>#REF!</v>
      </c>
      <c r="J10" s="266" t="e">
        <f>#REF!</f>
        <v>#REF!</v>
      </c>
      <c r="K10" s="266" t="e">
        <f>#REF!</f>
        <v>#REF!</v>
      </c>
      <c r="L10" s="266" t="e">
        <f>#REF!</f>
        <v>#REF!</v>
      </c>
      <c r="M10" s="266" t="e">
        <f>#REF!</f>
        <v>#REF!</v>
      </c>
      <c r="N10" s="266" t="e">
        <f>#REF!</f>
        <v>#REF!</v>
      </c>
      <c r="O10" s="266" t="e">
        <f>#REF!</f>
        <v>#REF!</v>
      </c>
      <c r="P10" s="266" t="e">
        <f>#REF!</f>
        <v>#REF!</v>
      </c>
      <c r="Q10" s="171" t="s">
        <v>405</v>
      </c>
      <c r="R10" s="172" t="s">
        <v>185</v>
      </c>
      <c r="S10" s="267" t="s">
        <v>49</v>
      </c>
      <c r="T10" s="268"/>
      <c r="U10" s="268"/>
      <c r="V10" s="268"/>
      <c r="W10" s="272" t="s">
        <v>57</v>
      </c>
      <c r="X10" s="272" t="s">
        <v>113</v>
      </c>
      <c r="Y10" s="151" t="s">
        <v>406</v>
      </c>
      <c r="Z10" s="128">
        <v>417</v>
      </c>
      <c r="AA10" s="151">
        <v>19</v>
      </c>
      <c r="AB10" s="151">
        <v>45</v>
      </c>
      <c r="AC10" s="128">
        <v>165</v>
      </c>
      <c r="AD10" s="151">
        <v>237</v>
      </c>
      <c r="AE10" s="151">
        <v>307</v>
      </c>
      <c r="AF10" s="151">
        <v>417</v>
      </c>
    </row>
    <row r="11">
      <c r="A11" s="189">
        <v>105338</v>
      </c>
      <c r="B11" s="190">
        <v>6</v>
      </c>
      <c r="C11" s="192" t="s">
        <v>38</v>
      </c>
      <c r="D11" s="192">
        <v>11</v>
      </c>
      <c r="E11" s="192" t="s">
        <v>82</v>
      </c>
      <c r="F11" s="193">
        <v>0.583333333333333</v>
      </c>
      <c r="G11" s="192" t="s">
        <v>69</v>
      </c>
      <c r="H11" s="269" t="s">
        <v>77</v>
      </c>
      <c r="I11" s="266" t="e">
        <f>#REF!</f>
        <v>#REF!</v>
      </c>
      <c r="J11" s="266" t="e">
        <f>#REF!</f>
        <v>#REF!</v>
      </c>
      <c r="K11" s="266" t="e">
        <f>#REF!</f>
        <v>#REF!</v>
      </c>
      <c r="L11" s="266" t="e">
        <f>#REF!</f>
        <v>#REF!</v>
      </c>
      <c r="M11" s="266" t="e">
        <f>#REF!</f>
        <v>#REF!</v>
      </c>
      <c r="N11" s="266" t="e">
        <f>#REF!</f>
        <v>#REF!</v>
      </c>
      <c r="O11" s="266" t="e">
        <f>#REF!</f>
        <v>#REF!</v>
      </c>
      <c r="P11" s="266" t="e">
        <f>#REF!</f>
        <v>#REF!</v>
      </c>
      <c r="Q11" s="171" t="s">
        <v>407</v>
      </c>
      <c r="R11" s="172"/>
      <c r="S11" s="267"/>
      <c r="T11" s="268"/>
      <c r="U11" s="268"/>
      <c r="V11" s="268"/>
      <c r="W11" s="268" t="s">
        <v>48</v>
      </c>
      <c r="X11" s="268" t="s">
        <v>111</v>
      </c>
      <c r="Y11" s="151" t="s">
        <v>408</v>
      </c>
      <c r="AA11" s="151"/>
      <c r="AB11" s="151"/>
      <c r="AD11" s="151"/>
      <c r="AE11" s="151"/>
      <c r="AF11" s="151"/>
    </row>
    <row r="12">
      <c r="A12" s="189">
        <v>105339</v>
      </c>
      <c r="B12" s="190">
        <v>6</v>
      </c>
      <c r="C12" s="192" t="s">
        <v>53</v>
      </c>
      <c r="D12" s="192">
        <v>12</v>
      </c>
      <c r="E12" s="192" t="s">
        <v>82</v>
      </c>
      <c r="F12" s="193">
        <v>0.583333333333333</v>
      </c>
      <c r="G12" s="191" t="s">
        <v>226</v>
      </c>
      <c r="H12" s="192" t="s">
        <v>55</v>
      </c>
      <c r="I12" s="266" t="e">
        <f>#REF!</f>
        <v>#REF!</v>
      </c>
      <c r="J12" s="266" t="e">
        <f>#REF!</f>
        <v>#REF!</v>
      </c>
      <c r="K12" s="266" t="e">
        <f>#REF!</f>
        <v>#REF!</v>
      </c>
      <c r="L12" s="266" t="e">
        <f>#REF!</f>
        <v>#REF!</v>
      </c>
      <c r="M12" s="266" t="e">
        <f>#REF!</f>
        <v>#REF!</v>
      </c>
      <c r="N12" s="266" t="e">
        <f>#REF!</f>
        <v>#REF!</v>
      </c>
      <c r="O12" s="266" t="e">
        <f>#REF!</f>
        <v>#REF!</v>
      </c>
      <c r="P12" s="266" t="e">
        <f>#REF!</f>
        <v>#REF!</v>
      </c>
      <c r="Q12" s="171" t="s">
        <v>409</v>
      </c>
      <c r="R12" s="172"/>
      <c r="S12" s="267"/>
      <c r="T12" s="268"/>
      <c r="U12" s="268"/>
      <c r="V12" s="268"/>
      <c r="W12" s="268" t="s">
        <v>84</v>
      </c>
      <c r="X12" s="268" t="s">
        <v>410</v>
      </c>
      <c r="Y12" s="151" t="s">
        <v>411</v>
      </c>
      <c r="Z12" s="128">
        <v>417</v>
      </c>
      <c r="AA12" s="151">
        <v>19</v>
      </c>
      <c r="AB12" s="151">
        <v>45</v>
      </c>
      <c r="AC12" s="128">
        <v>165</v>
      </c>
      <c r="AD12" s="151">
        <v>237</v>
      </c>
      <c r="AE12" s="151">
        <v>307</v>
      </c>
      <c r="AF12" s="151">
        <v>417</v>
      </c>
    </row>
    <row r="13">
      <c r="A13" s="189">
        <v>105340</v>
      </c>
      <c r="B13" s="190">
        <v>7</v>
      </c>
      <c r="C13" s="192" t="s">
        <v>53</v>
      </c>
      <c r="D13" s="192">
        <v>19</v>
      </c>
      <c r="E13" s="192" t="s">
        <v>82</v>
      </c>
      <c r="F13" s="193">
        <v>0.583333333333333</v>
      </c>
      <c r="G13" s="192" t="s">
        <v>77</v>
      </c>
      <c r="H13" s="269" t="s">
        <v>54</v>
      </c>
      <c r="I13" s="266" t="e">
        <f>#REF!</f>
        <v>#REF!</v>
      </c>
      <c r="J13" s="266" t="e">
        <f>#REF!</f>
        <v>#REF!</v>
      </c>
      <c r="K13" s="266" t="e">
        <f>#REF!</f>
        <v>#REF!</v>
      </c>
      <c r="L13" s="266" t="e">
        <f>#REF!</f>
        <v>#REF!</v>
      </c>
      <c r="M13" s="266" t="e">
        <f>#REF!</f>
        <v>#REF!</v>
      </c>
      <c r="N13" s="266" t="e">
        <f>#REF!</f>
        <v>#REF!</v>
      </c>
      <c r="O13" s="266" t="e">
        <f>#REF!</f>
        <v>#REF!</v>
      </c>
      <c r="P13" s="266" t="e">
        <f>#REF!</f>
        <v>#REF!</v>
      </c>
      <c r="Q13" s="171" t="s">
        <v>412</v>
      </c>
      <c r="R13" s="172"/>
      <c r="S13" s="267"/>
      <c r="T13" s="268"/>
      <c r="U13" s="268"/>
      <c r="V13" s="268"/>
      <c r="W13" s="272" t="s">
        <v>62</v>
      </c>
      <c r="X13" s="272" t="s">
        <v>124</v>
      </c>
      <c r="Y13" s="151" t="s">
        <v>413</v>
      </c>
      <c r="AB13" s="151"/>
      <c r="AD13" s="151"/>
      <c r="AE13" s="151"/>
      <c r="AF13" s="151"/>
    </row>
    <row r="14">
      <c r="A14" s="189">
        <v>105341</v>
      </c>
      <c r="B14" s="190">
        <v>8</v>
      </c>
      <c r="C14" s="192" t="s">
        <v>38</v>
      </c>
      <c r="D14" s="192">
        <v>25</v>
      </c>
      <c r="E14" s="192" t="s">
        <v>82</v>
      </c>
      <c r="F14" s="193">
        <v>0.625</v>
      </c>
      <c r="G14" s="192" t="s">
        <v>54</v>
      </c>
      <c r="H14" s="269" t="s">
        <v>40</v>
      </c>
      <c r="I14" s="266" t="e">
        <f>#REF!</f>
        <v>#REF!</v>
      </c>
      <c r="J14" s="266" t="e">
        <f>#REF!</f>
        <v>#REF!</v>
      </c>
      <c r="K14" s="266" t="e">
        <f>#REF!</f>
        <v>#REF!</v>
      </c>
      <c r="L14" s="266" t="e">
        <f>#REF!</f>
        <v>#REF!</v>
      </c>
      <c r="M14" s="266" t="e">
        <f>#REF!</f>
        <v>#REF!</v>
      </c>
      <c r="N14" s="266" t="e">
        <f>#REF!</f>
        <v>#REF!</v>
      </c>
      <c r="O14" s="266" t="e">
        <f>#REF!</f>
        <v>#REF!</v>
      </c>
      <c r="P14" s="266" t="e">
        <f>#REF!</f>
        <v>#REF!</v>
      </c>
      <c r="Q14" s="171" t="s">
        <v>414</v>
      </c>
      <c r="R14" s="172"/>
      <c r="S14" s="267"/>
      <c r="T14" s="268"/>
      <c r="U14" s="272"/>
      <c r="V14" s="272"/>
      <c r="W14" s="272" t="s">
        <v>66</v>
      </c>
      <c r="X14" s="272" t="s">
        <v>128</v>
      </c>
      <c r="Y14" s="151" t="s">
        <v>415</v>
      </c>
      <c r="Z14" s="128">
        <v>417</v>
      </c>
      <c r="AA14" s="151">
        <v>19</v>
      </c>
      <c r="AB14" s="151">
        <v>45</v>
      </c>
      <c r="AC14" s="128">
        <v>165</v>
      </c>
      <c r="AD14" s="151">
        <v>237</v>
      </c>
      <c r="AE14" s="151">
        <v>307</v>
      </c>
      <c r="AF14" s="151">
        <v>417</v>
      </c>
    </row>
    <row ht="16.5" customHeight="1" r="15">
      <c r="A15" s="189">
        <v>105342</v>
      </c>
      <c r="B15" s="190">
        <v>9</v>
      </c>
      <c r="C15" s="271" t="s">
        <v>416</v>
      </c>
      <c r="D15" s="192">
        <v>30</v>
      </c>
      <c r="E15" s="192" t="s">
        <v>82</v>
      </c>
      <c r="F15" s="193">
        <v>0.645833333333334</v>
      </c>
      <c r="G15" s="192" t="s">
        <v>55</v>
      </c>
      <c r="H15" s="269" t="s">
        <v>77</v>
      </c>
      <c r="I15" s="266" t="e">
        <f>#REF!</f>
        <v>#REF!</v>
      </c>
      <c r="J15" s="266" t="e">
        <f>#REF!</f>
        <v>#REF!</v>
      </c>
      <c r="K15" s="266" t="e">
        <f>#REF!</f>
        <v>#REF!</v>
      </c>
      <c r="L15" s="266" t="e">
        <f>#REF!</f>
        <v>#REF!</v>
      </c>
      <c r="M15" s="266" t="e">
        <f>#REF!</f>
        <v>#REF!</v>
      </c>
      <c r="N15" s="266" t="e">
        <f>#REF!</f>
        <v>#REF!</v>
      </c>
      <c r="O15" s="266" t="e">
        <f>#REF!</f>
        <v>#REF!</v>
      </c>
      <c r="P15" s="266" t="e">
        <f>#REF!</f>
        <v>#REF!</v>
      </c>
      <c r="Q15" s="217" t="s">
        <v>417</v>
      </c>
      <c r="R15" s="217" t="s">
        <v>418</v>
      </c>
      <c r="S15" s="267"/>
      <c r="T15" s="268"/>
      <c r="U15" s="268"/>
      <c r="V15" s="268"/>
      <c r="W15" s="268" t="s">
        <v>65</v>
      </c>
      <c r="X15" s="272" t="s">
        <v>141</v>
      </c>
      <c r="Y15" s="273" t="s">
        <v>419</v>
      </c>
      <c r="AA15" s="151"/>
      <c r="AB15" s="151"/>
      <c r="AD15" s="151"/>
      <c r="AE15" s="151"/>
      <c r="AF15" s="151"/>
    </row>
    <row r="16">
      <c r="A16" s="189">
        <v>105343</v>
      </c>
      <c r="B16" s="190">
        <v>9</v>
      </c>
      <c r="C16" s="192" t="s">
        <v>38</v>
      </c>
      <c r="D16" s="192">
        <v>1</v>
      </c>
      <c r="E16" s="192" t="s">
        <v>90</v>
      </c>
      <c r="F16" s="193">
        <v>0.583333333333333</v>
      </c>
      <c r="G16" s="192" t="s">
        <v>40</v>
      </c>
      <c r="H16" s="269" t="s">
        <v>46</v>
      </c>
      <c r="I16" s="266" t="e">
        <f>#REF!</f>
        <v>#REF!</v>
      </c>
      <c r="J16" s="266" t="e">
        <f>#REF!</f>
        <v>#REF!</v>
      </c>
      <c r="K16" s="266" t="e">
        <f>#REF!</f>
        <v>#REF!</v>
      </c>
      <c r="L16" s="266" t="e">
        <f>#REF!</f>
        <v>#REF!</v>
      </c>
      <c r="M16" s="266" t="e">
        <f>#REF!</f>
        <v>#REF!</v>
      </c>
      <c r="N16" s="266" t="e">
        <f>#REF!</f>
        <v>#REF!</v>
      </c>
      <c r="O16" s="266" t="e">
        <f>#REF!</f>
        <v>#REF!</v>
      </c>
      <c r="P16" s="266" t="e">
        <f>#REF!</f>
        <v>#REF!</v>
      </c>
      <c r="Q16" s="217" t="s">
        <v>420</v>
      </c>
      <c r="R16" s="217"/>
      <c r="S16" s="267"/>
      <c r="T16" s="268"/>
      <c r="U16" s="268"/>
      <c r="V16" s="268"/>
      <c r="W16" s="268" t="s">
        <v>79</v>
      </c>
      <c r="X16" s="272" t="s">
        <v>136</v>
      </c>
      <c r="Y16" s="273" t="s">
        <v>421</v>
      </c>
      <c r="AA16" s="151"/>
      <c r="AB16" s="151"/>
      <c r="AD16" s="151"/>
      <c r="AE16" s="151"/>
      <c r="AF16" s="151"/>
    </row>
    <row r="17">
      <c r="A17" s="189">
        <v>105344</v>
      </c>
      <c r="B17" s="190">
        <v>9</v>
      </c>
      <c r="C17" s="192" t="s">
        <v>53</v>
      </c>
      <c r="D17" s="192">
        <v>2</v>
      </c>
      <c r="E17" s="192" t="s">
        <v>90</v>
      </c>
      <c r="F17" s="193">
        <v>0.583333333333333</v>
      </c>
      <c r="G17" s="265" t="s">
        <v>226</v>
      </c>
      <c r="H17" s="192" t="s">
        <v>69</v>
      </c>
      <c r="I17" s="266" t="e">
        <f>#REF!</f>
        <v>#REF!</v>
      </c>
      <c r="J17" s="266" t="e">
        <f>#REF!</f>
        <v>#REF!</v>
      </c>
      <c r="K17" s="266" t="e">
        <f>#REF!</f>
        <v>#REF!</v>
      </c>
      <c r="L17" s="266" t="e">
        <f>#REF!</f>
        <v>#REF!</v>
      </c>
      <c r="M17" s="266" t="e">
        <f>#REF!</f>
        <v>#REF!</v>
      </c>
      <c r="N17" s="266" t="e">
        <f>#REF!</f>
        <v>#REF!</v>
      </c>
      <c r="O17" s="266" t="e">
        <f>#REF!</f>
        <v>#REF!</v>
      </c>
      <c r="P17" s="266" t="e">
        <f>#REF!</f>
        <v>#REF!</v>
      </c>
      <c r="Q17" s="217" t="s">
        <v>422</v>
      </c>
      <c r="R17" s="217" t="s">
        <v>423</v>
      </c>
      <c r="S17" s="267"/>
      <c r="T17" s="268"/>
      <c r="U17" s="272"/>
      <c r="V17" s="272"/>
      <c r="W17" s="268" t="s">
        <v>172</v>
      </c>
      <c r="X17" s="272" t="s">
        <v>171</v>
      </c>
      <c r="Y17" s="273" t="s">
        <v>424</v>
      </c>
      <c r="AA17" s="151"/>
      <c r="AB17" s="151"/>
      <c r="AD17" s="151"/>
      <c r="AE17" s="151"/>
      <c r="AF17" s="151"/>
    </row>
    <row r="18">
      <c r="A18" s="189">
        <v>105345</v>
      </c>
      <c r="B18" s="190">
        <v>10</v>
      </c>
      <c r="C18" s="192" t="s">
        <v>38</v>
      </c>
      <c r="D18" s="192">
        <v>8</v>
      </c>
      <c r="E18" s="192" t="s">
        <v>90</v>
      </c>
      <c r="F18" s="193">
        <v>0.583333333333333</v>
      </c>
      <c r="G18" s="191" t="s">
        <v>226</v>
      </c>
      <c r="H18" s="269" t="s">
        <v>77</v>
      </c>
      <c r="I18" s="266" t="e">
        <f>#REF!</f>
        <v>#REF!</v>
      </c>
      <c r="J18" s="266" t="e">
        <f>#REF!</f>
        <v>#REF!</v>
      </c>
      <c r="K18" s="266" t="e">
        <f>#REF!</f>
        <v>#REF!</v>
      </c>
      <c r="L18" s="266" t="e">
        <f>#REF!</f>
        <v>#REF!</v>
      </c>
      <c r="M18" s="266" t="e">
        <f>#REF!</f>
        <v>#REF!</v>
      </c>
      <c r="N18" s="266" t="e">
        <f>#REF!</f>
        <v>#REF!</v>
      </c>
      <c r="O18" s="266" t="e">
        <f>#REF!</f>
        <v>#REF!</v>
      </c>
      <c r="P18" s="266" t="e">
        <f>#REF!</f>
        <v>#REF!</v>
      </c>
      <c r="Q18" s="171" t="s">
        <v>425</v>
      </c>
      <c r="R18" s="172"/>
      <c r="S18" s="267"/>
      <c r="T18" s="268"/>
      <c r="U18" s="272"/>
      <c r="V18" s="272"/>
      <c r="W18" s="268" t="s">
        <v>140</v>
      </c>
      <c r="X18" s="272" t="s">
        <v>139</v>
      </c>
      <c r="Y18" s="273" t="s">
        <v>426</v>
      </c>
      <c r="AA18" s="151"/>
      <c r="AB18" s="151"/>
      <c r="AD18" s="151"/>
      <c r="AE18" s="151"/>
      <c r="AF18" s="151"/>
    </row>
    <row r="19">
      <c r="A19" s="189">
        <v>105346</v>
      </c>
      <c r="B19" s="190">
        <v>10</v>
      </c>
      <c r="C19" s="192" t="s">
        <v>53</v>
      </c>
      <c r="D19" s="192">
        <v>9</v>
      </c>
      <c r="E19" s="192" t="s">
        <v>90</v>
      </c>
      <c r="F19" s="193">
        <v>0.583333333333333</v>
      </c>
      <c r="G19" s="192" t="s">
        <v>46</v>
      </c>
      <c r="H19" s="265" t="s">
        <v>69</v>
      </c>
      <c r="I19" s="266" t="e">
        <f>#REF!</f>
        <v>#REF!</v>
      </c>
      <c r="J19" s="266" t="e">
        <f>#REF!</f>
        <v>#REF!</v>
      </c>
      <c r="K19" s="266" t="e">
        <f>#REF!</f>
        <v>#REF!</v>
      </c>
      <c r="L19" s="266" t="e">
        <f>#REF!</f>
        <v>#REF!</v>
      </c>
      <c r="M19" s="266" t="e">
        <f>#REF!</f>
        <v>#REF!</v>
      </c>
      <c r="N19" s="266" t="e">
        <f>#REF!</f>
        <v>#REF!</v>
      </c>
      <c r="O19" s="266" t="e">
        <f>#REF!</f>
        <v>#REF!</v>
      </c>
      <c r="P19" s="266" t="e">
        <f>#REF!</f>
        <v>#REF!</v>
      </c>
      <c r="Q19" s="171" t="s">
        <v>427</v>
      </c>
      <c r="R19" s="172"/>
      <c r="S19" s="267"/>
      <c r="T19" s="268"/>
      <c r="U19" s="272"/>
      <c r="V19" s="272"/>
      <c r="W19" s="268" t="s">
        <v>83</v>
      </c>
      <c r="X19" s="272" t="s">
        <v>129</v>
      </c>
      <c r="Y19" s="273" t="s">
        <v>428</v>
      </c>
      <c r="AA19" s="151"/>
      <c r="AB19" s="151"/>
      <c r="AD19" s="151"/>
      <c r="AE19" s="151"/>
      <c r="AF19" s="151"/>
    </row>
    <row r="20">
      <c r="A20" s="189">
        <v>105347</v>
      </c>
      <c r="B20" s="190">
        <v>11</v>
      </c>
      <c r="C20" s="192" t="s">
        <v>38</v>
      </c>
      <c r="D20" s="192">
        <v>15</v>
      </c>
      <c r="E20" s="192" t="s">
        <v>90</v>
      </c>
      <c r="F20" s="193">
        <v>0.583333333333333</v>
      </c>
      <c r="G20" s="192" t="s">
        <v>69</v>
      </c>
      <c r="H20" s="269" t="s">
        <v>54</v>
      </c>
      <c r="I20" s="266" t="e">
        <f>#REF!</f>
        <v>#REF!</v>
      </c>
      <c r="J20" s="266" t="e">
        <f>#REF!</f>
        <v>#REF!</v>
      </c>
      <c r="K20" s="266" t="e">
        <f>#REF!</f>
        <v>#REF!</v>
      </c>
      <c r="L20" s="266" t="e">
        <f>#REF!</f>
        <v>#REF!</v>
      </c>
      <c r="M20" s="266" t="e">
        <f>#REF!</f>
        <v>#REF!</v>
      </c>
      <c r="N20" s="266" t="e">
        <f>#REF!</f>
        <v>#REF!</v>
      </c>
      <c r="O20" s="266" t="e">
        <f>#REF!</f>
        <v>#REF!</v>
      </c>
      <c r="P20" s="266" t="e">
        <f>#REF!</f>
        <v>#REF!</v>
      </c>
      <c r="Q20" s="217" t="s">
        <v>429</v>
      </c>
      <c r="R20" s="172"/>
      <c r="S20" s="267"/>
      <c r="T20" s="268"/>
      <c r="U20" s="272"/>
      <c r="V20" s="272"/>
      <c r="W20" s="268" t="s">
        <v>63</v>
      </c>
      <c r="X20" s="272" t="s">
        <v>110</v>
      </c>
      <c r="Y20" s="273" t="s">
        <v>430</v>
      </c>
      <c r="AA20" s="272"/>
      <c r="AB20" s="268"/>
      <c r="AD20" s="272"/>
      <c r="AE20" s="272"/>
      <c r="AF20" s="272"/>
    </row>
    <row r="21">
      <c r="A21" s="189">
        <v>105348</v>
      </c>
      <c r="B21" s="190">
        <v>11</v>
      </c>
      <c r="C21" s="192" t="s">
        <v>38</v>
      </c>
      <c r="D21" s="192">
        <v>15</v>
      </c>
      <c r="E21" s="192" t="s">
        <v>90</v>
      </c>
      <c r="F21" s="193">
        <v>0.708333333333333</v>
      </c>
      <c r="G21" s="192" t="s">
        <v>55</v>
      </c>
      <c r="H21" s="269" t="s">
        <v>40</v>
      </c>
      <c r="I21" s="266" t="e">
        <f>#REF!</f>
        <v>#REF!</v>
      </c>
      <c r="J21" s="266" t="e">
        <f>#REF!</f>
        <v>#REF!</v>
      </c>
      <c r="K21" s="266" t="e">
        <f>#REF!</f>
        <v>#REF!</v>
      </c>
      <c r="L21" s="266" t="e">
        <f>#REF!</f>
        <v>#REF!</v>
      </c>
      <c r="M21" s="266" t="e">
        <f>#REF!</f>
        <v>#REF!</v>
      </c>
      <c r="N21" s="266" t="e">
        <f>#REF!</f>
        <v>#REF!</v>
      </c>
      <c r="O21" s="266" t="e">
        <f>#REF!</f>
        <v>#REF!</v>
      </c>
      <c r="P21" s="266" t="e">
        <f>#REF!</f>
        <v>#REF!</v>
      </c>
      <c r="Q21" s="171" t="s">
        <v>431</v>
      </c>
      <c r="R21" s="172"/>
      <c r="S21" s="267"/>
      <c r="T21" s="268"/>
      <c r="U21" s="272"/>
      <c r="V21" s="272"/>
      <c r="W21" s="268" t="s">
        <v>195</v>
      </c>
      <c r="X21" s="272" t="s">
        <v>432</v>
      </c>
      <c r="Y21" s="273" t="s">
        <v>433</v>
      </c>
      <c r="AA21" s="272"/>
      <c r="AB21" s="268"/>
      <c r="AD21" s="272"/>
      <c r="AE21" s="272"/>
      <c r="AF21" s="272"/>
    </row>
    <row r="22">
      <c r="A22" s="189">
        <v>105349</v>
      </c>
      <c r="B22" s="190">
        <v>12</v>
      </c>
      <c r="C22" s="192" t="s">
        <v>38</v>
      </c>
      <c r="D22" s="192">
        <v>22</v>
      </c>
      <c r="E22" s="192" t="s">
        <v>90</v>
      </c>
      <c r="F22" s="193">
        <v>0.583333333333333</v>
      </c>
      <c r="G22" s="192" t="s">
        <v>226</v>
      </c>
      <c r="H22" s="191" t="s">
        <v>40</v>
      </c>
      <c r="I22" s="266" t="e">
        <f>#REF!</f>
        <v>#REF!</v>
      </c>
      <c r="J22" s="266" t="e">
        <f>#REF!</f>
        <v>#REF!</v>
      </c>
      <c r="K22" s="266" t="e">
        <f>#REF!</f>
        <v>#REF!</v>
      </c>
      <c r="L22" s="266" t="e">
        <f>#REF!</f>
        <v>#REF!</v>
      </c>
      <c r="M22" s="266" t="e">
        <f>#REF!</f>
        <v>#REF!</v>
      </c>
      <c r="N22" s="266" t="e">
        <f>#REF!</f>
        <v>#REF!</v>
      </c>
      <c r="O22" s="266" t="e">
        <f>#REF!</f>
        <v>#REF!</v>
      </c>
      <c r="P22" s="266" t="e">
        <f>#REF!</f>
        <v>#REF!</v>
      </c>
      <c r="Q22" s="171" t="s">
        <v>434</v>
      </c>
      <c r="R22" s="188"/>
      <c r="S22" s="274"/>
      <c r="T22" s="268"/>
      <c r="U22" s="272"/>
      <c r="V22" s="272"/>
      <c r="W22" s="268" t="s">
        <v>42</v>
      </c>
      <c r="X22" s="272" t="s">
        <v>123</v>
      </c>
      <c r="Y22" s="273" t="s">
        <v>435</v>
      </c>
      <c r="AA22" s="272"/>
      <c r="AB22" s="268"/>
      <c r="AD22" s="272"/>
      <c r="AE22" s="272"/>
      <c r="AF22" s="272"/>
    </row>
    <row r="23">
      <c r="A23" s="189">
        <v>105350</v>
      </c>
      <c r="B23" s="190">
        <v>12</v>
      </c>
      <c r="C23" s="192" t="s">
        <v>53</v>
      </c>
      <c r="D23" s="192">
        <v>23</v>
      </c>
      <c r="E23" s="192" t="s">
        <v>90</v>
      </c>
      <c r="F23" s="193">
        <v>0.583333333333333</v>
      </c>
      <c r="G23" s="192" t="s">
        <v>54</v>
      </c>
      <c r="H23" s="265" t="s">
        <v>55</v>
      </c>
      <c r="I23" s="266" t="e">
        <f>#REF!</f>
        <v>#REF!</v>
      </c>
      <c r="J23" s="266" t="e">
        <f>#REF!</f>
        <v>#REF!</v>
      </c>
      <c r="K23" s="266" t="e">
        <f>#REF!</f>
        <v>#REF!</v>
      </c>
      <c r="L23" s="266" t="e">
        <f>#REF!</f>
        <v>#REF!</v>
      </c>
      <c r="M23" s="266" t="e">
        <f>#REF!</f>
        <v>#REF!</v>
      </c>
      <c r="N23" s="266" t="e">
        <f>#REF!</f>
        <v>#REF!</v>
      </c>
      <c r="O23" s="266" t="e">
        <f>#REF!</f>
        <v>#REF!</v>
      </c>
      <c r="P23" s="266" t="e">
        <f>#REF!</f>
        <v>#REF!</v>
      </c>
      <c r="Q23" s="171" t="s">
        <v>436</v>
      </c>
      <c r="R23" s="188"/>
      <c r="S23" s="274"/>
      <c r="T23" s="268"/>
      <c r="U23" s="272"/>
      <c r="V23" s="272"/>
      <c r="W23" s="272" t="s">
        <v>127</v>
      </c>
      <c r="X23" s="272" t="s">
        <v>250</v>
      </c>
      <c r="Y23" s="151" t="s">
        <v>395</v>
      </c>
      <c r="Z23" s="128">
        <v>104</v>
      </c>
      <c r="AA23" s="151">
        <v>109</v>
      </c>
      <c r="AB23" s="151">
        <v>78</v>
      </c>
      <c r="AC23" s="128">
        <v>71</v>
      </c>
      <c r="AD23" s="151">
        <v>145</v>
      </c>
      <c r="AE23" s="151">
        <v>213</v>
      </c>
      <c r="AF23" s="151">
        <v>323</v>
      </c>
    </row>
    <row r="24">
      <c r="A24" s="189">
        <v>105351</v>
      </c>
      <c r="B24" s="190">
        <v>13</v>
      </c>
      <c r="C24" s="192" t="s">
        <v>38</v>
      </c>
      <c r="D24" s="192">
        <v>29</v>
      </c>
      <c r="E24" s="192" t="s">
        <v>90</v>
      </c>
      <c r="F24" s="193">
        <v>0.583333333333333</v>
      </c>
      <c r="G24" s="192" t="s">
        <v>77</v>
      </c>
      <c r="H24" s="192" t="s">
        <v>46</v>
      </c>
      <c r="I24" s="266" t="e">
        <f>#REF!</f>
        <v>#REF!</v>
      </c>
      <c r="J24" s="266" t="e">
        <f>#REF!</f>
        <v>#REF!</v>
      </c>
      <c r="K24" s="266" t="e">
        <f>#REF!</f>
        <v>#REF!</v>
      </c>
      <c r="L24" s="266" t="e">
        <f>#REF!</f>
        <v>#REF!</v>
      </c>
      <c r="M24" s="266" t="e">
        <f>#REF!</f>
        <v>#REF!</v>
      </c>
      <c r="N24" s="266" t="e">
        <f>#REF!</f>
        <v>#REF!</v>
      </c>
      <c r="O24" s="266" t="e">
        <f>#REF!</f>
        <v>#REF!</v>
      </c>
      <c r="P24" s="266" t="e">
        <f>#REF!</f>
        <v>#REF!</v>
      </c>
      <c r="Q24" s="171" t="s">
        <v>437</v>
      </c>
      <c r="R24" s="188"/>
      <c r="S24" s="274"/>
      <c r="T24" s="268"/>
      <c r="U24" s="272"/>
      <c r="V24" s="272"/>
      <c r="W24" s="272" t="s">
        <v>189</v>
      </c>
      <c r="X24" s="272" t="s">
        <v>188</v>
      </c>
      <c r="Y24" s="151" t="s">
        <v>433</v>
      </c>
      <c r="AA24" s="272"/>
      <c r="AB24" s="268"/>
      <c r="AD24" s="272"/>
      <c r="AE24" s="272"/>
      <c r="AF24" s="272"/>
    </row>
    <row r="25">
      <c r="A25" s="189">
        <v>105352</v>
      </c>
      <c r="B25" s="190">
        <v>14</v>
      </c>
      <c r="C25" s="192" t="s">
        <v>38</v>
      </c>
      <c r="D25" s="192">
        <v>3</v>
      </c>
      <c r="E25" s="192" t="s">
        <v>91</v>
      </c>
      <c r="F25" s="193">
        <v>0.583333333333333</v>
      </c>
      <c r="G25" s="192" t="s">
        <v>46</v>
      </c>
      <c r="H25" s="269" t="s">
        <v>77</v>
      </c>
      <c r="I25" s="266" t="e">
        <f>#REF!</f>
        <v>#REF!</v>
      </c>
      <c r="J25" s="266" t="e">
        <f>#REF!</f>
        <v>#REF!</v>
      </c>
      <c r="K25" s="266" t="e">
        <f>#REF!</f>
        <v>#REF!</v>
      </c>
      <c r="L25" s="266" t="e">
        <f>#REF!</f>
        <v>#REF!</v>
      </c>
      <c r="M25" s="266" t="e">
        <f>#REF!</f>
        <v>#REF!</v>
      </c>
      <c r="N25" s="266" t="e">
        <f>#REF!</f>
        <v>#REF!</v>
      </c>
      <c r="O25" s="266" t="e">
        <f>#REF!</f>
        <v>#REF!</v>
      </c>
      <c r="P25" s="266" t="e">
        <f>#REF!</f>
        <v>#REF!</v>
      </c>
      <c r="Q25" s="171"/>
      <c r="R25" s="188"/>
      <c r="S25" s="274"/>
      <c r="T25" s="268"/>
      <c r="U25" s="272"/>
      <c r="V25" s="272"/>
      <c r="W25" s="272" t="s">
        <v>88</v>
      </c>
      <c r="X25" s="272" t="s">
        <v>125</v>
      </c>
      <c r="Y25" s="151" t="s">
        <v>438</v>
      </c>
      <c r="Z25" s="128">
        <v>417</v>
      </c>
      <c r="AA25" s="151">
        <v>19</v>
      </c>
      <c r="AB25" s="151">
        <v>45</v>
      </c>
      <c r="AC25" s="128">
        <v>165</v>
      </c>
      <c r="AD25" s="151">
        <v>237</v>
      </c>
      <c r="AE25" s="151">
        <v>307</v>
      </c>
      <c r="AF25" s="151">
        <v>417</v>
      </c>
    </row>
    <row r="26">
      <c r="A26" s="189">
        <v>105354</v>
      </c>
      <c r="B26" s="190">
        <v>16</v>
      </c>
      <c r="C26" s="192" t="s">
        <v>38</v>
      </c>
      <c r="D26" s="192">
        <v>17</v>
      </c>
      <c r="E26" s="192" t="s">
        <v>91</v>
      </c>
      <c r="F26" s="193">
        <v>0.583333333333333</v>
      </c>
      <c r="G26" s="192" t="s">
        <v>46</v>
      </c>
      <c r="H26" s="192" t="s">
        <v>54</v>
      </c>
      <c r="I26" s="266" t="e">
        <f>#REF!</f>
        <v>#REF!</v>
      </c>
      <c r="J26" s="266" t="e">
        <f>#REF!</f>
        <v>#REF!</v>
      </c>
      <c r="K26" s="266" t="e">
        <f>#REF!</f>
        <v>#REF!</v>
      </c>
      <c r="L26" s="266" t="e">
        <f>#REF!</f>
        <v>#REF!</v>
      </c>
      <c r="M26" s="266" t="e">
        <f>#REF!</f>
        <v>#REF!</v>
      </c>
      <c r="N26" s="266" t="e">
        <f>#REF!</f>
        <v>#REF!</v>
      </c>
      <c r="O26" s="266" t="e">
        <f>#REF!</f>
        <v>#REF!</v>
      </c>
      <c r="P26" s="266" t="e">
        <f>#REF!</f>
        <v>#REF!</v>
      </c>
      <c r="Q26" s="171"/>
      <c r="R26" s="172"/>
      <c r="S26" s="267"/>
      <c r="T26" s="268"/>
      <c r="U26" s="272"/>
      <c r="V26" s="272"/>
      <c r="W26" s="268" t="s">
        <v>159</v>
      </c>
      <c r="X26" s="268" t="s">
        <v>158</v>
      </c>
      <c r="Y26" s="151" t="s">
        <v>439</v>
      </c>
      <c r="AA26" s="272"/>
      <c r="AB26" s="268"/>
      <c r="AD26" s="272"/>
      <c r="AE26" s="272"/>
      <c r="AF26" s="272"/>
    </row>
    <row r="27">
      <c r="A27" s="189">
        <v>105353</v>
      </c>
      <c r="B27" s="190">
        <v>16</v>
      </c>
      <c r="C27" s="192" t="s">
        <v>38</v>
      </c>
      <c r="D27" s="192">
        <v>17</v>
      </c>
      <c r="E27" s="192" t="s">
        <v>91</v>
      </c>
      <c r="F27" s="193">
        <v>0.583333333333333</v>
      </c>
      <c r="G27" s="191" t="s">
        <v>40</v>
      </c>
      <c r="H27" s="269" t="s">
        <v>55</v>
      </c>
      <c r="I27" s="266" t="e">
        <f>#REF!</f>
        <v>#REF!</v>
      </c>
      <c r="J27" s="266" t="e">
        <f>#REF!</f>
        <v>#REF!</v>
      </c>
      <c r="K27" s="266" t="e">
        <f>#REF!</f>
        <v>#REF!</v>
      </c>
      <c r="L27" s="266" t="e">
        <f>#REF!</f>
        <v>#REF!</v>
      </c>
      <c r="M27" s="266" t="e">
        <f>#REF!</f>
        <v>#REF!</v>
      </c>
      <c r="N27" s="266" t="e">
        <f>#REF!</f>
        <v>#REF!</v>
      </c>
      <c r="O27" s="266" t="e">
        <f>#REF!</f>
        <v>#REF!</v>
      </c>
      <c r="P27" s="266" t="e">
        <f>#REF!</f>
        <v>#REF!</v>
      </c>
      <c r="Q27" s="171"/>
      <c r="R27" s="172"/>
      <c r="S27" s="267"/>
      <c r="T27" s="268"/>
      <c r="U27" s="272"/>
      <c r="V27" s="272"/>
      <c r="W27" s="268" t="s">
        <v>49</v>
      </c>
      <c r="X27" s="268" t="s">
        <v>118</v>
      </c>
      <c r="Y27" s="151" t="s">
        <v>426</v>
      </c>
      <c r="AA27" s="272"/>
      <c r="AB27" s="268"/>
      <c r="AD27" s="272"/>
      <c r="AE27" s="272"/>
      <c r="AF27" s="272"/>
    </row>
    <row r="28">
      <c r="A28" s="189">
        <v>105355</v>
      </c>
      <c r="B28" s="190">
        <v>16</v>
      </c>
      <c r="C28" s="192" t="s">
        <v>53</v>
      </c>
      <c r="D28" s="192">
        <v>18</v>
      </c>
      <c r="E28" s="192" t="s">
        <v>91</v>
      </c>
      <c r="F28" s="193">
        <v>0.583333333333333</v>
      </c>
      <c r="G28" s="192" t="s">
        <v>69</v>
      </c>
      <c r="H28" s="269" t="s">
        <v>226</v>
      </c>
      <c r="I28" s="266" t="e">
        <f>#REF!</f>
        <v>#REF!</v>
      </c>
      <c r="J28" s="266" t="e">
        <f>#REF!</f>
        <v>#REF!</v>
      </c>
      <c r="K28" s="266" t="e">
        <f>#REF!</f>
        <v>#REF!</v>
      </c>
      <c r="L28" s="266" t="e">
        <f>#REF!</f>
        <v>#REF!</v>
      </c>
      <c r="M28" s="266" t="e">
        <f>#REF!</f>
        <v>#REF!</v>
      </c>
      <c r="N28" s="266" t="e">
        <f>#REF!</f>
        <v>#REF!</v>
      </c>
      <c r="O28" s="266" t="e">
        <f>#REF!</f>
        <v>#REF!</v>
      </c>
      <c r="P28" s="266" t="e">
        <f>#REF!</f>
        <v>#REF!</v>
      </c>
      <c r="Q28" s="183" t="s">
        <v>440</v>
      </c>
      <c r="R28" s="172"/>
      <c r="S28" s="267"/>
      <c r="T28" s="268"/>
      <c r="U28" s="272"/>
      <c r="V28" s="272"/>
      <c r="W28" s="268" t="s">
        <v>282</v>
      </c>
      <c r="X28" s="268" t="s">
        <v>441</v>
      </c>
      <c r="Y28" s="151" t="s">
        <v>442</v>
      </c>
      <c r="AA28" s="151"/>
      <c r="AB28" s="151"/>
      <c r="AD28" s="151"/>
      <c r="AE28" s="151"/>
      <c r="AF28" s="151"/>
    </row>
    <row r="29">
      <c r="A29" s="189">
        <v>105356</v>
      </c>
      <c r="B29" s="190">
        <v>17</v>
      </c>
      <c r="C29" s="271" t="s">
        <v>81</v>
      </c>
      <c r="D29" s="192">
        <v>23</v>
      </c>
      <c r="E29" s="192" t="s">
        <v>91</v>
      </c>
      <c r="F29" s="193">
        <v>0.791666666666667</v>
      </c>
      <c r="G29" s="265" t="s">
        <v>54</v>
      </c>
      <c r="H29" s="269" t="s">
        <v>77</v>
      </c>
      <c r="I29" s="266" t="e">
        <f>#REF!</f>
        <v>#REF!</v>
      </c>
      <c r="J29" s="266" t="e">
        <f>#REF!</f>
        <v>#REF!</v>
      </c>
      <c r="K29" s="266" t="e">
        <f>#REF!</f>
        <v>#REF!</v>
      </c>
      <c r="L29" s="266" t="e">
        <f>#REF!</f>
        <v>#REF!</v>
      </c>
      <c r="M29" s="266" t="e">
        <f>#REF!</f>
        <v>#REF!</v>
      </c>
      <c r="N29" s="266" t="e">
        <f>#REF!</f>
        <v>#REF!</v>
      </c>
      <c r="O29" s="266" t="e">
        <f>#REF!</f>
        <v>#REF!</v>
      </c>
      <c r="P29" s="266" t="e">
        <f>#REF!</f>
        <v>#REF!</v>
      </c>
      <c r="Q29" s="171" t="s">
        <v>443</v>
      </c>
      <c r="R29" s="172"/>
      <c r="S29" s="267"/>
      <c r="T29" s="268"/>
      <c r="U29" s="272"/>
      <c r="V29" s="272"/>
      <c r="W29" s="268" t="s">
        <v>278</v>
      </c>
      <c r="X29" s="268" t="s">
        <v>279</v>
      </c>
      <c r="Y29" s="151" t="s">
        <v>444</v>
      </c>
      <c r="AA29" s="151"/>
      <c r="AB29" s="151"/>
      <c r="AD29" s="151"/>
      <c r="AE29" s="151"/>
      <c r="AF29" s="151"/>
    </row>
    <row r="30">
      <c r="A30" s="189">
        <v>105357</v>
      </c>
      <c r="B30" s="190">
        <v>17</v>
      </c>
      <c r="C30" s="192" t="s">
        <v>38</v>
      </c>
      <c r="D30" s="192">
        <v>24</v>
      </c>
      <c r="E30" s="192" t="s">
        <v>91</v>
      </c>
      <c r="F30" s="193">
        <v>0.583333333333333</v>
      </c>
      <c r="G30" s="192" t="s">
        <v>69</v>
      </c>
      <c r="H30" s="269" t="s">
        <v>55</v>
      </c>
      <c r="I30" s="266" t="e">
        <f>#REF!</f>
        <v>#REF!</v>
      </c>
      <c r="J30" s="266" t="e">
        <f>#REF!</f>
        <v>#REF!</v>
      </c>
      <c r="K30" s="266" t="e">
        <f>#REF!</f>
        <v>#REF!</v>
      </c>
      <c r="L30" s="266" t="e">
        <f>#REF!</f>
        <v>#REF!</v>
      </c>
      <c r="M30" s="266" t="e">
        <f>#REF!</f>
        <v>#REF!</v>
      </c>
      <c r="N30" s="266" t="e">
        <f>#REF!</f>
        <v>#REF!</v>
      </c>
      <c r="O30" s="266" t="e">
        <f>#REF!</f>
        <v>#REF!</v>
      </c>
      <c r="P30" s="266" t="e">
        <f>#REF!</f>
        <v>#REF!</v>
      </c>
      <c r="Q30" s="171" t="s">
        <v>445</v>
      </c>
      <c r="R30" s="172"/>
      <c r="S30" s="267"/>
      <c r="T30" s="268"/>
      <c r="U30" s="272"/>
      <c r="V30" s="272"/>
      <c r="AA30" s="151"/>
      <c r="AB30" s="151"/>
      <c r="AD30" s="151"/>
      <c r="AE30" s="151"/>
      <c r="AF30" s="151"/>
    </row>
    <row r="31">
      <c r="A31" s="189">
        <v>105358</v>
      </c>
      <c r="B31" s="190">
        <v>17</v>
      </c>
      <c r="C31" s="192" t="s">
        <v>53</v>
      </c>
      <c r="D31" s="192">
        <v>25</v>
      </c>
      <c r="E31" s="192" t="s">
        <v>91</v>
      </c>
      <c r="F31" s="193">
        <v>0.583333333333333</v>
      </c>
      <c r="G31" s="265" t="s">
        <v>226</v>
      </c>
      <c r="H31" s="191" t="s">
        <v>46</v>
      </c>
      <c r="I31" s="266" t="e">
        <f>#REF!</f>
        <v>#REF!</v>
      </c>
      <c r="J31" s="266" t="e">
        <f>#REF!</f>
        <v>#REF!</v>
      </c>
      <c r="K31" s="266" t="e">
        <f>#REF!</f>
        <v>#REF!</v>
      </c>
      <c r="L31" s="266" t="e">
        <f>#REF!</f>
        <v>#REF!</v>
      </c>
      <c r="M31" s="266" t="e">
        <f>#REF!</f>
        <v>#REF!</v>
      </c>
      <c r="N31" s="266" t="e">
        <f>#REF!</f>
        <v>#REF!</v>
      </c>
      <c r="O31" s="266" t="e">
        <f>#REF!</f>
        <v>#REF!</v>
      </c>
      <c r="P31" s="266" t="e">
        <f>#REF!</f>
        <v>#REF!</v>
      </c>
      <c r="Q31" s="171" t="s">
        <v>261</v>
      </c>
      <c r="R31" s="172"/>
      <c r="S31" s="267"/>
      <c r="T31" s="268"/>
      <c r="U31" s="272"/>
      <c r="V31" s="272"/>
      <c r="AA31" s="151"/>
      <c r="AB31" s="151"/>
      <c r="AD31" s="151"/>
      <c r="AE31" s="151"/>
      <c r="AF31" s="151"/>
    </row>
    <row r="32">
      <c r="A32" s="189">
        <v>105359</v>
      </c>
      <c r="B32" s="190">
        <v>18</v>
      </c>
      <c r="C32" s="192" t="s">
        <v>38</v>
      </c>
      <c r="D32" s="192">
        <v>31</v>
      </c>
      <c r="E32" s="192" t="s">
        <v>91</v>
      </c>
      <c r="F32" s="193">
        <v>0.583333333333333</v>
      </c>
      <c r="G32" s="192" t="s">
        <v>55</v>
      </c>
      <c r="H32" s="269" t="s">
        <v>54</v>
      </c>
      <c r="I32" s="266" t="e">
        <f>#REF!</f>
        <v>#REF!</v>
      </c>
      <c r="J32" s="266" t="e">
        <f>#REF!</f>
        <v>#REF!</v>
      </c>
      <c r="K32" s="266" t="e">
        <f>#REF!</f>
        <v>#REF!</v>
      </c>
      <c r="L32" s="266" t="e">
        <f>#REF!</f>
        <v>#REF!</v>
      </c>
      <c r="M32" s="266" t="e">
        <f>#REF!</f>
        <v>#REF!</v>
      </c>
      <c r="N32" s="266" t="e">
        <f>#REF!</f>
        <v>#REF!</v>
      </c>
      <c r="O32" s="266" t="e">
        <f>#REF!</f>
        <v>#REF!</v>
      </c>
      <c r="P32" s="266" t="e">
        <f>#REF!</f>
        <v>#REF!</v>
      </c>
      <c r="Q32" s="171" t="s">
        <v>446</v>
      </c>
      <c r="R32" s="172"/>
      <c r="S32" s="267"/>
      <c r="T32" s="268"/>
      <c r="U32" s="272"/>
      <c r="V32" s="272"/>
      <c r="AA32" s="151"/>
      <c r="AB32" s="151"/>
      <c r="AD32" s="151"/>
      <c r="AE32" s="151"/>
      <c r="AF32" s="151"/>
    </row>
    <row r="33">
      <c r="A33" s="189">
        <v>105360</v>
      </c>
      <c r="B33" s="190">
        <v>18</v>
      </c>
      <c r="C33" s="192" t="s">
        <v>53</v>
      </c>
      <c r="D33" s="192">
        <v>1</v>
      </c>
      <c r="E33" s="192" t="s">
        <v>447</v>
      </c>
      <c r="F33" s="193">
        <v>0.583333333333333</v>
      </c>
      <c r="G33" s="192" t="s">
        <v>40</v>
      </c>
      <c r="H33" s="269" t="s">
        <v>69</v>
      </c>
      <c r="I33" s="266" t="e">
        <f>#REF!</f>
        <v>#REF!</v>
      </c>
      <c r="J33" s="266" t="e">
        <f>#REF!</f>
        <v>#REF!</v>
      </c>
      <c r="K33" s="266" t="e">
        <f>#REF!</f>
        <v>#REF!</v>
      </c>
      <c r="L33" s="266" t="e">
        <f>#REF!</f>
        <v>#REF!</v>
      </c>
      <c r="M33" s="266" t="e">
        <f>#REF!</f>
        <v>#REF!</v>
      </c>
      <c r="N33" s="266" t="e">
        <f>#REF!</f>
        <v>#REF!</v>
      </c>
      <c r="O33" s="266" t="e">
        <f>#REF!</f>
        <v>#REF!</v>
      </c>
      <c r="P33" s="266" t="e">
        <f>#REF!</f>
        <v>#REF!</v>
      </c>
      <c r="Q33" s="171" t="s">
        <v>448</v>
      </c>
      <c r="R33" s="172"/>
      <c r="S33" s="267"/>
      <c r="T33" s="268"/>
      <c r="U33" s="272"/>
      <c r="V33" s="272"/>
      <c r="AA33" s="151"/>
      <c r="AB33" s="151"/>
      <c r="AD33" s="151"/>
      <c r="AE33" s="151"/>
      <c r="AF33" s="151"/>
    </row>
    <row r="34">
      <c r="A34" s="189">
        <v>105361</v>
      </c>
      <c r="B34" s="190">
        <v>19</v>
      </c>
      <c r="C34" s="192" t="s">
        <v>38</v>
      </c>
      <c r="D34" s="192">
        <v>7</v>
      </c>
      <c r="E34" s="192" t="s">
        <v>447</v>
      </c>
      <c r="F34" s="193">
        <v>0.583333333333333</v>
      </c>
      <c r="G34" s="192" t="s">
        <v>77</v>
      </c>
      <c r="H34" s="269" t="s">
        <v>40</v>
      </c>
      <c r="I34" s="266" t="e">
        <f>#REF!</f>
        <v>#REF!</v>
      </c>
      <c r="J34" s="266" t="e">
        <f>#REF!</f>
        <v>#REF!</v>
      </c>
      <c r="K34" s="266" t="e">
        <f>#REF!</f>
        <v>#REF!</v>
      </c>
      <c r="L34" s="266" t="e">
        <f>#REF!</f>
        <v>#REF!</v>
      </c>
      <c r="M34" s="266" t="e">
        <f>#REF!</f>
        <v>#REF!</v>
      </c>
      <c r="N34" s="266" t="e">
        <f>#REF!</f>
        <v>#REF!</v>
      </c>
      <c r="O34" s="266" t="e">
        <f>#REF!</f>
        <v>#REF!</v>
      </c>
      <c r="P34" s="266" t="e">
        <f>#REF!</f>
        <v>#REF!</v>
      </c>
      <c r="Q34" s="171"/>
      <c r="R34" s="172"/>
      <c r="S34" s="267"/>
      <c r="T34" s="268"/>
      <c r="U34" s="272"/>
      <c r="V34" s="272"/>
      <c r="AA34" s="151"/>
      <c r="AB34" s="151"/>
      <c r="AD34" s="151"/>
      <c r="AE34" s="151"/>
      <c r="AF34" s="151"/>
    </row>
    <row r="35">
      <c r="A35" s="189">
        <v>105363</v>
      </c>
      <c r="B35" s="190">
        <v>19</v>
      </c>
      <c r="C35" s="192" t="s">
        <v>53</v>
      </c>
      <c r="D35" s="192">
        <v>8</v>
      </c>
      <c r="E35" s="192" t="s">
        <v>447</v>
      </c>
      <c r="F35" s="193">
        <v>0.583333333333333</v>
      </c>
      <c r="G35" s="192" t="s">
        <v>55</v>
      </c>
      <c r="H35" s="192" t="s">
        <v>46</v>
      </c>
      <c r="I35" s="266" t="e">
        <f>#REF!</f>
        <v>#REF!</v>
      </c>
      <c r="J35" s="266" t="e">
        <f>#REF!</f>
        <v>#REF!</v>
      </c>
      <c r="K35" s="266" t="e">
        <f>#REF!</f>
        <v>#REF!</v>
      </c>
      <c r="L35" s="266" t="e">
        <f>#REF!</f>
        <v>#REF!</v>
      </c>
      <c r="M35" s="266" t="e">
        <f>#REF!</f>
        <v>#REF!</v>
      </c>
      <c r="N35" s="266" t="e">
        <f>#REF!</f>
        <v>#REF!</v>
      </c>
      <c r="O35" s="266" t="e">
        <f>#REF!</f>
        <v>#REF!</v>
      </c>
      <c r="P35" s="266" t="e">
        <f>#REF!</f>
        <v>#REF!</v>
      </c>
      <c r="Q35" s="220"/>
      <c r="R35" s="172"/>
      <c r="S35" s="267"/>
      <c r="T35" s="268"/>
      <c r="U35" s="268"/>
      <c r="V35" s="268"/>
      <c r="AA35" s="151"/>
      <c r="AB35" s="151"/>
      <c r="AD35" s="151"/>
      <c r="AE35" s="151"/>
      <c r="AF35" s="151"/>
    </row>
    <row r="36">
      <c r="A36" s="189">
        <v>105362</v>
      </c>
      <c r="B36" s="190">
        <v>19</v>
      </c>
      <c r="C36" s="192" t="s">
        <v>53</v>
      </c>
      <c r="D36" s="192">
        <v>8</v>
      </c>
      <c r="E36" s="192" t="s">
        <v>447</v>
      </c>
      <c r="F36" s="193">
        <v>0.583333333333333</v>
      </c>
      <c r="G36" s="192" t="s">
        <v>54</v>
      </c>
      <c r="H36" s="269" t="s">
        <v>226</v>
      </c>
      <c r="I36" s="266" t="e">
        <f>#REF!</f>
        <v>#REF!</v>
      </c>
      <c r="J36" s="266" t="e">
        <f>#REF!</f>
        <v>#REF!</v>
      </c>
      <c r="K36" s="266" t="e">
        <f>#REF!</f>
        <v>#REF!</v>
      </c>
      <c r="L36" s="266" t="e">
        <f>#REF!</f>
        <v>#REF!</v>
      </c>
      <c r="M36" s="266" t="e">
        <f>#REF!</f>
        <v>#REF!</v>
      </c>
      <c r="N36" s="266" t="e">
        <f>#REF!</f>
        <v>#REF!</v>
      </c>
      <c r="O36" s="266" t="e">
        <f>#REF!</f>
        <v>#REF!</v>
      </c>
      <c r="P36" s="266" t="e">
        <f>#REF!</f>
        <v>#REF!</v>
      </c>
      <c r="Q36" s="171"/>
      <c r="R36" s="172"/>
      <c r="S36" s="267"/>
      <c r="T36" s="268"/>
      <c r="U36" s="268"/>
      <c r="V36" s="268"/>
      <c r="AA36" s="151"/>
      <c r="AB36" s="151"/>
      <c r="AD36" s="151"/>
      <c r="AE36" s="151"/>
      <c r="AF36" s="151"/>
    </row>
    <row r="37">
      <c r="A37" s="217" t="s">
        <v>449</v>
      </c>
      <c r="B37" s="190">
        <v>21</v>
      </c>
      <c r="C37" s="192" t="s">
        <v>38</v>
      </c>
      <c r="D37" s="192"/>
      <c r="E37" s="192" t="s">
        <v>93</v>
      </c>
      <c r="F37" s="193"/>
      <c r="G37" s="217"/>
      <c r="H37" s="217"/>
      <c r="I37" s="266" t="e">
        <f>#REF!</f>
        <v>#REF!</v>
      </c>
      <c r="J37" s="266" t="e">
        <f>#REF!</f>
        <v>#REF!</v>
      </c>
      <c r="K37" s="266" t="e">
        <f>#REF!</f>
        <v>#REF!</v>
      </c>
      <c r="L37" s="266" t="e">
        <f>#REF!</f>
        <v>#REF!</v>
      </c>
      <c r="M37" s="266" t="e">
        <f>#REF!</f>
        <v>#REF!</v>
      </c>
      <c r="N37" s="266" t="e">
        <f>#REF!</f>
        <v>#REF!</v>
      </c>
      <c r="O37" s="266" t="e">
        <f>#REF!</f>
        <v>#REF!</v>
      </c>
      <c r="P37" s="266" t="e">
        <f>#REF!</f>
        <v>#REF!</v>
      </c>
      <c r="Q37" s="220"/>
      <c r="R37" s="172"/>
      <c r="S37" s="267"/>
      <c r="T37" s="268"/>
      <c r="U37" s="268"/>
      <c r="V37" s="268"/>
      <c r="AA37" s="151"/>
      <c r="AB37" s="151"/>
      <c r="AD37" s="151"/>
      <c r="AE37" s="151"/>
      <c r="AF37" s="151"/>
    </row>
    <row r="38">
      <c r="A38" s="217" t="s">
        <v>450</v>
      </c>
      <c r="B38" s="190">
        <v>21</v>
      </c>
      <c r="C38" s="192" t="s">
        <v>38</v>
      </c>
      <c r="D38" s="192"/>
      <c r="E38" s="192" t="s">
        <v>93</v>
      </c>
      <c r="F38" s="193"/>
      <c r="G38" s="217"/>
      <c r="H38" s="217"/>
      <c r="I38" s="266" t="e">
        <f>#REF!</f>
        <v>#REF!</v>
      </c>
      <c r="J38" s="266" t="e">
        <f>#REF!</f>
        <v>#REF!</v>
      </c>
      <c r="K38" s="266" t="e">
        <f>#REF!</f>
        <v>#REF!</v>
      </c>
      <c r="L38" s="266" t="e">
        <f>#REF!</f>
        <v>#REF!</v>
      </c>
      <c r="M38" s="266" t="e">
        <f>#REF!</f>
        <v>#REF!</v>
      </c>
      <c r="N38" s="266" t="e">
        <f>#REF!</f>
        <v>#REF!</v>
      </c>
      <c r="O38" s="266" t="e">
        <f>#REF!</f>
        <v>#REF!</v>
      </c>
      <c r="P38" s="266" t="e">
        <f>#REF!</f>
        <v>#REF!</v>
      </c>
      <c r="Q38" s="220"/>
      <c r="R38" s="172"/>
      <c r="S38" s="267"/>
      <c r="T38" s="268"/>
      <c r="U38" s="268"/>
      <c r="V38" s="268"/>
      <c r="AA38" s="151"/>
      <c r="AB38" s="151"/>
      <c r="AD38" s="151"/>
      <c r="AE38" s="151"/>
      <c r="AF38" s="151"/>
    </row>
    <row r="39">
      <c r="A39" s="217" t="s">
        <v>319</v>
      </c>
      <c r="B39" s="190">
        <v>22</v>
      </c>
      <c r="C39" s="192" t="s">
        <v>38</v>
      </c>
      <c r="D39" s="192"/>
      <c r="E39" s="192" t="s">
        <v>93</v>
      </c>
      <c r="F39" s="193"/>
      <c r="G39" s="217"/>
      <c r="H39" s="217"/>
      <c r="I39" s="266" t="s">
        <f>'Plan - NL'!I28</f>
      </c>
      <c r="J39" s="266" t="s">
        <f>'Plan - NL'!J28</f>
      </c>
      <c r="K39" s="266" t="s">
        <f>'Plan - NL'!K28</f>
      </c>
      <c r="L39" s="266" t="s">
        <f>'Plan - NL'!L28</f>
      </c>
      <c r="M39" s="266" t="s">
        <f>'Plan - NL'!M28</f>
      </c>
      <c r="N39" s="266" t="s">
        <f>'Plan - NL'!N28</f>
      </c>
      <c r="O39" s="266" t="s">
        <f>'Plan - NL'!O28</f>
      </c>
      <c r="P39" s="266" t="s">
        <f>'Plan - NL'!P28</f>
      </c>
      <c r="Q39" s="220"/>
      <c r="R39" s="172"/>
      <c r="S39" s="267"/>
      <c r="T39" s="268"/>
      <c r="U39" s="268"/>
      <c r="V39" s="268"/>
      <c r="W39" s="268"/>
      <c r="X39" s="268"/>
      <c r="Y39" s="268"/>
      <c r="Z39" s="268"/>
      <c r="AA39" s="268"/>
      <c r="AB39" s="149"/>
      <c r="AC39" s="149"/>
      <c r="AD39" s="149"/>
      <c r="AE39" s="149"/>
      <c r="AF39" s="149"/>
    </row>
    <row r="40">
      <c r="A40" s="217" t="s">
        <v>320</v>
      </c>
      <c r="B40" s="190">
        <v>22</v>
      </c>
      <c r="C40" s="192" t="s">
        <v>38</v>
      </c>
      <c r="D40" s="192"/>
      <c r="E40" s="192" t="s">
        <v>93</v>
      </c>
      <c r="F40" s="193"/>
      <c r="G40" s="217"/>
      <c r="H40" s="217"/>
      <c r="I40" s="266" t="e">
        <f>#REF!</f>
        <v>#REF!</v>
      </c>
      <c r="J40" s="266" t="e">
        <f>#REF!</f>
        <v>#REF!</v>
      </c>
      <c r="K40" s="266" t="e">
        <f>#REF!</f>
        <v>#REF!</v>
      </c>
      <c r="L40" s="266" t="e">
        <f>#REF!</f>
        <v>#REF!</v>
      </c>
      <c r="M40" s="266" t="e">
        <f>#REF!</f>
        <v>#REF!</v>
      </c>
      <c r="N40" s="266" t="e">
        <f>#REF!</f>
        <v>#REF!</v>
      </c>
      <c r="O40" s="266" t="e">
        <f>#REF!</f>
        <v>#REF!</v>
      </c>
      <c r="P40" s="266" t="e">
        <f>#REF!</f>
        <v>#REF!</v>
      </c>
      <c r="Q40" s="220"/>
      <c r="R40" s="172"/>
      <c r="S40" s="267"/>
      <c r="T40" s="268"/>
      <c r="U40" s="268"/>
      <c r="V40" s="268"/>
      <c r="W40" s="268"/>
      <c r="X40" s="268"/>
      <c r="Y40" s="268"/>
      <c r="Z40" s="268"/>
      <c r="AA40" s="268"/>
      <c r="AB40" s="149"/>
      <c r="AC40" s="149"/>
      <c r="AD40" s="149"/>
      <c r="AE40" s="149"/>
      <c r="AF40" s="149"/>
    </row>
    <row r="41">
      <c r="A41" s="191" t="s">
        <v>451</v>
      </c>
      <c r="B41" s="190">
        <v>23</v>
      </c>
      <c r="C41" s="192" t="s">
        <v>38</v>
      </c>
      <c r="D41" s="192"/>
      <c r="E41" s="192" t="s">
        <v>96</v>
      </c>
      <c r="F41" s="193"/>
      <c r="G41" s="217"/>
      <c r="H41" s="217"/>
      <c r="I41" s="266" t="e">
        <f>#REF!</f>
        <v>#REF!</v>
      </c>
      <c r="J41" s="266" t="e">
        <f>#REF!</f>
        <v>#REF!</v>
      </c>
      <c r="K41" s="266" t="e">
        <f>#REF!</f>
        <v>#REF!</v>
      </c>
      <c r="L41" s="266" t="e">
        <f>#REF!</f>
        <v>#REF!</v>
      </c>
      <c r="M41" s="266" t="e">
        <f>#REF!</f>
        <v>#REF!</v>
      </c>
      <c r="N41" s="266" t="e">
        <f>#REF!</f>
        <v>#REF!</v>
      </c>
      <c r="O41" s="266" t="e">
        <f>#REF!</f>
        <v>#REF!</v>
      </c>
      <c r="P41" s="266" t="e">
        <f>#REF!</f>
        <v>#REF!</v>
      </c>
      <c r="Q41" s="220"/>
      <c r="R41" s="172"/>
      <c r="S41" s="267"/>
      <c r="T41" s="268"/>
      <c r="U41" s="275"/>
      <c r="V41" s="275"/>
      <c r="W41" s="275"/>
      <c r="X41" s="275"/>
      <c r="Y41" s="275"/>
      <c r="Z41" s="275"/>
      <c r="AA41" s="275"/>
      <c r="AB41" s="149"/>
      <c r="AC41" s="149"/>
      <c r="AD41" s="149"/>
      <c r="AE41" s="149"/>
      <c r="AF41" s="149"/>
    </row>
    <row r="42">
      <c r="A42" s="11" t="s">
        <v>97</v>
      </c>
      <c r="B42" s="18">
        <v>24</v>
      </c>
      <c r="C42" s="81" t="s">
        <v>38</v>
      </c>
      <c r="D42" s="81"/>
      <c r="E42" s="81" t="s">
        <v>96</v>
      </c>
      <c r="F42" s="224"/>
      <c r="G42" s="18"/>
      <c r="H42" s="18"/>
      <c r="I42" s="266" t="e">
        <f>#REF!</f>
        <v>#REF!</v>
      </c>
      <c r="J42" s="266" t="e">
        <f>#REF!</f>
        <v>#REF!</v>
      </c>
      <c r="K42" s="266" t="e">
        <f>#REF!</f>
        <v>#REF!</v>
      </c>
      <c r="L42" s="266" t="e">
        <f>#REF!</f>
        <v>#REF!</v>
      </c>
      <c r="M42" s="266" t="e">
        <f>#REF!</f>
        <v>#REF!</v>
      </c>
      <c r="N42" s="266" t="e">
        <f>#REF!</f>
        <v>#REF!</v>
      </c>
      <c r="O42" s="266" t="e">
        <f>#REF!</f>
        <v>#REF!</v>
      </c>
      <c r="P42" s="266" t="e">
        <f>#REF!</f>
        <v>#REF!</v>
      </c>
      <c r="Q42" s="220"/>
      <c r="R42" s="172"/>
      <c r="S42" s="267"/>
      <c r="T42" s="268"/>
      <c r="U42" s="268"/>
      <c r="V42" s="268"/>
      <c r="W42" s="268"/>
      <c r="X42" s="268"/>
      <c r="Y42" s="268"/>
      <c r="Z42" s="268"/>
      <c r="AA42" s="268"/>
      <c r="AB42" s="149"/>
      <c r="AC42" s="149"/>
      <c r="AD42" s="149"/>
      <c r="AE42" s="149"/>
      <c r="AF42" s="149"/>
    </row>
    <row r="43">
      <c r="A43" s="151"/>
      <c r="B43" s="276"/>
      <c r="C43" s="131"/>
      <c r="D43" s="131"/>
      <c r="E43" s="131"/>
      <c r="F43" s="131"/>
      <c r="G43" s="131"/>
      <c r="H43" s="131"/>
      <c r="I43" s="149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</row>
    <row r="44">
      <c r="A44" s="159" t="s">
        <v>100</v>
      </c>
      <c r="B44" s="151"/>
      <c r="C44" s="131"/>
      <c r="D44" s="131"/>
      <c r="E44" s="131"/>
      <c r="F44" s="131"/>
      <c r="G44" s="131"/>
      <c r="H44" s="131"/>
      <c r="I44" s="149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</row>
    <row r="45">
      <c r="A45" s="151" t="s">
        <v>150</v>
      </c>
      <c r="B45" s="151" t="s">
        <v>50</v>
      </c>
      <c r="C45" s="131"/>
      <c r="D45" s="131"/>
      <c r="E45" s="131"/>
      <c r="F45" s="131"/>
      <c r="G45" s="131"/>
      <c r="H45" s="131"/>
      <c r="I45" s="149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</row>
    <row r="46">
      <c r="A46" s="151" t="s">
        <v>144</v>
      </c>
      <c r="B46" s="151" t="s">
        <v>145</v>
      </c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 t="s">
        <f>DATA!I65</f>
      </c>
      <c r="R46" s="235"/>
      <c r="S46" s="235"/>
      <c r="T46" s="235"/>
      <c r="U46" s="235"/>
      <c r="V46" s="235"/>
      <c r="W46" s="235"/>
      <c r="X46" s="235"/>
      <c r="Y46" s="277">
        <v>0</v>
      </c>
      <c r="Z46" s="278">
        <v>0</v>
      </c>
      <c r="AA46" s="235"/>
      <c r="AB46" s="151" t="s">
        <v>112</v>
      </c>
      <c r="AC46" s="151"/>
      <c r="AD46" s="151"/>
      <c r="AE46" s="151"/>
      <c r="AF46" s="151"/>
    </row>
    <row r="47">
      <c r="A47" s="151" t="s">
        <v>183</v>
      </c>
      <c r="B47" s="151" t="s">
        <v>44</v>
      </c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 t="s">
        <f>DATA!I66</f>
      </c>
      <c r="R47" s="131"/>
      <c r="S47" s="131"/>
      <c r="T47" s="151" t="s">
        <v>325</v>
      </c>
      <c r="U47" s="131"/>
      <c r="V47" s="131"/>
      <c r="W47" s="131"/>
      <c r="X47" s="131"/>
      <c r="Y47" s="279" t="e">
        <f>#DIV/0!</f>
        <v>#DIV/0!</v>
      </c>
      <c r="Z47" s="241"/>
      <c r="AA47" s="241"/>
      <c r="AB47" s="151" t="s">
        <v>326</v>
      </c>
      <c r="AC47" s="151"/>
      <c r="AD47" s="151"/>
      <c r="AE47" s="151"/>
      <c r="AF47" s="151"/>
    </row>
    <row r="48">
      <c r="A48" s="149" t="s">
        <v>184</v>
      </c>
      <c r="B48" s="149" t="s">
        <v>185</v>
      </c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 t="s">
        <f>DATA!I67</f>
      </c>
      <c r="R48" s="131"/>
      <c r="S48" s="131"/>
      <c r="T48" s="151" t="s">
        <v>115</v>
      </c>
      <c r="U48" s="131"/>
      <c r="V48" s="131"/>
      <c r="W48" s="131"/>
      <c r="X48" s="131"/>
      <c r="Y48" s="279" t="e">
        <f>#NUM!</f>
        <v>#NUM!</v>
      </c>
      <c r="Z48" s="241"/>
      <c r="AA48" s="241"/>
      <c r="AB48" s="151" t="s">
        <v>117</v>
      </c>
      <c r="AC48" s="151"/>
      <c r="AD48" s="151"/>
      <c r="AE48" s="151"/>
      <c r="AF48" s="151"/>
    </row>
    <row r="49">
      <c r="A49" s="151" t="s">
        <v>146</v>
      </c>
      <c r="B49" s="151" t="s">
        <v>147</v>
      </c>
      <c r="C49" s="131"/>
      <c r="D49" s="131"/>
      <c r="E49" s="131"/>
      <c r="F49" s="131"/>
      <c r="G49" s="131"/>
      <c r="H49" s="131"/>
      <c r="I49" s="149"/>
      <c r="J49" s="131"/>
      <c r="K49" s="131"/>
      <c r="L49" s="131"/>
      <c r="M49" s="131"/>
      <c r="N49" s="131"/>
      <c r="O49" s="131"/>
      <c r="P49" s="131">
        <f>41-P50</f>
        <v>33</v>
      </c>
      <c r="Q49" s="131" t="e">
        <f>Y47/8</f>
        <v>#DIV/0!</v>
      </c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51" t="s">
        <v>329</v>
      </c>
      <c r="AC49" s="151"/>
      <c r="AD49" s="151"/>
      <c r="AE49" s="151"/>
      <c r="AF49" s="151"/>
    </row>
    <row r="50">
      <c r="A50" s="149" t="s">
        <v>142</v>
      </c>
      <c r="B50" s="151" t="s">
        <v>72</v>
      </c>
      <c r="C50" s="131"/>
      <c r="D50" s="131"/>
      <c r="E50" s="149"/>
      <c r="F50" s="149"/>
      <c r="G50" s="131"/>
      <c r="H50" s="131"/>
      <c r="I50" s="149"/>
      <c r="J50" s="131"/>
      <c r="K50" s="131"/>
      <c r="L50" s="131"/>
      <c r="M50" s="131"/>
      <c r="N50" s="131"/>
      <c r="O50" s="131"/>
      <c r="P50" s="131">
        <f>COUNTBLANK(I2:P42)</f>
        <v>8</v>
      </c>
      <c r="Q50" s="131" t="e">
        <f>Y48/7</f>
        <v>#NUM!</v>
      </c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51" t="s">
        <v>122</v>
      </c>
      <c r="AC50" s="151"/>
      <c r="AD50" s="151"/>
      <c r="AE50" s="151"/>
      <c r="AF50" s="151"/>
    </row>
    <row r="51">
      <c r="A51" s="149" t="s">
        <v>113</v>
      </c>
      <c r="B51" s="149" t="s">
        <v>57</v>
      </c>
      <c r="C51" s="131"/>
      <c r="D51" s="131"/>
      <c r="E51" s="149"/>
      <c r="F51" s="149"/>
      <c r="G51" s="131"/>
      <c r="H51" s="131"/>
      <c r="I51" s="149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</row>
    <row r="52">
      <c r="A52" s="149" t="s">
        <v>111</v>
      </c>
      <c r="B52" s="149" t="s">
        <v>48</v>
      </c>
      <c r="C52" s="131"/>
      <c r="D52" s="131"/>
      <c r="E52" s="149"/>
      <c r="F52" s="149"/>
      <c r="G52" s="131"/>
      <c r="H52" s="131"/>
      <c r="I52" s="149"/>
      <c r="J52" s="131"/>
      <c r="K52" s="131"/>
      <c r="L52" s="131"/>
      <c r="M52" s="131"/>
      <c r="N52" s="131"/>
      <c r="O52" s="131"/>
      <c r="P52" s="131"/>
      <c r="Q52" s="131">
        <f>800*28</f>
        <v>22400</v>
      </c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</row>
    <row r="53">
      <c r="A53" s="149" t="s">
        <v>330</v>
      </c>
      <c r="B53" s="149" t="s">
        <v>84</v>
      </c>
      <c r="C53" s="131"/>
      <c r="D53" s="131"/>
      <c r="E53" s="149"/>
      <c r="F53" s="149"/>
      <c r="G53" s="131"/>
      <c r="H53" s="131"/>
      <c r="I53" s="149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</row>
    <row r="54">
      <c r="A54" s="149" t="s">
        <v>156</v>
      </c>
      <c r="B54" s="149" t="s">
        <v>157</v>
      </c>
      <c r="C54" s="131"/>
      <c r="D54" s="131"/>
      <c r="E54" s="149"/>
      <c r="F54" s="149"/>
      <c r="G54" s="131"/>
      <c r="H54" s="131"/>
      <c r="I54" s="149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</row>
    <row r="55">
      <c r="A55" s="149" t="s">
        <v>128</v>
      </c>
      <c r="B55" s="149" t="s">
        <v>66</v>
      </c>
      <c r="C55" s="131"/>
      <c r="D55" s="131"/>
      <c r="E55" s="149"/>
      <c r="F55" s="149"/>
      <c r="G55" s="131"/>
      <c r="H55" s="131"/>
      <c r="I55" s="149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</row>
    <row r="56">
      <c r="A56" s="151" t="s">
        <v>124</v>
      </c>
      <c r="B56" s="151" t="s">
        <v>62</v>
      </c>
      <c r="C56" s="131"/>
      <c r="D56" s="131"/>
      <c r="E56" s="131"/>
      <c r="F56" s="131"/>
      <c r="G56" s="131"/>
      <c r="H56" s="131"/>
      <c r="I56" s="149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</row>
    <row r="57">
      <c r="A57" s="149" t="s">
        <v>177</v>
      </c>
      <c r="B57" s="149" t="s">
        <v>178</v>
      </c>
      <c r="C57" s="131"/>
      <c r="D57" s="131"/>
      <c r="E57" s="131"/>
      <c r="F57" s="131"/>
      <c r="G57" s="131"/>
      <c r="H57" s="131"/>
      <c r="I57" s="149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</row>
    <row r="58">
      <c r="A58" s="149" t="s">
        <v>179</v>
      </c>
      <c r="B58" s="149" t="s">
        <v>180</v>
      </c>
      <c r="C58" s="131"/>
      <c r="D58" s="131"/>
      <c r="E58" s="131"/>
      <c r="F58" s="131"/>
      <c r="G58" s="131"/>
      <c r="H58" s="131"/>
      <c r="I58" s="149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</row>
    <row r="59">
      <c r="A59" s="149" t="s">
        <v>141</v>
      </c>
      <c r="B59" s="149" t="s">
        <v>65</v>
      </c>
      <c r="C59" s="131"/>
      <c r="D59" s="131"/>
      <c r="E59" s="149"/>
      <c r="F59" s="149"/>
      <c r="G59" s="131"/>
      <c r="H59" s="131"/>
      <c r="I59" s="149"/>
      <c r="J59" s="131"/>
      <c r="K59" s="131"/>
      <c r="L59" s="131"/>
      <c r="M59" s="131"/>
      <c r="N59" s="131"/>
      <c r="O59" s="131"/>
      <c r="P59" s="243" t="s">
        <v>69</v>
      </c>
      <c r="Q59" s="131">
        <f>COUNTIF(G$2:G$42,P59)</f>
        <v>5</v>
      </c>
      <c r="R59" s="131" t="e">
        <f>SUMIF(G$2:G$42,P59,Y$39:Y$42)</f>
        <v>#NUM!</v>
      </c>
      <c r="S59" s="131" t="e">
        <f>R59/Q59</f>
        <v>#NUM!</v>
      </c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</row>
    <row r="60">
      <c r="A60" s="149" t="s">
        <v>181</v>
      </c>
      <c r="B60" s="149" t="s">
        <v>182</v>
      </c>
      <c r="C60" s="131"/>
      <c r="D60" s="131"/>
      <c r="E60" s="149"/>
      <c r="F60" s="149"/>
      <c r="G60" s="131"/>
      <c r="H60" s="131"/>
      <c r="I60" s="149"/>
      <c r="J60" s="131"/>
      <c r="K60" s="131"/>
      <c r="L60" s="131"/>
      <c r="M60" s="131"/>
      <c r="N60" s="131"/>
      <c r="O60" s="131"/>
      <c r="P60" s="243" t="s">
        <v>77</v>
      </c>
      <c r="Q60" s="131">
        <f>COUNTIF(G$2:G$42,P60)</f>
        <v>5</v>
      </c>
      <c r="R60" s="131">
        <f>SUMIF(G$2:G$42,P60,Y$39:Y$42)</f>
        <v>0</v>
      </c>
      <c r="S60" s="131">
        <f>R60/Q60</f>
        <v>0</v>
      </c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</row>
    <row r="61">
      <c r="A61" s="149" t="s">
        <v>136</v>
      </c>
      <c r="B61" s="149" t="s">
        <v>79</v>
      </c>
      <c r="C61" s="131"/>
      <c r="D61" s="131"/>
      <c r="E61" s="149"/>
      <c r="F61" s="149"/>
      <c r="G61" s="131"/>
      <c r="H61" s="131"/>
      <c r="I61" s="149"/>
      <c r="J61" s="131"/>
      <c r="K61" s="131"/>
      <c r="L61" s="131"/>
      <c r="M61" s="131"/>
      <c r="N61" s="131"/>
      <c r="O61" s="131"/>
      <c r="P61" s="243" t="s">
        <v>46</v>
      </c>
      <c r="Q61" s="131">
        <f>COUNTIF(G$2:G$42,P61)</f>
        <v>5</v>
      </c>
      <c r="R61" s="131" t="e">
        <f>SUMIF(G$2:G$42,P61,Y$39:Y$42)</f>
        <v>#DIV/0!</v>
      </c>
      <c r="S61" s="131" t="e">
        <f>R61/Q61</f>
        <v>#DIV/0!</v>
      </c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</row>
    <row r="62">
      <c r="A62" s="151" t="s">
        <v>171</v>
      </c>
      <c r="B62" s="151" t="s">
        <v>172</v>
      </c>
      <c r="C62" s="131"/>
      <c r="D62" s="131"/>
      <c r="E62" s="131"/>
      <c r="F62" s="131"/>
      <c r="G62" s="131"/>
      <c r="H62" s="131"/>
      <c r="I62" s="149"/>
      <c r="J62" s="131"/>
      <c r="K62" s="131"/>
      <c r="L62" s="131"/>
      <c r="M62" s="131"/>
      <c r="N62" s="131"/>
      <c r="O62" s="131"/>
      <c r="P62" s="243" t="s">
        <v>55</v>
      </c>
      <c r="Q62" s="131">
        <f>COUNTIF(G$2:G$42,P62)</f>
        <v>5</v>
      </c>
      <c r="R62" s="131">
        <f>SUMIF(G$2:G$42,P62,Y$39:Y$42)</f>
        <v>0</v>
      </c>
      <c r="S62" s="131">
        <f>R62/Q62</f>
        <v>0</v>
      </c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</row>
    <row r="63">
      <c r="A63" s="151" t="s">
        <v>173</v>
      </c>
      <c r="B63" s="149" t="s">
        <v>174</v>
      </c>
      <c r="C63" s="131"/>
      <c r="D63" s="131"/>
      <c r="E63" s="149"/>
      <c r="F63" s="149"/>
      <c r="G63" s="131"/>
      <c r="H63" s="131"/>
      <c r="I63" s="149"/>
      <c r="J63" s="131"/>
      <c r="K63" s="131"/>
      <c r="L63" s="131"/>
      <c r="M63" s="131"/>
      <c r="N63" s="131"/>
      <c r="O63" s="131"/>
      <c r="P63" s="243" t="s">
        <v>40</v>
      </c>
      <c r="Q63" s="131">
        <f>COUNTIF(G$2:G$42,P63)</f>
        <v>5</v>
      </c>
      <c r="R63" s="131">
        <f>SUMIF(G$2:G$42,P63,Y$39:Y$42)</f>
        <v>0</v>
      </c>
      <c r="S63" s="131">
        <f>R63/Q63</f>
        <v>0</v>
      </c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</row>
    <row r="64">
      <c r="A64" s="151" t="s">
        <v>175</v>
      </c>
      <c r="B64" s="151" t="s">
        <v>176</v>
      </c>
      <c r="C64" s="131"/>
      <c r="D64" s="131"/>
      <c r="E64" s="131"/>
      <c r="F64" s="131"/>
      <c r="G64" s="131"/>
      <c r="H64" s="131"/>
      <c r="I64" s="149"/>
      <c r="J64" s="131"/>
      <c r="K64" s="131"/>
      <c r="L64" s="131"/>
      <c r="M64" s="131"/>
      <c r="N64" s="131"/>
      <c r="O64" s="131"/>
      <c r="P64" s="243" t="s">
        <v>452</v>
      </c>
      <c r="Q64" s="131">
        <f>COUNTIF(G$2:G$42,P64)</f>
        <v>0</v>
      </c>
      <c r="R64" s="131">
        <f>SUMIF(G$2:G$42,P64,Y$39:Y$42)</f>
        <v>0</v>
      </c>
      <c r="S64" s="131" t="e">
        <f>R64/Q64</f>
        <v>#DIV/0!</v>
      </c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</row>
    <row r="65">
      <c r="A65" s="151" t="s">
        <v>194</v>
      </c>
      <c r="B65" s="151" t="s">
        <v>195</v>
      </c>
      <c r="C65" s="131"/>
      <c r="D65" s="131"/>
      <c r="E65" s="131"/>
      <c r="F65" s="131"/>
      <c r="G65" s="131"/>
      <c r="H65" s="131"/>
      <c r="I65" s="149"/>
      <c r="J65" s="131"/>
      <c r="K65" s="131"/>
      <c r="L65" s="131"/>
      <c r="M65" s="131"/>
      <c r="N65" s="131"/>
      <c r="O65" s="131"/>
      <c r="P65" s="243" t="s">
        <v>54</v>
      </c>
      <c r="Q65" s="131">
        <f>COUNTIF(G$2:G$42,P65)</f>
        <v>5</v>
      </c>
      <c r="R65" s="131">
        <f>SUMIF(G$2:G$42,P65,Y$39:Y$42)</f>
        <v>0</v>
      </c>
      <c r="S65" s="131">
        <f>R65/Q65</f>
        <v>0</v>
      </c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</row>
    <row r="66">
      <c r="A66" s="149" t="s">
        <v>129</v>
      </c>
      <c r="B66" s="149" t="s">
        <v>83</v>
      </c>
      <c r="C66" s="131"/>
      <c r="D66" s="131"/>
      <c r="E66" s="131"/>
      <c r="F66" s="131"/>
      <c r="G66" s="131"/>
      <c r="H66" s="131"/>
      <c r="I66" s="149"/>
      <c r="J66" s="131"/>
      <c r="K66" s="131"/>
      <c r="L66" s="131"/>
      <c r="M66" s="131"/>
      <c r="N66" s="131"/>
      <c r="O66" s="131"/>
      <c r="P66" s="243" t="s">
        <v>226</v>
      </c>
      <c r="Q66" s="131">
        <f>COUNTIF(G$2:G$42,P66)</f>
        <v>5</v>
      </c>
      <c r="R66" s="131">
        <f>SUMIF(G$2:G$42,P66,Y$39:Y$42)</f>
        <v>0</v>
      </c>
      <c r="S66" s="131">
        <f>R66/Q66</f>
        <v>0</v>
      </c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</row>
    <row r="67">
      <c r="A67" s="149" t="s">
        <v>110</v>
      </c>
      <c r="B67" s="149" t="s">
        <v>63</v>
      </c>
      <c r="C67" s="131"/>
      <c r="D67" s="131"/>
      <c r="E67" s="149"/>
      <c r="F67" s="149"/>
      <c r="G67" s="131"/>
      <c r="H67" s="131"/>
      <c r="I67" s="149"/>
      <c r="J67" s="131"/>
      <c r="K67" s="131"/>
      <c r="L67" s="131"/>
      <c r="M67" s="131"/>
      <c r="N67" s="131"/>
      <c r="O67" s="131"/>
      <c r="P67" s="243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</row>
    <row r="68">
      <c r="A68" s="149" t="s">
        <v>169</v>
      </c>
      <c r="B68" s="149" t="s">
        <v>170</v>
      </c>
      <c r="C68" s="131"/>
      <c r="D68" s="131"/>
      <c r="E68" s="131"/>
      <c r="F68" s="131"/>
      <c r="G68" s="131"/>
      <c r="H68" s="131"/>
      <c r="I68" s="149"/>
      <c r="J68" s="131"/>
      <c r="K68" s="131"/>
      <c r="L68" s="131"/>
      <c r="M68" s="131"/>
      <c r="N68" s="131"/>
      <c r="O68" s="131"/>
      <c r="P68" s="213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</row>
    <row r="69">
      <c r="A69" s="149" t="s">
        <v>139</v>
      </c>
      <c r="B69" s="151" t="s">
        <v>140</v>
      </c>
      <c r="C69" s="131"/>
      <c r="D69" s="131"/>
      <c r="E69" s="149"/>
      <c r="F69" s="149"/>
      <c r="G69" s="131"/>
      <c r="H69" s="131"/>
      <c r="I69" s="149"/>
      <c r="J69" s="131"/>
      <c r="K69" s="131"/>
      <c r="L69" s="131"/>
      <c r="M69" s="131"/>
      <c r="N69" s="131"/>
      <c r="O69" s="131"/>
      <c r="P69" s="243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</row>
    <row r="70">
      <c r="A70" s="149" t="s">
        <v>123</v>
      </c>
      <c r="B70" s="149" t="s">
        <v>42</v>
      </c>
      <c r="C70" s="131"/>
      <c r="D70" s="131"/>
      <c r="E70" s="149"/>
      <c r="F70" s="149"/>
      <c r="G70" s="131"/>
      <c r="H70" s="131"/>
      <c r="I70" s="149"/>
      <c r="J70" s="131"/>
      <c r="K70" s="131"/>
      <c r="L70" s="131"/>
      <c r="M70" s="131"/>
      <c r="N70" s="131"/>
      <c r="O70" s="131"/>
      <c r="P70" s="243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</row>
    <row r="71">
      <c r="A71" s="149" t="s">
        <v>167</v>
      </c>
      <c r="B71" s="149" t="s">
        <v>168</v>
      </c>
      <c r="C71" s="131"/>
      <c r="D71" s="131"/>
      <c r="E71" s="149"/>
      <c r="F71" s="149"/>
      <c r="G71" s="131"/>
      <c r="H71" s="131"/>
      <c r="I71" s="149"/>
      <c r="J71" s="131"/>
      <c r="K71" s="131"/>
      <c r="L71" s="131"/>
      <c r="M71" s="131"/>
      <c r="N71" s="131"/>
      <c r="O71" s="131"/>
      <c r="P71" s="243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</row>
    <row r="72">
      <c r="A72" s="149" t="s">
        <v>137</v>
      </c>
      <c r="B72" s="149" t="s">
        <v>138</v>
      </c>
      <c r="C72" s="131"/>
      <c r="D72" s="131"/>
      <c r="E72" s="149"/>
      <c r="F72" s="149"/>
      <c r="G72" s="131"/>
      <c r="H72" s="131"/>
      <c r="I72" s="149"/>
      <c r="J72" s="131"/>
      <c r="K72" s="131"/>
      <c r="L72" s="131"/>
      <c r="M72" s="131"/>
      <c r="N72" s="131"/>
      <c r="O72" s="131"/>
      <c r="P72" s="243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</row>
    <row r="73">
      <c r="A73" s="149" t="s">
        <v>453</v>
      </c>
      <c r="B73" s="149" t="s">
        <v>454</v>
      </c>
      <c r="C73" s="131"/>
      <c r="D73" s="131"/>
      <c r="E73" s="149"/>
      <c r="F73" s="149"/>
      <c r="G73" s="131"/>
      <c r="H73" s="131"/>
      <c r="I73" s="149"/>
      <c r="J73" s="131"/>
      <c r="K73" s="131"/>
      <c r="L73" s="131"/>
      <c r="M73" s="131"/>
      <c r="N73" s="131"/>
      <c r="O73" s="131"/>
      <c r="P73" s="243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</row>
    <row r="74">
      <c r="A74" s="151" t="s">
        <v>165</v>
      </c>
      <c r="B74" s="151" t="s">
        <v>166</v>
      </c>
      <c r="C74" s="131"/>
      <c r="D74" s="131"/>
      <c r="E74" s="131"/>
      <c r="F74" s="131"/>
      <c r="G74" s="131"/>
      <c r="H74" s="131"/>
      <c r="I74" s="149"/>
      <c r="J74" s="131"/>
      <c r="K74" s="131"/>
      <c r="L74" s="131"/>
      <c r="M74" s="131"/>
      <c r="N74" s="131"/>
      <c r="O74" s="131"/>
      <c r="P74" s="243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</row>
    <row r="75">
      <c r="A75" s="149" t="s">
        <v>126</v>
      </c>
      <c r="B75" s="149" t="s">
        <v>127</v>
      </c>
      <c r="C75" s="131"/>
      <c r="D75" s="131"/>
      <c r="E75" s="149"/>
      <c r="F75" s="149"/>
      <c r="G75" s="131"/>
      <c r="H75" s="131"/>
      <c r="I75" s="149"/>
      <c r="J75" s="131"/>
      <c r="K75" s="131"/>
      <c r="L75" s="131"/>
      <c r="M75" s="131"/>
      <c r="N75" s="131"/>
      <c r="O75" s="131"/>
      <c r="P75" s="243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</row>
    <row r="76">
      <c r="A76" s="151" t="s">
        <v>160</v>
      </c>
      <c r="B76" s="149" t="s">
        <v>161</v>
      </c>
      <c r="C76" s="131"/>
      <c r="D76" s="131"/>
      <c r="E76" s="149"/>
      <c r="F76" s="149"/>
      <c r="G76" s="131"/>
      <c r="H76" s="131"/>
      <c r="I76" s="149"/>
      <c r="J76" s="131"/>
      <c r="K76" s="131"/>
      <c r="L76" s="131"/>
      <c r="M76" s="131"/>
      <c r="N76" s="131"/>
      <c r="O76" s="131"/>
      <c r="P76" s="243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</row>
    <row r="77">
      <c r="A77" s="149" t="s">
        <v>162</v>
      </c>
      <c r="B77" s="149" t="s">
        <v>163</v>
      </c>
      <c r="C77" s="131"/>
      <c r="D77" s="131"/>
      <c r="E77" s="149"/>
      <c r="F77" s="149"/>
      <c r="G77" s="131"/>
      <c r="H77" s="131"/>
      <c r="I77" s="149"/>
      <c r="J77" s="131"/>
      <c r="K77" s="131"/>
      <c r="L77" s="131"/>
      <c r="M77" s="131"/>
      <c r="N77" s="131"/>
      <c r="O77" s="131"/>
      <c r="P77" s="213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</row>
    <row r="78">
      <c r="A78" s="151" t="s">
        <v>188</v>
      </c>
      <c r="B78" s="151" t="s">
        <v>189</v>
      </c>
      <c r="C78" s="131"/>
      <c r="D78" s="131"/>
      <c r="E78" s="131"/>
      <c r="F78" s="131"/>
      <c r="G78" s="131"/>
      <c r="H78" s="131"/>
      <c r="I78" s="149"/>
      <c r="J78" s="131"/>
      <c r="K78" s="131"/>
      <c r="L78" s="131"/>
      <c r="M78" s="131"/>
      <c r="N78" s="131"/>
      <c r="O78" s="131"/>
      <c r="P78" s="243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</row>
    <row r="79">
      <c r="A79" s="149" t="s">
        <v>125</v>
      </c>
      <c r="B79" s="149" t="s">
        <v>88</v>
      </c>
      <c r="C79" s="131"/>
      <c r="D79" s="131"/>
      <c r="E79" s="149"/>
      <c r="F79" s="149"/>
      <c r="G79" s="131"/>
      <c r="H79" s="131"/>
      <c r="I79" s="149"/>
      <c r="J79" s="131"/>
      <c r="K79" s="131"/>
      <c r="L79" s="131"/>
      <c r="M79" s="131"/>
      <c r="N79" s="131"/>
      <c r="O79" s="131"/>
      <c r="P79" s="243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</row>
    <row r="80">
      <c r="A80" s="149" t="s">
        <v>158</v>
      </c>
      <c r="B80" s="149" t="s">
        <v>159</v>
      </c>
      <c r="C80" s="131"/>
      <c r="D80" s="131"/>
      <c r="E80" s="149"/>
      <c r="F80" s="149"/>
      <c r="G80" s="131"/>
      <c r="H80" s="131"/>
      <c r="I80" s="149"/>
      <c r="J80" s="131"/>
      <c r="K80" s="131"/>
      <c r="L80" s="131"/>
      <c r="M80" s="131"/>
      <c r="N80" s="131"/>
      <c r="O80" s="131"/>
      <c r="P80" s="213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</row>
    <row r="81">
      <c r="A81" s="149" t="s">
        <v>118</v>
      </c>
      <c r="B81" s="149" t="s">
        <v>49</v>
      </c>
      <c r="C81" s="131"/>
      <c r="D81" s="131"/>
      <c r="E81" s="131"/>
      <c r="F81" s="131"/>
      <c r="G81" s="131"/>
      <c r="H81" s="131"/>
      <c r="I81" s="149"/>
      <c r="J81" s="131"/>
      <c r="K81" s="131"/>
      <c r="L81" s="131"/>
      <c r="M81" s="131"/>
      <c r="N81" s="131"/>
      <c r="O81" s="131"/>
      <c r="P81" s="243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</row>
    <row r="82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243"/>
      <c r="Q82" s="131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131"/>
      <c r="AC82" s="131"/>
      <c r="AD82" s="131"/>
      <c r="AE82" s="131"/>
      <c r="AF82" s="131"/>
    </row>
    <row r="83">
      <c r="A83" s="245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243"/>
      <c r="Q83" s="131" t="s">
        <f>DATA!I64</f>
      </c>
      <c r="R83" s="235"/>
      <c r="S83" s="235"/>
      <c r="T83" s="235"/>
      <c r="U83" s="235"/>
      <c r="V83" s="235"/>
      <c r="W83" s="235"/>
      <c r="X83" s="235"/>
      <c r="Y83" s="278" t="e">
        <f>#DIV/0!</f>
        <v>#DIV/0!</v>
      </c>
      <c r="Z83" s="235"/>
      <c r="AA83" s="235"/>
      <c r="AB83" s="151" t="s">
        <v>164</v>
      </c>
      <c r="AC83" s="151"/>
      <c r="AD83" s="151"/>
      <c r="AE83" s="151"/>
      <c r="AF83" s="151"/>
    </row>
    <row r="84">
      <c r="A84" s="131"/>
      <c r="B84" s="131"/>
      <c r="C84" s="131"/>
      <c r="D84" s="131"/>
      <c r="E84" s="131"/>
      <c r="F84" s="131"/>
      <c r="G84" s="131"/>
      <c r="H84" s="131"/>
      <c r="I84" s="149"/>
      <c r="J84" s="131"/>
      <c r="K84" s="131"/>
      <c r="L84" s="131"/>
      <c r="M84" s="131"/>
      <c r="N84" s="131"/>
      <c r="O84" s="131"/>
      <c r="P84" s="213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</row>
    <row r="85">
      <c r="A85" s="131"/>
      <c r="B85" s="131"/>
      <c r="C85" s="131"/>
      <c r="D85" s="131"/>
      <c r="E85" s="131"/>
      <c r="F85" s="131"/>
      <c r="G85" s="131"/>
      <c r="H85" s="131"/>
      <c r="I85" s="149"/>
      <c r="J85" s="131"/>
      <c r="K85" s="131"/>
      <c r="L85" s="131"/>
      <c r="M85" s="131"/>
      <c r="N85" s="131"/>
      <c r="O85" s="131"/>
      <c r="P85" s="243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</row>
    <row r="86">
      <c r="A86" s="131"/>
      <c r="B86" s="131"/>
      <c r="C86" s="131"/>
      <c r="D86" s="131"/>
      <c r="E86" s="131"/>
      <c r="F86" s="131"/>
      <c r="G86" s="131"/>
      <c r="H86" s="131"/>
      <c r="I86" s="149"/>
      <c r="J86" s="131"/>
      <c r="K86" s="131"/>
      <c r="L86" s="131"/>
      <c r="M86" s="131"/>
      <c r="N86" s="131"/>
      <c r="O86" s="131"/>
      <c r="P86" s="243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</row>
    <row r="87">
      <c r="A87" s="131"/>
      <c r="B87" s="131"/>
      <c r="C87" s="131"/>
      <c r="D87" s="131"/>
      <c r="E87" s="131"/>
      <c r="F87" s="131"/>
      <c r="G87" s="131"/>
      <c r="H87" s="131"/>
      <c r="I87" s="149"/>
      <c r="J87" s="131"/>
      <c r="K87" s="131"/>
      <c r="L87" s="131"/>
      <c r="M87" s="131"/>
      <c r="N87" s="131"/>
      <c r="O87" s="131"/>
      <c r="P87" s="243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</row>
    <row r="88">
      <c r="A88" s="131"/>
      <c r="B88" s="131"/>
      <c r="C88" s="131"/>
      <c r="D88" s="131"/>
      <c r="E88" s="131"/>
      <c r="F88" s="131"/>
      <c r="G88" s="131"/>
      <c r="H88" s="131"/>
      <c r="I88" s="149"/>
      <c r="J88" s="131"/>
      <c r="K88" s="131"/>
      <c r="L88" s="131"/>
      <c r="M88" s="131"/>
      <c r="N88" s="131"/>
      <c r="O88" s="131"/>
      <c r="P88" s="213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</row>
    <row r="89">
      <c r="A89" s="131"/>
      <c r="B89" s="131"/>
      <c r="C89" s="131"/>
      <c r="D89" s="131"/>
      <c r="E89" s="131"/>
      <c r="F89" s="131"/>
      <c r="G89" s="131"/>
      <c r="H89" s="131"/>
      <c r="I89" s="149"/>
      <c r="J89" s="131"/>
      <c r="K89" s="131"/>
      <c r="L89" s="131"/>
      <c r="M89" s="131"/>
      <c r="N89" s="131"/>
      <c r="O89" s="131"/>
      <c r="P89" s="66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</row>
    <row r="90">
      <c r="A90" s="131"/>
      <c r="B90" s="131"/>
      <c r="C90" s="131"/>
      <c r="D90" s="131"/>
      <c r="E90" s="131"/>
      <c r="F90" s="131"/>
      <c r="G90" s="131"/>
      <c r="H90" s="131"/>
      <c r="I90" s="149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</row>
    <row r="91">
      <c r="A91" s="131"/>
      <c r="B91" s="131"/>
      <c r="C91" s="131"/>
      <c r="D91" s="131"/>
      <c r="E91" s="131"/>
      <c r="F91" s="131"/>
      <c r="G91" s="131"/>
      <c r="H91" s="131"/>
      <c r="I91" s="149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</row>
    <row r="92">
      <c r="A92" s="131"/>
      <c r="B92" s="131"/>
      <c r="C92" s="131"/>
      <c r="D92" s="131"/>
      <c r="E92" s="131"/>
      <c r="F92" s="131"/>
      <c r="G92" s="131"/>
      <c r="H92" s="131"/>
      <c r="I92" s="149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</row>
    <row r="93">
      <c r="A93" s="131"/>
      <c r="B93" s="131"/>
      <c r="C93" s="131"/>
      <c r="D93" s="131"/>
      <c r="E93" s="131"/>
      <c r="F93" s="131"/>
      <c r="G93" s="131"/>
      <c r="H93" s="131"/>
      <c r="I93" s="149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</row>
    <row r="94">
      <c r="A94" s="131"/>
      <c r="B94" s="131"/>
      <c r="C94" s="131"/>
      <c r="D94" s="131"/>
      <c r="E94" s="131"/>
      <c r="F94" s="131"/>
      <c r="G94" s="131"/>
      <c r="H94" s="131"/>
      <c r="I94" s="149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</row>
    <row r="95">
      <c r="A95" s="131"/>
      <c r="B95" s="131"/>
      <c r="C95" s="131"/>
      <c r="D95" s="131"/>
      <c r="E95" s="131"/>
      <c r="F95" s="131"/>
      <c r="G95" s="131"/>
      <c r="H95" s="131"/>
      <c r="I95" s="149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</row>
    <row r="96">
      <c r="A96" s="131"/>
      <c r="B96" s="131"/>
      <c r="C96" s="131"/>
      <c r="D96" s="131"/>
      <c r="E96" s="131"/>
      <c r="F96" s="131"/>
      <c r="G96" s="131"/>
      <c r="H96" s="131"/>
      <c r="I96" s="149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</row>
    <row r="97">
      <c r="A97" s="131"/>
      <c r="B97" s="131"/>
      <c r="C97" s="131"/>
      <c r="D97" s="131"/>
      <c r="E97" s="131"/>
      <c r="F97" s="131"/>
      <c r="G97" s="131"/>
      <c r="H97" s="131"/>
      <c r="I97" s="149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</row>
    <row r="98">
      <c r="A98" s="131"/>
      <c r="B98" s="131"/>
      <c r="C98" s="131"/>
      <c r="D98" s="131"/>
      <c r="E98" s="131"/>
      <c r="F98" s="131"/>
      <c r="G98" s="131"/>
      <c r="H98" s="131"/>
      <c r="I98" s="149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</row>
    <row r="99">
      <c r="A99" s="131"/>
      <c r="B99" s="131"/>
      <c r="C99" s="131"/>
      <c r="D99" s="131"/>
      <c r="E99" s="131"/>
      <c r="F99" s="131"/>
      <c r="G99" s="131"/>
      <c r="H99" s="131"/>
      <c r="I99" s="149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</row>
    <row r="100">
      <c r="A100" s="131"/>
      <c r="B100" s="131"/>
      <c r="C100" s="131"/>
      <c r="D100" s="131"/>
      <c r="E100" s="131"/>
      <c r="F100" s="131"/>
      <c r="G100" s="131"/>
      <c r="H100" s="131"/>
      <c r="I100" s="149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</row>
    <row r="101">
      <c r="A101" s="131"/>
      <c r="B101" s="131"/>
      <c r="C101" s="131"/>
      <c r="D101" s="131"/>
      <c r="E101" s="131"/>
      <c r="F101" s="131"/>
      <c r="G101" s="131"/>
      <c r="H101" s="131"/>
      <c r="I101" s="149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</row>
    <row r="102">
      <c r="A102" s="131"/>
      <c r="B102" s="131"/>
      <c r="C102" s="131"/>
      <c r="D102" s="131"/>
      <c r="E102" s="131"/>
      <c r="F102" s="131"/>
      <c r="G102" s="131"/>
      <c r="H102" s="131"/>
      <c r="I102" s="149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</row>
    <row r="103">
      <c r="A103" s="131"/>
      <c r="B103" s="131"/>
      <c r="C103" s="131"/>
      <c r="D103" s="131"/>
      <c r="E103" s="131"/>
      <c r="F103" s="131"/>
      <c r="G103" s="131"/>
      <c r="H103" s="131"/>
      <c r="I103" s="149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</row>
    <row r="104">
      <c r="A104" s="131"/>
      <c r="B104" s="131"/>
      <c r="C104" s="131"/>
      <c r="D104" s="131"/>
      <c r="E104" s="131"/>
      <c r="F104" s="131"/>
      <c r="G104" s="131"/>
      <c r="H104" s="131"/>
      <c r="I104" s="149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</row>
    <row r="105">
      <c r="A105" s="131"/>
      <c r="B105" s="131"/>
      <c r="C105" s="131"/>
      <c r="D105" s="131"/>
      <c r="E105" s="131"/>
      <c r="F105" s="131"/>
      <c r="G105" s="131"/>
      <c r="H105" s="131"/>
      <c r="I105" s="149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</row>
    <row r="106">
      <c r="A106" s="131"/>
      <c r="B106" s="131"/>
      <c r="C106" s="131"/>
      <c r="D106" s="131"/>
      <c r="E106" s="131"/>
      <c r="F106" s="131"/>
      <c r="G106" s="131"/>
      <c r="H106" s="131"/>
      <c r="I106" s="149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</row>
    <row r="107">
      <c r="A107" s="131"/>
      <c r="B107" s="131"/>
      <c r="C107" s="131"/>
      <c r="D107" s="131"/>
      <c r="E107" s="131"/>
      <c r="F107" s="131"/>
      <c r="G107" s="131"/>
      <c r="H107" s="131"/>
      <c r="I107" s="149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</row>
  </sheetData>
  <autoFilter ref="$A$1:$AB$81"/>
  <mergeCells count="1">
    <mergeCell ref="T4:V4"/>
  </mergeCells>
  <conditionalFormatting sqref="I2:P42">
    <cfRule type="containsBlanks" dxfId="0" priority="1">
      <formula>LEN(TRIM(I2))=0</formula>
    </cfRule>
  </conditionalFormatting>
  <conditionalFormatting sqref="I2:P42">
    <cfRule type="notContainsText" dxfId="1" priority="2" operator="notContains" text="(">
      <formula>ISERROR(SEARCH(("("),(I2)))</formula>
    </cfRule>
  </conditionalFormatting>
  <conditionalFormatting sqref="I2:P42">
    <cfRule type="containsText" dxfId="2" priority="3" operator="containsText" text="(">
      <formula>NOT(ISERROR(SEARCH(("("),(I2))))</formula>
    </cfRule>
  </conditionalFormatting>
  <conditionalFormatting sqref="G47">
    <cfRule type="colorScale" priority="4">
      <colorScale>
        <cfvo type="min"/>
        <cfvo type="max"/>
        <color rgb="FF57BB8A"/>
        <color rgb="FFFFFFFF"/>
      </colorScale>
    </cfRule>
  </conditionalFormatting>
  <conditionalFormatting sqref="F2:F36 F37:F42">
    <cfRule type="notContainsText" dxfId="3" priority="5" operator="notContains" text="14.00">
      <formula>ISERROR(SEARCH(("14.00"),(F2)))</formula>
    </cfRule>
  </conditionalFormatting>
  <printOptions gridLines="1" horizontalCentered="1"/>
  <pageMargins bottom="0.75" footer="0.0" header="0.0" left="0.7" right="0.7" top="0.75"/>
  <pageSetup paperSize="9" scale="73" cellComments="atEnd" orientation="landscape" pageOrder="overThenDown"/>
  <drawing r:id="rId1"/>
</worksheet>
</file>