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- NL" sheetId="1" r:id="rId4"/>
    <sheet state="visible" name="Officials and games" sheetId="2" r:id="rId5"/>
    <sheet state="visible" name="Former Officials" sheetId="3" r:id="rId6"/>
    <sheet state="hidden" name="Plan - NL + 1. Div backup" sheetId="4" r:id="rId7"/>
    <sheet state="visible" name="2021 status" sheetId="5" r:id="rId8"/>
    <sheet state="hidden" name="Status data" sheetId="6" r:id="rId9"/>
    <sheet state="hidden" name="2020 status" sheetId="7" r:id="rId10"/>
    <sheet state="visible" name="Tasks" sheetId="8" r:id="rId11"/>
    <sheet state="visible" name="Stats" sheetId="9" r:id="rId12"/>
    <sheet state="visible" name="DATA" sheetId="10" r:id="rId13"/>
    <sheet state="visible" name="Upload tid" sheetId="11" r:id="rId14"/>
    <sheet state="visible" name="Pivottabel 1" sheetId="12" r:id="rId15"/>
    <sheet state="hidden" name="Kilometerdata" sheetId="13" r:id="rId16"/>
  </sheets>
  <definedNames>
    <definedName hidden="1" localSheetId="1" name="_xlnm._FilterDatabase">'Officials and games'!$A$2:$Q$36</definedName>
    <definedName hidden="1" localSheetId="2" name="_xlnm._FilterDatabase">'Former Officials'!$A$2:$Q$9</definedName>
    <definedName hidden="1" localSheetId="3" name="_xlnm._FilterDatabase">'Plan - NL + 1. Div backup'!$A$1:$AG$62</definedName>
    <definedName hidden="1" localSheetId="4" name="_xlnm._FilterDatabase">'2021 status'!$A$1:$F$31</definedName>
    <definedName hidden="1" localSheetId="6" name="_xlnm._FilterDatabase">'2020 status'!$A$1:$E$30</definedName>
    <definedName hidden="1" localSheetId="12" name="_xlnm._FilterDatabase">Kilometerdata!$A$1:$AB$81</definedName>
  </definedNames>
  <calcPr/>
  <pivotCaches>
    <pivotCache cacheId="0" r:id="rId17"/>
  </pivotCaches>
</workbook>
</file>

<file path=xl/sharedStrings.xml><?xml version="1.0" encoding="utf-8"?>
<sst xmlns="http://schemas.openxmlformats.org/spreadsheetml/2006/main" count="1932" uniqueCount="453">
  <si>
    <t xml:space="preserve"> </t>
  </si>
  <si>
    <t>Runde</t>
  </si>
  <si>
    <t>Dag</t>
  </si>
  <si>
    <t>Dato</t>
  </si>
  <si>
    <t>Måned</t>
  </si>
  <si>
    <t>Tidspunkt</t>
  </si>
  <si>
    <t>Hjemme</t>
  </si>
  <si>
    <t>Ude</t>
  </si>
  <si>
    <t>Games</t>
  </si>
  <si>
    <t>R</t>
  </si>
  <si>
    <t>U</t>
  </si>
  <si>
    <t>D</t>
  </si>
  <si>
    <t>L</t>
  </si>
  <si>
    <t>B</t>
  </si>
  <si>
    <t>F</t>
  </si>
  <si>
    <t>S</t>
  </si>
  <si>
    <t>C</t>
  </si>
  <si>
    <t>Note</t>
  </si>
  <si>
    <t>Antal tilmeldte 20-Mar 11:30</t>
  </si>
  <si>
    <t>1s</t>
  </si>
  <si>
    <t>2s</t>
  </si>
  <si>
    <t>3s</t>
  </si>
  <si>
    <t>Taske</t>
  </si>
  <si>
    <t>Taske IND</t>
  </si>
  <si>
    <t>Taske UD</t>
  </si>
  <si>
    <t>Betaling</t>
  </si>
  <si>
    <t>Video</t>
  </si>
  <si>
    <t>Gennemseer</t>
  </si>
  <si>
    <t>GameID</t>
  </si>
  <si>
    <t>Initialer</t>
  </si>
  <si>
    <t>Navn</t>
  </si>
  <si>
    <t>Status</t>
  </si>
  <si>
    <t>EDK</t>
  </si>
  <si>
    <t>Game start</t>
  </si>
  <si>
    <t>Primær</t>
  </si>
  <si>
    <t>Game end</t>
  </si>
  <si>
    <t>Sekundær</t>
  </si>
  <si>
    <t>Licens</t>
  </si>
  <si>
    <t>Video Exchanged.</t>
  </si>
  <si>
    <t>Licens #</t>
  </si>
  <si>
    <t>Landsdel</t>
  </si>
  <si>
    <t>Game time (easy)</t>
  </si>
  <si>
    <t>Klub</t>
  </si>
  <si>
    <t>Intercut time (min)</t>
  </si>
  <si>
    <t>Test</t>
  </si>
  <si>
    <t>Exchange of Breakdown data</t>
  </si>
  <si>
    <t>Telefon</t>
  </si>
  <si>
    <t>Return of break down data</t>
  </si>
  <si>
    <t>Mail</t>
  </si>
  <si>
    <t>Upload time</t>
  </si>
  <si>
    <t>Breakdown time</t>
  </si>
  <si>
    <t>Game time</t>
  </si>
  <si>
    <t>Total</t>
  </si>
  <si>
    <t>Vedligeholdende</t>
  </si>
  <si>
    <t>Primary 
position</t>
  </si>
  <si>
    <t>In primary group 
(not primary position)</t>
  </si>
  <si>
    <t xml:space="preserve">Outside primary group </t>
  </si>
  <si>
    <t>Søndag</t>
  </si>
  <si>
    <t>AD</t>
  </si>
  <si>
    <t>Adam Durucz</t>
  </si>
  <si>
    <t>Former</t>
  </si>
  <si>
    <t>Marts</t>
  </si>
  <si>
    <t>Nej</t>
  </si>
  <si>
    <t>Vest</t>
  </si>
  <si>
    <t>AT</t>
  </si>
  <si>
    <t>Towers</t>
  </si>
  <si>
    <t>Anders Tronier Hansen</t>
  </si>
  <si>
    <t>NL</t>
  </si>
  <si>
    <t>Demons</t>
  </si>
  <si>
    <t>FK</t>
  </si>
  <si>
    <t>DS</t>
  </si>
  <si>
    <t>VN</t>
  </si>
  <si>
    <t>MM</t>
  </si>
  <si>
    <t>Øst</t>
  </si>
  <si>
    <t>Uafhængig</t>
  </si>
  <si>
    <t>Klubcrew: Spartans</t>
  </si>
  <si>
    <t>atronierh@gmail.com</t>
  </si>
  <si>
    <t>Mandag</t>
  </si>
  <si>
    <t>April</t>
  </si>
  <si>
    <t>Tigers</t>
  </si>
  <si>
    <t>Razorbacks</t>
  </si>
  <si>
    <t>KL</t>
  </si>
  <si>
    <t>JL</t>
  </si>
  <si>
    <t>TO</t>
  </si>
  <si>
    <t>Klubcrew: Badgers</t>
  </si>
  <si>
    <t>JE</t>
  </si>
  <si>
    <t>CJ</t>
  </si>
  <si>
    <t>Jeppe Sejerø Ternander</t>
  </si>
  <si>
    <t>Christian Jørgensen</t>
  </si>
  <si>
    <t>Ja</t>
  </si>
  <si>
    <t>Anything</t>
  </si>
  <si>
    <t>Lørdag</t>
  </si>
  <si>
    <t>I</t>
  </si>
  <si>
    <t>jeppe_s_holm@hotmail.com</t>
  </si>
  <si>
    <t>christian@technobabble.dk</t>
  </si>
  <si>
    <t>FR</t>
  </si>
  <si>
    <t>HP</t>
  </si>
  <si>
    <t>TH</t>
  </si>
  <si>
    <t>ER</t>
  </si>
  <si>
    <t>TK</t>
  </si>
  <si>
    <t>89ers</t>
  </si>
  <si>
    <t>MR</t>
  </si>
  <si>
    <t>AR</t>
  </si>
  <si>
    <t>NI</t>
  </si>
  <si>
    <t>BT</t>
  </si>
  <si>
    <t>TM</t>
  </si>
  <si>
    <t>Oaks</t>
  </si>
  <si>
    <t>Gold Diggers</t>
  </si>
  <si>
    <t>LT</t>
  </si>
  <si>
    <t>RH</t>
  </si>
  <si>
    <t>KJ</t>
  </si>
  <si>
    <t>JT</t>
  </si>
  <si>
    <t>Jeppe Bjerg Thanning</t>
  </si>
  <si>
    <t>BA</t>
  </si>
  <si>
    <t>Brian Andersen</t>
  </si>
  <si>
    <t>Pause (barn)</t>
  </si>
  <si>
    <t>Deep / Wing</t>
  </si>
  <si>
    <t>Badgers</t>
  </si>
  <si>
    <t>KN</t>
  </si>
  <si>
    <t>Kim Mørch Nørgaard</t>
  </si>
  <si>
    <t>H</t>
  </si>
  <si>
    <t>Stallions</t>
  </si>
  <si>
    <t>pray@live.dk</t>
  </si>
  <si>
    <t>OJ</t>
  </si>
  <si>
    <t>Claus Nordberg Larsen</t>
  </si>
  <si>
    <t>Ude (skade)</t>
  </si>
  <si>
    <t>Maj</t>
  </si>
  <si>
    <t>nordberg20@gmail.com</t>
  </si>
  <si>
    <t>SK</t>
  </si>
  <si>
    <t>Slava Kuzmin</t>
  </si>
  <si>
    <t>Kampnr.</t>
  </si>
  <si>
    <t>EM</t>
  </si>
  <si>
    <t>Emil Riisgaard</t>
  </si>
  <si>
    <t>Semi</t>
  </si>
  <si>
    <t>emilriisgaard@hotmail.com</t>
  </si>
  <si>
    <t>ST</t>
  </si>
  <si>
    <t>Søren Stiesen</t>
  </si>
  <si>
    <t>Stisen202@gmail.com</t>
  </si>
  <si>
    <t>maj</t>
  </si>
  <si>
    <t>Fredag</t>
  </si>
  <si>
    <t>Hurricanes</t>
  </si>
  <si>
    <t>Erik Rasmussen</t>
  </si>
  <si>
    <t>S/B</t>
  </si>
  <si>
    <t>erikrasmussen23@gmail.com</t>
  </si>
  <si>
    <t>UO</t>
  </si>
  <si>
    <t>Ulf Overbeck</t>
  </si>
  <si>
    <t>Stille med 2-3 NL dommere</t>
  </si>
  <si>
    <t>airulf@hotmail.com</t>
  </si>
  <si>
    <t>TS</t>
  </si>
  <si>
    <t>KE</t>
  </si>
  <si>
    <t>Mangler</t>
  </si>
  <si>
    <t>Frank Kristensen</t>
  </si>
  <si>
    <t>Ude (ELF)</t>
  </si>
  <si>
    <t>fk110871@gmail.com</t>
  </si>
  <si>
    <t>Juni</t>
  </si>
  <si>
    <t>R*</t>
  </si>
  <si>
    <t>Rebels</t>
  </si>
  <si>
    <t>JK</t>
  </si>
  <si>
    <t>KEEP</t>
  </si>
  <si>
    <t>NL plan ud, 1. div næste uge</t>
  </si>
  <si>
    <t>Lasse Schrøder</t>
  </si>
  <si>
    <t>(SE)</t>
  </si>
  <si>
    <t>U*</t>
  </si>
  <si>
    <t>NL (back in)</t>
  </si>
  <si>
    <t>Kim Larsen</t>
  </si>
  <si>
    <t>H*</t>
  </si>
  <si>
    <t>Måske pause</t>
  </si>
  <si>
    <t>L*</t>
  </si>
  <si>
    <t>k.m.larzen@gmail.com</t>
  </si>
  <si>
    <t>Pause*</t>
  </si>
  <si>
    <t>F*</t>
  </si>
  <si>
    <t>Knights</t>
  </si>
  <si>
    <t>Demons / Wolfpack</t>
  </si>
  <si>
    <t>Inde?</t>
  </si>
  <si>
    <t>(JK)</t>
  </si>
  <si>
    <t>S*</t>
  </si>
  <si>
    <t>MÅ</t>
  </si>
  <si>
    <t>KBH fuldt crew</t>
  </si>
  <si>
    <t>B*</t>
  </si>
  <si>
    <t>MP</t>
  </si>
  <si>
    <t>Prospect</t>
  </si>
  <si>
    <t>Ude*</t>
  </si>
  <si>
    <t>Tidlig plan</t>
  </si>
  <si>
    <t>Tilkalder</t>
  </si>
  <si>
    <t>Prospects med i første runde</t>
  </si>
  <si>
    <t>Kim Johannsen</t>
  </si>
  <si>
    <t xml:space="preserve">Lørdag </t>
  </si>
  <si>
    <t>August</t>
  </si>
  <si>
    <t>Flyttet fra 14/6.</t>
  </si>
  <si>
    <t>Yes / No</t>
  </si>
  <si>
    <t>Commitment</t>
  </si>
  <si>
    <t>Position</t>
  </si>
  <si>
    <t>Level</t>
  </si>
  <si>
    <t>No</t>
  </si>
  <si>
    <t>Tilbage i Ungarn</t>
  </si>
  <si>
    <t>Asbjørn Rohold</t>
  </si>
  <si>
    <t>AL</t>
  </si>
  <si>
    <t>Yes</t>
  </si>
  <si>
    <t>Ok, vil gerne lære mere</t>
  </si>
  <si>
    <t>Anders Tronier</t>
  </si>
  <si>
    <t>OK</t>
  </si>
  <si>
    <t>Måske</t>
  </si>
  <si>
    <t>Bachelor + Far</t>
  </si>
  <si>
    <t>Rejser til USA</t>
  </si>
  <si>
    <t>Ok, så meget som muligt</t>
  </si>
  <si>
    <t>Pause forår, knæ</t>
  </si>
  <si>
    <t>OK, så meget som muligt</t>
  </si>
  <si>
    <t>Frank Rasmussen</t>
  </si>
  <si>
    <t>Jeppe Holm</t>
  </si>
  <si>
    <t>Ok, ja til ansvar</t>
  </si>
  <si>
    <t>Jonas Krum</t>
  </si>
  <si>
    <t>Jesper Lytzen</t>
  </si>
  <si>
    <t>Jeppe Thanning</t>
  </si>
  <si>
    <t>September</t>
  </si>
  <si>
    <t>F/S</t>
  </si>
  <si>
    <t>Mohammed Chatle</t>
  </si>
  <si>
    <t>MC</t>
  </si>
  <si>
    <t>kim.johannsen@gmail.com</t>
  </si>
  <si>
    <t>Martin Mikkelsen</t>
  </si>
  <si>
    <t>Ok</t>
  </si>
  <si>
    <t>Michael Rahbek</t>
  </si>
  <si>
    <t>Mads Åkjær</t>
  </si>
  <si>
    <t>Niels Ilberg</t>
  </si>
  <si>
    <t>Claus Nordberg</t>
  </si>
  <si>
    <t>Søren Rosenlund</t>
  </si>
  <si>
    <t>SR</t>
  </si>
  <si>
    <t>Ok, men ikke meget</t>
  </si>
  <si>
    <t>Thomas Begonja</t>
  </si>
  <si>
    <t>TB</t>
  </si>
  <si>
    <t>Thomas Myrup</t>
  </si>
  <si>
    <t>Tilbage</t>
  </si>
  <si>
    <t>Thomas Siggaard</t>
  </si>
  <si>
    <t>Vincent Nordkov</t>
  </si>
  <si>
    <t>Søren Skovsgaard Berthelsen</t>
  </si>
  <si>
    <t>SB</t>
  </si>
  <si>
    <t>?</t>
  </si>
  <si>
    <t>H/L</t>
  </si>
  <si>
    <t>Dyb</t>
  </si>
  <si>
    <t>mrtn.mkklsn@gmail.com</t>
  </si>
  <si>
    <t>H (F/S)</t>
  </si>
  <si>
    <t>U16</t>
  </si>
  <si>
    <t>lytzen13@gmail.com</t>
  </si>
  <si>
    <t>Oktober</t>
  </si>
  <si>
    <t>U16 Challenge Bowl</t>
  </si>
  <si>
    <t>Behold plan, til DU møde</t>
  </si>
  <si>
    <t>Mermaid Bowl</t>
  </si>
  <si>
    <t>jonaskrum@gmail.com</t>
  </si>
  <si>
    <t>Dragons</t>
  </si>
  <si>
    <t>(AT)</t>
  </si>
  <si>
    <t>AT over - langt?</t>
  </si>
  <si>
    <t>1. Div; supervisors fx - ikke 7</t>
  </si>
  <si>
    <t>Kurser</t>
  </si>
  <si>
    <t>NL forår</t>
  </si>
  <si>
    <t>Vest forår</t>
  </si>
  <si>
    <t>Øst forår</t>
  </si>
  <si>
    <t>Assignment
Forår</t>
  </si>
  <si>
    <t>NL efterår
(grundspil)</t>
  </si>
  <si>
    <t>NL totalt (grundspil)</t>
  </si>
  <si>
    <t>In-stribes
Total (grundspil)</t>
  </si>
  <si>
    <t>Monarchs</t>
  </si>
  <si>
    <t>Hans Peter Roth</t>
  </si>
  <si>
    <t>Spartans</t>
  </si>
  <si>
    <t>(EM)</t>
  </si>
  <si>
    <t>KEEP, men overvej hvem der kan flyttes til d. 29. i Vejle</t>
  </si>
  <si>
    <t>mads_aakjaer@hotmail.com</t>
  </si>
  <si>
    <t>Bil fra øst over under alle omstændigheder (B/deep/U). 
Hvis 8 på SNL; FK B, AT C. AT her</t>
  </si>
  <si>
    <t>juni</t>
  </si>
  <si>
    <t>L/H</t>
  </si>
  <si>
    <t>niels@ilberg.dk</t>
  </si>
  <si>
    <t>KEEP, men prioriterer NL kampen i Jylland</t>
  </si>
  <si>
    <t>FR/JE</t>
  </si>
  <si>
    <t>TB? JE, FR, CJ</t>
  </si>
  <si>
    <t>dommer484@gmail.com</t>
  </si>
  <si>
    <t>mohammed780_2@hotmail.com</t>
  </si>
  <si>
    <t>Musketeers</t>
  </si>
  <si>
    <t>(JL)</t>
  </si>
  <si>
    <t>(KJ)</t>
  </si>
  <si>
    <t>michael.g.rahbek@gmail.com</t>
  </si>
  <si>
    <t>august</t>
  </si>
  <si>
    <t>Søren Rosenlund Pedersen</t>
  </si>
  <si>
    <t>srosenlund88@gmail.com</t>
  </si>
  <si>
    <t>Pause</t>
  </si>
  <si>
    <t>eyez@eyez.dk</t>
  </si>
  <si>
    <t>thsiggaard@gmail.com</t>
  </si>
  <si>
    <t>vincentnordkov@hotmail.com</t>
  </si>
  <si>
    <t>september</t>
  </si>
  <si>
    <t>Dennis Svensson</t>
  </si>
  <si>
    <t>Troels Kristensen</t>
  </si>
  <si>
    <t>Ude (SGD)</t>
  </si>
  <si>
    <t>MØ</t>
  </si>
  <si>
    <t>Martin Møller</t>
  </si>
  <si>
    <t>Mark Poulsen</t>
  </si>
  <si>
    <t>Wing</t>
  </si>
  <si>
    <t>Ronnie Hansen</t>
  </si>
  <si>
    <t>Alex Lind</t>
  </si>
  <si>
    <t>Tommy Lønstrup Nielsen</t>
  </si>
  <si>
    <t>Semi 1</t>
  </si>
  <si>
    <t>AF</t>
  </si>
  <si>
    <t>Albert Fosberg</t>
  </si>
  <si>
    <t>Bo Thygesen</t>
  </si>
  <si>
    <t>Kent Johansen</t>
  </si>
  <si>
    <t>Semi 2</t>
  </si>
  <si>
    <t>3rd place</t>
  </si>
  <si>
    <t>oktober</t>
  </si>
  <si>
    <t>Lørdag/Søndag</t>
  </si>
  <si>
    <t>29/30</t>
  </si>
  <si>
    <t>medium</t>
  </si>
  <si>
    <t>Brian Baagøe Andersen</t>
  </si>
  <si>
    <t>AVERAGE</t>
  </si>
  <si>
    <t>bad</t>
  </si>
  <si>
    <t>MEDIAN</t>
  </si>
  <si>
    <t>s</t>
  </si>
  <si>
    <t>stats</t>
  </si>
  <si>
    <t>PROJECTED 1</t>
  </si>
  <si>
    <t>e</t>
  </si>
  <si>
    <t>endzone</t>
  </si>
  <si>
    <t>PROJECTED 2</t>
  </si>
  <si>
    <t>t</t>
  </si>
  <si>
    <t>tv</t>
  </si>
  <si>
    <t>Jan Holst</t>
  </si>
  <si>
    <t>JH</t>
  </si>
  <si>
    <t>Jens S. Pedersen</t>
  </si>
  <si>
    <t>JP</t>
  </si>
  <si>
    <t>Jacob Weber</t>
  </si>
  <si>
    <t>JW</t>
  </si>
  <si>
    <t>Kasper Kristoffersen</t>
  </si>
  <si>
    <t>KK</t>
  </si>
  <si>
    <t>Mohammad Ajine</t>
  </si>
  <si>
    <t>MA</t>
  </si>
  <si>
    <t>Martin Borg Andersen</t>
  </si>
  <si>
    <t>MB</t>
  </si>
  <si>
    <t>Michael Søndergaard Pedersen</t>
  </si>
  <si>
    <t>MS</t>
  </si>
  <si>
    <t>Niclas Pedersen</t>
  </si>
  <si>
    <t>NP</t>
  </si>
  <si>
    <t>Søren Ekander Jensen</t>
  </si>
  <si>
    <t>SE</t>
  </si>
  <si>
    <t>Søren R. Petersen</t>
  </si>
  <si>
    <t>Thomas Lund-Hansen</t>
  </si>
  <si>
    <t>Toke Lund</t>
  </si>
  <si>
    <t>TL</t>
  </si>
  <si>
    <t>best</t>
  </si>
  <si>
    <t>Initials</t>
  </si>
  <si>
    <t>Som 2019</t>
  </si>
  <si>
    <t>Orlov studie</t>
  </si>
  <si>
    <t>Virker mere klar end tidligere</t>
  </si>
  <si>
    <t>Far marts</t>
  </si>
  <si>
    <t>Might only be available until May</t>
  </si>
  <si>
    <t>NL tasks</t>
  </si>
  <si>
    <t>1. person</t>
  </si>
  <si>
    <t>2. person</t>
  </si>
  <si>
    <t>Kamppapirer</t>
  </si>
  <si>
    <t>Kamptasker</t>
  </si>
  <si>
    <t>Radioer</t>
  </si>
  <si>
    <t>Assignmemt</t>
  </si>
  <si>
    <t>KL / JE</t>
  </si>
  <si>
    <t>Gennemseening af kampe</t>
  </si>
  <si>
    <t>Deeps</t>
  </si>
  <si>
    <t>Wings</t>
  </si>
  <si>
    <t>Ref / Ump</t>
  </si>
  <si>
    <t>Kontakt til DAFF</t>
  </si>
  <si>
    <t>Dommerudgifter</t>
  </si>
  <si>
    <t>Gennemsnit</t>
  </si>
  <si>
    <t>Upload tid</t>
  </si>
  <si>
    <t>MXl</t>
  </si>
  <si>
    <t>Grænse</t>
  </si>
  <si>
    <t>Sluttidspunkt</t>
  </si>
  <si>
    <t>Varighed</t>
  </si>
  <si>
    <t>Varighed af kamp</t>
  </si>
  <si>
    <t>MXl for varighed</t>
  </si>
  <si>
    <t>Benjamin Behnke</t>
  </si>
  <si>
    <t>BB</t>
  </si>
  <si>
    <t>TS og NI eneste wings der har skrevet sig på...</t>
  </si>
  <si>
    <t>Positionkilometer</t>
  </si>
  <si>
    <t>Afstand til</t>
  </si>
  <si>
    <t>Lookup (position) i matrix - match/index</t>
  </si>
  <si>
    <t>Golddiggers</t>
  </si>
  <si>
    <t>JL eneste wing denne dag!
MÅ eneste S denne dag</t>
  </si>
  <si>
    <t>Slagelse</t>
  </si>
  <si>
    <t>Wings kan også byttes rundt (det er 2 x H, ingen øst-L'er denne dag)
S: KJ kan</t>
  </si>
  <si>
    <t>København</t>
  </si>
  <si>
    <t>2 x L, NI får kæden</t>
  </si>
  <si>
    <t>Odense</t>
  </si>
  <si>
    <t>S: KJ kan</t>
  </si>
  <si>
    <t>Vesterbro</t>
  </si>
  <si>
    <t>R/U: Evt. JT/UO som U og CJ som R? Og så VN på Søndags-kamp</t>
  </si>
  <si>
    <t>JT/UO</t>
  </si>
  <si>
    <t>R/U: Evt. CJ som R og VN som U</t>
  </si>
  <si>
    <t>Hvidovre</t>
  </si>
  <si>
    <t>KL/NI/JE IFAF @ Gentofte?
L: NI hvis ikke han skal til IFAF, JL hvis NI skal til IFAF
S:MÅ kan men transport?</t>
  </si>
  <si>
    <t>Tune</t>
  </si>
  <si>
    <t>Dagen efter IFAF @ Gentofte?
S: KJ på da MÅ ikke kan</t>
  </si>
  <si>
    <t>Jeppe Sejerø Holm</t>
  </si>
  <si>
    <t>København N</t>
  </si>
  <si>
    <t>Dagen efter IFAF @ Vejle?
S: KJ kan
C: AT med som C? Dog noget længere transport end 7 andre på crew</t>
  </si>
  <si>
    <t>Sønderborg</t>
  </si>
  <si>
    <t>Ingen L fra øst, derfor FR som L og FK som R</t>
  </si>
  <si>
    <t>Frederiksberg</t>
  </si>
  <si>
    <t>Torsdag</t>
  </si>
  <si>
    <t>U: CJ sat på, da MÅ alligevel over (eneste S). Samkørsel fra Slagelse
Mulighed med FK som R eller B og AT som C. Dog vil en ekstra øst-mand nok kræve en ekstra bil over broen. Hvis der committes til 2 biler kan JE også byde ind på C og der kan være 8 på kampen.</t>
  </si>
  <si>
    <t>JE enten her eller 2/6</t>
  </si>
  <si>
    <t>Allerød</t>
  </si>
  <si>
    <t>S: MÅ kan, men KL/TM på for at minimere transport</t>
  </si>
  <si>
    <t>Haderup</t>
  </si>
  <si>
    <t>S: Ingen S'er kan. JE sat på.
TM i stedet?</t>
  </si>
  <si>
    <t>JE enten her eller 30/5</t>
  </si>
  <si>
    <t>Randers</t>
  </si>
  <si>
    <t>F: JE er eneste F den dag</t>
  </si>
  <si>
    <t>Søborg</t>
  </si>
  <si>
    <t>C: AT med som C? Dog noget længere transport end 7 andre på crew</t>
  </si>
  <si>
    <t>Lyngby</t>
  </si>
  <si>
    <t>Kun 2 wings denne dag... KN og NI til 2 kampe</t>
  </si>
  <si>
    <t>Aalborg</t>
  </si>
  <si>
    <t>S: JE sat på da ingen S'er.
C/U: Evt. VN på U og CJ som CJ</t>
  </si>
  <si>
    <t>Mohammed Nasser Chatle</t>
  </si>
  <si>
    <t>Viby J</t>
  </si>
  <si>
    <t>S: MÅ sat på da FR over alligevel</t>
  </si>
  <si>
    <t>Aalborg SV</t>
  </si>
  <si>
    <t>S: KJ?</t>
  </si>
  <si>
    <t>S: JE/KJ kan
L: Kun vest-folk kan... (JL+NI)
SR hvis han kan</t>
  </si>
  <si>
    <t>Valby</t>
  </si>
  <si>
    <t>Odense SØ</t>
  </si>
  <si>
    <t>Status:</t>
  </si>
  <si>
    <t>Søren Stisen</t>
  </si>
  <si>
    <t>Aalestrup</t>
  </si>
  <si>
    <t>R: En del huller. Muligt med CJ på flere R-poster</t>
  </si>
  <si>
    <t>Gistrup</t>
  </si>
  <si>
    <t>U: 3 x (CJ/VN) i Aalborg. Mangler lidt sol&amp;vind-fordeling mellem 2xTop-kamp og en Badgers</t>
  </si>
  <si>
    <t>Dyb wing: MÅ kan på næsten alt S. Forslag stillet på en række kampe om fordeling ud til F'er (både øst og vest) som "MÅ (xx)"</t>
  </si>
  <si>
    <t>Septemb</t>
  </si>
  <si>
    <t>B: OK</t>
  </si>
  <si>
    <t>WC 1</t>
  </si>
  <si>
    <t>WC 2</t>
  </si>
  <si>
    <t>NL Kval 1</t>
  </si>
  <si>
    <t>AVERAGE af Upload time</t>
  </si>
  <si>
    <t>MAX af Upload time</t>
  </si>
  <si>
    <t>AVERAGE af Breakdown time</t>
  </si>
  <si>
    <t>MAX af Breakdown time</t>
  </si>
  <si>
    <t>AVERAGE af Game time</t>
  </si>
  <si>
    <t>I alt</t>
  </si>
  <si>
    <t>Tomahawks</t>
  </si>
  <si>
    <t>Rasmus Søby</t>
  </si>
  <si>
    <t>RS</t>
  </si>
  <si>
    <t>Jeppe Sejerø</t>
  </si>
  <si>
    <t>Emil Skov Lundager</t>
  </si>
  <si>
    <t>EL</t>
  </si>
  <si>
    <t xml:space="preserve">Ronnie Hansen </t>
  </si>
  <si>
    <t>Lucas Toftkjær</t>
  </si>
  <si>
    <t>Thomas Holmboe</t>
  </si>
  <si>
    <t>Rasmus Bukhave</t>
  </si>
  <si>
    <t>RB</t>
  </si>
  <si>
    <t>Martin Elskjær Møller</t>
  </si>
  <si>
    <t>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</si>
</sst>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hh.mm"/>
    <numFmt numFmtId="165" formatCode="&quot;kr &quot;#,##0.00"/>
    <numFmt numFmtId="166" formatCode="m/d/yyyy h:mm:ss"/>
    <numFmt numFmtId="167" formatCode="dd/mm/yyyy hh.mm"/>
    <numFmt numFmtId="168" formatCode="[h].mm.ss"/>
    <numFmt numFmtId="169" formatCode="HH.mm.ss"/>
    <numFmt numFmtId="170" formatCode="dd/mm/yyyy hh.mm.ss"/>
    <numFmt numFmtId="171" formatCode="d/m/yyyy hh.mm"/>
    <numFmt numFmtId="172" formatCode="#,##0.###############"/>
    <numFmt numFmtId="173" formatCode="hh.mm.ss"/>
    <numFmt numFmtId="174" formatCode="H:mm:ss"/>
    <numFmt numFmtId="175" formatCode="d/m"/>
    <numFmt numFmtId="176" formatCode="&quot;kr&quot;#,##0"/>
  </numFmts>
  <fonts count="27">
    <font>
      <sz val="10.0"/>
      <color rgb="FF000000"/>
      <name val="Arial"/>
    </font>
    <font/>
    <font>
      <b/>
      <sz val="10.0"/>
      <name val="Arial"/>
    </font>
    <font>
      <b/>
    </font>
    <font>
      <sz val="10.0"/>
      <name val="Arial"/>
    </font>
    <font>
      <sz val="10.0"/>
    </font>
    <font>
      <i/>
      <sz val="10.0"/>
      <name val="Arial"/>
    </font>
    <font>
      <i/>
      <sz val="10.0"/>
      <color rgb="FF000000"/>
      <name val="Arial"/>
    </font>
    <font>
      <u/>
      <color rgb="FF0000FF"/>
    </font>
    <font>
      <b/>
      <sz val="10.0"/>
    </font>
    <font>
      <name val="Arial"/>
    </font>
    <font>
      <color rgb="FF000000"/>
      <name val="Arial"/>
    </font>
    <font>
      <i/>
      <sz val="10.0"/>
    </font>
    <font>
      <u/>
      <color rgb="FF0000FF"/>
    </font>
    <font>
      <sz val="11.0"/>
      <color rgb="FF000000"/>
      <name val="Calibri"/>
    </font>
    <font>
      <i/>
      <strike/>
      <sz val="10.0"/>
      <color rgb="FF000000"/>
      <name val="Arial"/>
    </font>
    <font>
      <i/>
      <strike/>
      <sz val="10.0"/>
      <name val="Arial"/>
    </font>
    <font>
      <i/>
      <strike/>
      <name val="Arial"/>
    </font>
    <font>
      <color rgb="FF1D2129"/>
      <name val="Inherit"/>
    </font>
    <font>
      <i/>
      <strike/>
      <color rgb="FF000000"/>
      <name val="Arial"/>
    </font>
    <font>
      <i/>
      <color rgb="FF000000"/>
      <name val="Arial"/>
    </font>
    <font>
      <strike/>
      <color rgb="FF000000"/>
      <name val="Arial"/>
    </font>
    <font>
      <i/>
      <strike/>
      <sz val="10.0"/>
    </font>
    <font>
      <strike/>
      <name val="Arial"/>
    </font>
    <font>
      <strike/>
    </font>
    <font>
      <b/>
      <name val="Arial"/>
    </font>
    <font>
      <color rgb="FF000000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BF1DE"/>
        <bgColor rgb="FFEBF1DE"/>
      </patternFill>
    </fill>
    <fill>
      <patternFill patternType="solid">
        <fgColor rgb="FFC4D79B"/>
        <bgColor rgb="FFC4D79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0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2" fontId="3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2" fillId="0" fontId="1" numFmtId="0" xfId="0" applyAlignment="1" applyBorder="1" applyFont="1">
      <alignment shrinkToFit="0" wrapText="1"/>
    </xf>
    <xf borderId="3" fillId="2" fontId="1" numFmtId="0" xfId="0" applyAlignment="1" applyBorder="1" applyFill="1" applyFont="1">
      <alignment readingOrder="0" shrinkToFit="0" vertical="bottom" wrapText="1"/>
    </xf>
    <xf borderId="4" fillId="0" fontId="0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bottom" wrapText="1"/>
    </xf>
    <xf borderId="4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4" fillId="0" fontId="4" numFmtId="164" xfId="0" applyAlignment="1" applyBorder="1" applyFont="1" applyNumberFormat="1">
      <alignment horizontal="right" readingOrder="0" shrinkToFit="0" vertical="center" wrapText="1"/>
    </xf>
    <xf borderId="2" fillId="0" fontId="1" numFmtId="0" xfId="0" applyAlignment="1" applyBorder="1" applyFont="1">
      <alignment shrinkToFit="0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4" fillId="0" fontId="6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wrapText="1"/>
    </xf>
    <xf borderId="4" fillId="0" fontId="0" numFmtId="3" xfId="0" applyAlignment="1" applyBorder="1" applyFont="1" applyNumberFormat="1">
      <alignment readingOrder="0" shrinkToFit="0" vertical="center" wrapText="0"/>
    </xf>
    <xf borderId="4" fillId="0" fontId="0" numFmtId="165" xfId="0" applyAlignment="1" applyBorder="1" applyFont="1" applyNumberFormat="1">
      <alignment readingOrder="0" shrinkToFit="0" vertical="center" wrapText="0"/>
    </xf>
    <xf borderId="4" fillId="2" fontId="4" numFmtId="0" xfId="0" applyAlignment="1" applyBorder="1" applyFill="1" applyFont="1">
      <alignment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0" fillId="0" fontId="0" numFmtId="0" xfId="0" applyAlignment="1" applyFont="1">
      <alignment shrinkToFit="0" vertical="center" wrapText="1"/>
    </xf>
    <xf borderId="0" fillId="2" fontId="1" numFmtId="0" xfId="0" applyAlignment="1" applyFill="1" applyFont="1">
      <alignment shrinkToFit="0" vertical="center" wrapText="1"/>
    </xf>
    <xf borderId="0" fillId="0" fontId="4" numFmtId="166" xfId="0" applyAlignment="1" applyFont="1" applyNumberFormat="1">
      <alignment readingOrder="0" shrinkToFit="0" vertical="center" wrapText="1"/>
    </xf>
    <xf borderId="0" fillId="0" fontId="4" numFmtId="167" xfId="0" applyAlignment="1" applyFont="1" applyNumberFormat="1">
      <alignment readingOrder="0" shrinkToFit="0" vertical="center" wrapText="1"/>
    </xf>
    <xf borderId="0" fillId="4" fontId="0" numFmtId="0" xfId="0" applyAlignment="1" applyFill="1" applyFont="1">
      <alignment readingOrder="0" shrinkToFit="0" vertical="center" wrapText="0"/>
    </xf>
    <xf borderId="0" fillId="5" fontId="0" numFmtId="0" xfId="0" applyAlignment="1" applyFill="1" applyFont="1">
      <alignment readingOrder="0" shrinkToFit="0" vertical="center" wrapText="0"/>
    </xf>
    <xf borderId="0" fillId="0" fontId="4" numFmtId="168" xfId="0" applyAlignment="1" applyFont="1" applyNumberFormat="1">
      <alignment shrinkToFit="0" vertical="center" wrapText="1"/>
    </xf>
    <xf borderId="0" fillId="5" fontId="0" numFmtId="168" xfId="0" applyAlignment="1" applyFill="1" applyFont="1" applyNumberFormat="1">
      <alignment readingOrder="0" shrinkToFit="0" vertical="center" wrapText="0"/>
    </xf>
    <xf borderId="0" fillId="5" fontId="0" numFmtId="169" xfId="0" applyAlignment="1" applyFill="1" applyFont="1" applyNumberFormat="1">
      <alignment readingOrder="0" shrinkToFit="0" vertical="center" wrapText="0"/>
    </xf>
    <xf borderId="5" fillId="0" fontId="0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1"/>
    </xf>
    <xf borderId="5" fillId="0" fontId="4" numFmtId="164" xfId="0" applyAlignment="1" applyBorder="1" applyFont="1" applyNumberFormat="1">
      <alignment horizontal="righ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3" fontId="4" numFmtId="0" xfId="0" applyAlignment="1" applyBorder="1" applyFill="1" applyFont="1">
      <alignment horizontal="left"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0" numFmtId="3" xfId="0" applyAlignment="1" applyBorder="1" applyFont="1" applyNumberFormat="1">
      <alignment readingOrder="0" shrinkToFit="0" vertical="center" wrapText="0"/>
    </xf>
    <xf borderId="5" fillId="0" fontId="0" numFmtId="165" xfId="0" applyAlignment="1" applyBorder="1" applyFont="1" applyNumberFormat="1">
      <alignment readingOrder="0" shrinkToFit="0" vertical="center" wrapText="0"/>
    </xf>
    <xf borderId="5" fillId="2" fontId="4" numFmtId="0" xfId="0" applyAlignment="1" applyBorder="1" applyFill="1" applyFont="1">
      <alignment readingOrder="0" shrinkToFit="0" vertical="center" wrapText="1"/>
    </xf>
    <xf borderId="6" fillId="2" fontId="4" numFmtId="0" xfId="0" applyAlignment="1" applyBorder="1" applyFill="1" applyFont="1">
      <alignment readingOrder="0" shrinkToFit="0" vertical="center" wrapText="1"/>
    </xf>
    <xf borderId="7" fillId="0" fontId="0" numFmtId="0" xfId="0" applyAlignment="1" applyBorder="1" applyFont="1">
      <alignment readingOrder="0" shrinkToFit="0" vertical="center" wrapText="0"/>
    </xf>
    <xf borderId="7" fillId="0" fontId="0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right" readingOrder="0" shrinkToFit="0" vertical="center" wrapText="1"/>
    </xf>
    <xf borderId="8" fillId="0" fontId="4" numFmtId="164" xfId="0" applyAlignment="1" applyBorder="1" applyFont="1" applyNumberFormat="1">
      <alignment horizontal="right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9" fillId="3" fontId="4" numFmtId="0" xfId="0" applyAlignment="1" applyBorder="1" applyFill="1" applyFont="1">
      <alignment horizontal="left" readingOrder="0" shrinkToFit="0" vertical="center" wrapText="1"/>
    </xf>
    <xf borderId="10" fillId="3" fontId="4" numFmtId="0" xfId="0" applyAlignment="1" applyBorder="1" applyFill="1" applyFont="1">
      <alignment horizontal="left" readingOrder="0" shrinkToFit="0" vertical="center" wrapText="1"/>
    </xf>
    <xf borderId="11" fillId="0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0" numFmtId="165" xfId="0" applyAlignment="1" applyBorder="1" applyFont="1" applyNumberFormat="1">
      <alignment readingOrder="0" shrinkToFit="0" vertical="center" wrapText="0"/>
    </xf>
    <xf borderId="4" fillId="0" fontId="0" numFmtId="0" xfId="0" applyAlignment="1" applyBorder="1" applyFont="1">
      <alignment horizontal="right" readingOrder="0" shrinkToFit="0" vertical="bottom" wrapText="0"/>
    </xf>
    <xf borderId="7" fillId="3" fontId="4" numFmtId="0" xfId="0" applyAlignment="1" applyBorder="1" applyFill="1" applyFont="1">
      <alignment horizontal="left" readingOrder="0" shrinkToFit="0" vertical="center" wrapText="1"/>
    </xf>
    <xf borderId="8" fillId="3" fontId="4" numFmtId="0" xfId="0" applyAlignment="1" applyBorder="1" applyFill="1" applyFont="1">
      <alignment horizontal="left" readingOrder="0" shrinkToFit="0" vertical="center" wrapText="1"/>
    </xf>
    <xf borderId="12" fillId="0" fontId="4" numFmtId="0" xfId="0" applyAlignment="1" applyBorder="1" applyFont="1">
      <alignment horizontal="left" readingOrder="0" shrinkToFit="0" vertical="center" wrapText="1"/>
    </xf>
    <xf borderId="4" fillId="0" fontId="7" numFmtId="165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shrinkToFit="0" wrapText="1"/>
    </xf>
    <xf borderId="12" fillId="0" fontId="2" numFmtId="0" xfId="0" applyAlignment="1" applyBorder="1" applyFont="1">
      <alignment horizontal="left" readingOrder="0" shrinkToFit="0" vertical="center" wrapText="1"/>
    </xf>
    <xf borderId="0" fillId="6" fontId="4" numFmtId="0" xfId="0" applyAlignment="1" applyFill="1" applyFont="1">
      <alignment readingOrder="0" shrinkToFit="0" vertical="center" wrapText="1"/>
    </xf>
    <xf borderId="1" fillId="6" fontId="4" numFmtId="0" xfId="0" applyAlignment="1" applyBorder="1" applyFill="1" applyFont="1">
      <alignment readingOrder="0" shrinkToFit="0" vertical="center" wrapText="1"/>
    </xf>
    <xf borderId="8" fillId="7" fontId="4" numFmtId="0" xfId="0" applyAlignment="1" applyBorder="1" applyFill="1" applyFont="1">
      <alignment horizontal="left" readingOrder="0" shrinkToFit="0" vertical="center" wrapText="1"/>
    </xf>
    <xf borderId="4" fillId="0" fontId="4" numFmtId="0" xfId="0" applyAlignment="1" applyBorder="1" applyFont="1">
      <alignment horizontal="right" readingOrder="0" shrinkToFit="0" vertical="center" wrapText="1"/>
    </xf>
    <xf borderId="4" fillId="7" fontId="4" numFmtId="0" xfId="0" applyAlignment="1" applyBorder="1" applyFill="1" applyFont="1">
      <alignment horizontal="left" readingOrder="0" shrinkToFit="0" vertical="center" wrapText="1"/>
    </xf>
    <xf borderId="0" fillId="5" fontId="0" numFmtId="167" xfId="0" applyAlignment="1" applyFill="1" applyFont="1" applyNumberFormat="1">
      <alignment readingOrder="0" shrinkToFit="0" vertical="center" wrapText="0"/>
    </xf>
    <xf borderId="4" fillId="7" fontId="4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4" numFmtId="170" xfId="0" applyAlignment="1" applyFont="1" applyNumberFormat="1">
      <alignment readingOrder="0" shrinkToFit="0" vertical="center" wrapText="1"/>
    </xf>
    <xf borderId="0" fillId="2" fontId="4" numFmtId="168" xfId="0" applyAlignment="1" applyFill="1" applyFont="1" applyNumberFormat="1">
      <alignment shrinkToFit="0" vertical="center" wrapText="1"/>
    </xf>
    <xf borderId="0" fillId="2" fontId="4" numFmtId="167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right"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4" fillId="8" fontId="11" numFmtId="0" xfId="0" applyAlignment="1" applyBorder="1" applyFill="1" applyFont="1">
      <alignment readingOrder="0" shrinkToFit="0" vertical="center" wrapText="0"/>
    </xf>
    <xf borderId="4" fillId="8" fontId="12" numFmtId="0" xfId="0" applyAlignment="1" applyBorder="1" applyFill="1" applyFont="1">
      <alignment horizontal="right" readingOrder="0" shrinkToFit="0" vertical="center" wrapText="1"/>
    </xf>
    <xf borderId="7" fillId="8" fontId="12" numFmtId="0" xfId="0" applyAlignment="1" applyBorder="1" applyFill="1" applyFont="1">
      <alignment readingOrder="0" shrinkToFit="0" vertical="center" wrapText="1"/>
    </xf>
    <xf borderId="4" fillId="8" fontId="12" numFmtId="164" xfId="0" applyAlignment="1" applyBorder="1" applyFill="1" applyFont="1" applyNumberFormat="1">
      <alignment horizontal="right" readingOrder="0" shrinkToFit="0" vertical="center" wrapText="1"/>
    </xf>
    <xf borderId="8" fillId="8" fontId="12" numFmtId="0" xfId="0" applyAlignment="1" applyBorder="1" applyFill="1" applyFont="1">
      <alignment readingOrder="0" shrinkToFit="0" vertical="center" wrapText="1"/>
    </xf>
    <xf borderId="7" fillId="3" fontId="10" numFmtId="0" xfId="0" applyAlignment="1" applyBorder="1" applyFill="1" applyFont="1">
      <alignment readingOrder="0" shrinkToFit="0" vertical="center" wrapText="1"/>
    </xf>
    <xf borderId="4" fillId="6" fontId="4" numFmtId="0" xfId="0" applyAlignment="1" applyBorder="1" applyFill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165" xfId="0" applyAlignment="1" applyBorder="1" applyFont="1" applyNumberFormat="1">
      <alignment readingOrder="0" shrinkToFit="0" vertical="center" wrapText="1"/>
    </xf>
    <xf borderId="0" fillId="0" fontId="4" numFmtId="171" xfId="0" applyAlignment="1" applyFont="1" applyNumberFormat="1">
      <alignment readingOrder="0"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13" numFmtId="0" xfId="0" applyAlignment="1" applyFont="1">
      <alignment shrinkToFit="0" wrapText="1"/>
    </xf>
    <xf borderId="8" fillId="2" fontId="10" numFmtId="0" xfId="0" applyAlignment="1" applyBorder="1" applyFill="1" applyFont="1">
      <alignment readingOrder="0" shrinkToFit="0" vertical="center" wrapText="1"/>
    </xf>
    <xf borderId="4" fillId="0" fontId="1" numFmtId="165" xfId="0" applyAlignment="1" applyBorder="1" applyFont="1" applyNumberFormat="1">
      <alignment horizontal="right"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0" fillId="0" fontId="10" numFmtId="166" xfId="0" applyAlignment="1" applyFont="1" applyNumberFormat="1">
      <alignment horizontal="right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right" readingOrder="0" shrinkToFit="0" vertical="bottom" wrapText="1"/>
    </xf>
    <xf borderId="0" fillId="4" fontId="14" numFmtId="0" xfId="0" applyAlignment="1" applyFill="1" applyFont="1">
      <alignment readingOrder="0" shrinkToFit="0" vertical="center" wrapText="0"/>
    </xf>
    <xf borderId="0" fillId="5" fontId="14" numFmtId="0" xfId="0" applyAlignment="1" applyFill="1" applyFont="1">
      <alignment readingOrder="0" shrinkToFit="0" vertical="center" wrapText="0"/>
    </xf>
    <xf borderId="0" fillId="5" fontId="14" numFmtId="167" xfId="0" applyAlignment="1" applyFill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bottom" wrapText="1"/>
    </xf>
    <xf borderId="0" fillId="0" fontId="1" numFmtId="168" xfId="0" applyAlignment="1" applyFont="1" applyNumberFormat="1">
      <alignment shrinkToFit="0" vertical="center" wrapText="1"/>
    </xf>
    <xf borderId="0" fillId="5" fontId="14" numFmtId="168" xfId="0" applyAlignment="1" applyFill="1" applyFont="1" applyNumberFormat="1">
      <alignment readingOrder="0" shrinkToFit="0" vertical="center" wrapText="0"/>
    </xf>
    <xf borderId="0" fillId="5" fontId="14" numFmtId="169" xfId="0" applyAlignment="1" applyFill="1" applyFont="1" applyNumberFormat="1">
      <alignment readingOrder="0" shrinkToFit="0" vertical="center" wrapText="0"/>
    </xf>
    <xf borderId="0" fillId="0" fontId="10" numFmtId="0" xfId="0" applyAlignment="1" applyFont="1">
      <alignment horizontal="right" shrinkToFit="0" vertical="bottom" wrapText="1"/>
    </xf>
    <xf borderId="4" fillId="0" fontId="3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readingOrder="0" shrinkToFit="0" vertical="center" wrapText="1"/>
    </xf>
    <xf borderId="0" fillId="2" fontId="11" numFmtId="167" xfId="0" applyAlignment="1" applyFill="1" applyFont="1" applyNumberFormat="1">
      <alignment readingOrder="0" shrinkToFit="0" vertical="center" wrapText="1"/>
    </xf>
    <xf borderId="0" fillId="5" fontId="14" numFmtId="171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horizontal="left" shrinkToFit="0" wrapText="1"/>
    </xf>
    <xf borderId="8" fillId="0" fontId="6" numFmtId="0" xfId="0" applyAlignment="1" applyBorder="1" applyFont="1">
      <alignment shrinkToFit="0" vertical="center" wrapText="1"/>
    </xf>
    <xf borderId="7" fillId="6" fontId="10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4" fillId="3" fontId="1" numFmtId="0" xfId="0" applyAlignment="1" applyBorder="1" applyFill="1" applyFont="1">
      <alignment readingOrder="0" shrinkToFit="0" vertical="center" wrapText="1"/>
    </xf>
    <xf borderId="14" fillId="0" fontId="0" numFmtId="0" xfId="0" applyAlignment="1" applyBorder="1" applyFont="1">
      <alignment readingOrder="0" shrinkToFit="0" vertical="center" wrapText="0"/>
    </xf>
    <xf borderId="15" fillId="0" fontId="0" numFmtId="0" xfId="0" applyAlignment="1" applyBorder="1" applyFont="1">
      <alignment horizontal="right" readingOrder="0" shrinkToFit="0" vertical="bottom" wrapText="0"/>
    </xf>
    <xf borderId="4" fillId="0" fontId="14" numFmtId="165" xfId="0" applyAlignment="1" applyBorder="1" applyFont="1" applyNumberFormat="1">
      <alignment readingOrder="0" shrinkToFit="0" vertical="center" wrapText="0"/>
    </xf>
    <xf borderId="16" fillId="0" fontId="4" numFmtId="0" xfId="0" applyAlignment="1" applyBorder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16" fillId="0" fontId="4" numFmtId="0" xfId="0" applyAlignment="1" applyBorder="1" applyFont="1">
      <alignment horizontal="right" readingOrder="0" shrinkToFit="0" vertical="center" wrapText="1"/>
    </xf>
    <xf borderId="16" fillId="0" fontId="4" numFmtId="164" xfId="0" applyAlignment="1" applyBorder="1" applyFont="1" applyNumberFormat="1">
      <alignment horizontal="right" readingOrder="0" shrinkToFit="0" vertical="center" wrapText="1"/>
    </xf>
    <xf borderId="5" fillId="7" fontId="4" numFmtId="0" xfId="0" applyAlignment="1" applyBorder="1" applyFill="1" applyFont="1">
      <alignment horizontal="left" readingOrder="0" shrinkToFit="0" vertical="center" wrapText="1"/>
    </xf>
    <xf borderId="16" fillId="0" fontId="6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vertical="bottom" wrapText="1"/>
    </xf>
    <xf borderId="4" fillId="2" fontId="11" numFmtId="0" xfId="0" applyAlignment="1" applyBorder="1" applyFill="1" applyFont="1">
      <alignment readingOrder="0" shrinkToFit="0" vertical="center" wrapText="0"/>
    </xf>
    <xf borderId="4" fillId="2" fontId="5" numFmtId="0" xfId="0" applyAlignment="1" applyBorder="1" applyFill="1" applyFont="1">
      <alignment horizontal="right" readingOrder="0" shrinkToFit="0" vertical="center" wrapText="1"/>
    </xf>
    <xf borderId="0" fillId="0" fontId="1" numFmtId="0" xfId="0" applyAlignment="1" applyFont="1">
      <alignment readingOrder="0" shrinkToFit="0" wrapText="0"/>
    </xf>
    <xf borderId="4" fillId="2" fontId="5" numFmtId="0" xfId="0" applyAlignment="1" applyBorder="1" applyFill="1" applyFont="1">
      <alignment readingOrder="0" shrinkToFit="0" vertical="center" wrapText="1"/>
    </xf>
    <xf borderId="7" fillId="2" fontId="5" numFmtId="0" xfId="0" applyAlignment="1" applyBorder="1" applyFill="1" applyFont="1">
      <alignment readingOrder="0" shrinkToFit="0" vertical="center" wrapText="1"/>
    </xf>
    <xf borderId="4" fillId="2" fontId="5" numFmtId="164" xfId="0" applyAlignment="1" applyBorder="1" applyFill="1" applyFont="1" applyNumberFormat="1">
      <alignment horizontal="right" readingOrder="0" shrinkToFit="0" vertical="center" wrapText="1"/>
    </xf>
    <xf borderId="4" fillId="9" fontId="10" numFmtId="0" xfId="0" applyAlignment="1" applyBorder="1" applyFill="1" applyFont="1">
      <alignment readingOrder="0" shrinkToFit="0" vertical="center" wrapText="1"/>
    </xf>
    <xf borderId="9" fillId="3" fontId="10" numFmtId="0" xfId="0" applyAlignment="1" applyBorder="1" applyFill="1" applyFont="1">
      <alignment shrinkToFit="0" vertical="center" wrapText="1"/>
    </xf>
    <xf borderId="10" fillId="3" fontId="10" numFmtId="0" xfId="0" applyAlignment="1" applyBorder="1" applyFill="1" applyFont="1">
      <alignment shrinkToFit="0" vertical="center" wrapText="1"/>
    </xf>
    <xf borderId="4" fillId="3" fontId="10" numFmtId="0" xfId="0" applyAlignment="1" applyBorder="1" applyFill="1" applyFont="1">
      <alignment shrinkToFit="0" vertical="center" wrapText="1"/>
    </xf>
    <xf borderId="13" fillId="3" fontId="10" numFmtId="0" xfId="0" applyAlignment="1" applyBorder="1" applyFill="1" applyFont="1">
      <alignment shrinkToFit="0" vertical="center" wrapText="1"/>
    </xf>
    <xf borderId="7" fillId="7" fontId="4" numFmtId="0" xfId="0" applyAlignment="1" applyBorder="1" applyFill="1" applyFont="1">
      <alignment horizontal="left" shrinkToFit="0" vertical="center" wrapText="1"/>
    </xf>
    <xf borderId="7" fillId="0" fontId="0" numFmtId="165" xfId="0" applyAlignment="1" applyBorder="1" applyFont="1" applyNumberForma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1"/>
    </xf>
    <xf borderId="7" fillId="2" fontId="4" numFmtId="0" xfId="0" applyAlignment="1" applyBorder="1" applyFill="1" applyFont="1">
      <alignment readingOrder="0" shrinkToFit="0" vertical="center" wrapText="1"/>
    </xf>
    <xf borderId="4" fillId="10" fontId="15" numFmtId="0" xfId="0" applyAlignment="1" applyBorder="1" applyFill="1" applyFont="1">
      <alignment readingOrder="0" shrinkToFit="0" vertical="center" wrapText="0"/>
    </xf>
    <xf borderId="4" fillId="10" fontId="15" numFmtId="0" xfId="0" applyAlignment="1" applyBorder="1" applyFill="1" applyFont="1">
      <alignment horizontal="right" readingOrder="0" shrinkToFit="0" vertical="bottom" wrapText="0"/>
    </xf>
    <xf borderId="4" fillId="10" fontId="16" numFmtId="0" xfId="0" applyAlignment="1" applyBorder="1" applyFill="1" applyFont="1">
      <alignment readingOrder="0" shrinkToFit="0" vertical="center" wrapText="1"/>
    </xf>
    <xf borderId="4" fillId="10" fontId="16" numFmtId="0" xfId="0" applyAlignment="1" applyBorder="1" applyFill="1" applyFont="1">
      <alignment horizontal="right" readingOrder="0" shrinkToFit="0" vertical="center" wrapText="1"/>
    </xf>
    <xf borderId="0" fillId="0" fontId="1" numFmtId="0" xfId="0" applyAlignment="1" applyFont="1">
      <alignment shrinkToFit="0" wrapText="0"/>
    </xf>
    <xf borderId="4" fillId="10" fontId="16" numFmtId="164" xfId="0" applyAlignment="1" applyBorder="1" applyFill="1" applyFont="1" applyNumberFormat="1">
      <alignment horizontal="right" readingOrder="0" shrinkToFit="0" vertical="center" wrapText="1"/>
    </xf>
    <xf borderId="0" fillId="0" fontId="1" numFmtId="0" xfId="0" applyAlignment="1" applyFont="1">
      <alignment readingOrder="0" shrinkToFit="0" wrapText="1"/>
    </xf>
    <xf borderId="4" fillId="10" fontId="16" numFmtId="0" xfId="0" applyAlignment="1" applyBorder="1" applyFill="1" applyFont="1">
      <alignment horizontal="left" readingOrder="0" shrinkToFit="0" vertical="center" wrapText="1"/>
    </xf>
    <xf borderId="7" fillId="10" fontId="17" numFmtId="0" xfId="0" applyAlignment="1" applyBorder="1" applyFill="1" applyFont="1">
      <alignment shrinkToFit="0" vertical="center" wrapText="1"/>
    </xf>
    <xf borderId="0" fillId="2" fontId="18" numFmtId="0" xfId="0" applyAlignment="1" applyFill="1" applyFont="1">
      <alignment horizontal="left" readingOrder="0" shrinkToFit="0" wrapText="0"/>
    </xf>
    <xf borderId="8" fillId="10" fontId="17" numFmtId="0" xfId="0" applyAlignment="1" applyBorder="1" applyFill="1" applyFont="1">
      <alignment shrinkToFit="0" vertical="center" wrapText="1"/>
    </xf>
    <xf borderId="8" fillId="10" fontId="17" numFmtId="0" xfId="0" applyAlignment="1" applyBorder="1" applyFill="1" applyFont="1">
      <alignment readingOrder="0" shrinkToFit="0" vertical="center" wrapText="1"/>
    </xf>
    <xf borderId="7" fillId="3" fontId="11" numFmtId="0" xfId="0" applyAlignment="1" applyBorder="1" applyFill="1" applyFont="1">
      <alignment shrinkToFit="0" vertical="center" wrapText="0"/>
    </xf>
    <xf borderId="8" fillId="3" fontId="11" numFmtId="0" xfId="0" applyAlignment="1" applyBorder="1" applyFill="1" applyFont="1">
      <alignment shrinkToFit="0" vertical="center" wrapText="0"/>
    </xf>
    <xf borderId="8" fillId="3" fontId="11" numFmtId="0" xfId="0" applyAlignment="1" applyBorder="1" applyFill="1" applyFont="1">
      <alignment readingOrder="0" shrinkToFit="0" vertical="center" wrapText="0"/>
    </xf>
    <xf borderId="4" fillId="0" fontId="0" numFmtId="0" xfId="0" applyAlignment="1" applyBorder="1" applyFont="1">
      <alignment horizontal="left" readingOrder="0" shrinkToFit="0" vertical="center" wrapText="0"/>
    </xf>
    <xf borderId="4" fillId="0" fontId="4" numFmtId="165" xfId="0" applyAlignment="1" applyBorder="1" applyFont="1" applyNumberForma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8" fillId="7" fontId="10" numFmtId="0" xfId="0" applyAlignment="1" applyBorder="1" applyFill="1" applyFont="1">
      <alignment readingOrder="0" shrinkToFit="0" vertical="center" wrapText="1"/>
    </xf>
    <xf borderId="7" fillId="3" fontId="10" numFmtId="0" xfId="0" applyAlignment="1" applyBorder="1" applyFill="1" applyFont="1">
      <alignment shrinkToFit="0" vertical="center" wrapText="1"/>
    </xf>
    <xf borderId="8" fillId="3" fontId="10" numFmtId="0" xfId="0" applyAlignment="1" applyBorder="1" applyFill="1" applyFont="1">
      <alignment shrinkToFit="0" vertical="center" wrapText="1"/>
    </xf>
    <xf borderId="8" fillId="3" fontId="10" numFmtId="0" xfId="0" applyAlignment="1" applyBorder="1" applyFill="1" applyFont="1">
      <alignment horizontal="left" shrinkToFit="0" vertical="center" wrapText="1"/>
    </xf>
    <xf borderId="8" fillId="6" fontId="10" numFmtId="0" xfId="0" applyAlignment="1" applyBorder="1" applyFill="1" applyFont="1">
      <alignment readingOrder="0" shrinkToFit="0" vertical="center" wrapText="1"/>
    </xf>
    <xf borderId="5" fillId="11" fontId="15" numFmtId="0" xfId="0" applyAlignment="1" applyBorder="1" applyFill="1" applyFont="1">
      <alignment readingOrder="0" shrinkToFit="0" vertical="center" wrapText="0"/>
    </xf>
    <xf borderId="5" fillId="11" fontId="15" numFmtId="0" xfId="0" applyAlignment="1" applyBorder="1" applyFill="1" applyFont="1">
      <alignment horizontal="right" readingOrder="0" shrinkToFit="0" vertical="bottom" wrapText="0"/>
    </xf>
    <xf borderId="5" fillId="11" fontId="16" numFmtId="0" xfId="0" applyAlignment="1" applyBorder="1" applyFill="1" applyFont="1">
      <alignment readingOrder="0" shrinkToFit="0" vertical="center" wrapText="1"/>
    </xf>
    <xf borderId="5" fillId="11" fontId="16" numFmtId="0" xfId="0" applyAlignment="1" applyBorder="1" applyFill="1" applyFont="1">
      <alignment horizontal="right" readingOrder="0" shrinkToFit="0" vertical="center" wrapText="1"/>
    </xf>
    <xf borderId="5" fillId="11" fontId="16" numFmtId="164" xfId="0" applyAlignment="1" applyBorder="1" applyFill="1" applyFont="1" applyNumberFormat="1">
      <alignment horizontal="right" readingOrder="0" shrinkToFit="0" vertical="center" wrapText="1"/>
    </xf>
    <xf borderId="5" fillId="11" fontId="16" numFmtId="0" xfId="0" applyAlignment="1" applyBorder="1" applyFill="1" applyFont="1">
      <alignment horizontal="left" readingOrder="0" shrinkToFit="0" vertical="center" wrapText="1"/>
    </xf>
    <xf borderId="14" fillId="11" fontId="19" numFmtId="0" xfId="0" applyAlignment="1" applyBorder="1" applyFill="1" applyFont="1">
      <alignment shrinkToFit="0" vertical="center" wrapText="0"/>
    </xf>
    <xf borderId="16" fillId="11" fontId="19" numFmtId="0" xfId="0" applyAlignment="1" applyBorder="1" applyFill="1" applyFont="1">
      <alignment shrinkToFit="0" vertical="center" wrapText="0"/>
    </xf>
    <xf borderId="0" fillId="2" fontId="18" numFmtId="0" xfId="0" applyAlignment="1" applyFill="1" applyFont="1">
      <alignment horizontal="right" readingOrder="0" shrinkToFit="0" wrapText="0"/>
    </xf>
    <xf borderId="5" fillId="11" fontId="15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wrapText="1"/>
    </xf>
    <xf borderId="5" fillId="0" fontId="6" numFmtId="0" xfId="0" applyAlignment="1" applyBorder="1" applyFont="1">
      <alignment shrinkToFit="0" vertical="center" wrapText="1"/>
    </xf>
    <xf borderId="5" fillId="0" fontId="4" numFmtId="165" xfId="0" applyAlignment="1" applyBorder="1" applyFont="1" applyNumberForma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horizontal="right" readingOrder="0" shrinkToFit="0" vertical="center" wrapText="1"/>
    </xf>
    <xf borderId="7" fillId="2" fontId="4" numFmtId="164" xfId="0" applyAlignment="1" applyBorder="1" applyFill="1" applyFont="1" applyNumberFormat="1">
      <alignment horizontal="right" readingOrder="0" shrinkToFit="0" vertical="center" wrapText="1"/>
    </xf>
    <xf borderId="7" fillId="0" fontId="10" numFmtId="0" xfId="0" applyAlignment="1" applyBorder="1" applyFont="1">
      <alignment readingOrder="0" shrinkToFit="0" vertical="center" wrapText="1"/>
    </xf>
    <xf borderId="7" fillId="3" fontId="10" numFmtId="0" xfId="0" applyAlignment="1" applyBorder="1" applyFill="1" applyFont="1">
      <alignment shrinkToFit="0" wrapText="1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4" fillId="2" fontId="4" numFmtId="164" xfId="0" applyAlignment="1" applyBorder="1" applyFill="1" applyFont="1" applyNumberFormat="1">
      <alignment horizontal="right" readingOrder="0" shrinkToFit="0" vertical="center" wrapText="1"/>
    </xf>
    <xf borderId="4" fillId="0" fontId="10" numFmtId="0" xfId="0" applyAlignment="1" applyBorder="1" applyFont="1">
      <alignment readingOrder="0" shrinkToFit="0" wrapText="1"/>
    </xf>
    <xf borderId="4" fillId="3" fontId="10" numFmtId="0" xfId="0" applyAlignment="1" applyBorder="1" applyFill="1" applyFont="1">
      <alignment shrinkToFit="0" wrapText="1"/>
    </xf>
    <xf borderId="4" fillId="7" fontId="10" numFmtId="0" xfId="0" applyAlignment="1" applyBorder="1" applyFill="1" applyFont="1">
      <alignment shrinkToFit="0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9" fontId="1" numFmtId="0" xfId="0" applyAlignment="1" applyBorder="1" applyFill="1" applyFont="1">
      <alignment readingOrder="0" shrinkToFit="0" vertical="center" wrapText="1"/>
    </xf>
    <xf borderId="4" fillId="2" fontId="10" numFmtId="0" xfId="0" applyAlignment="1" applyBorder="1" applyFill="1" applyFont="1">
      <alignment readingOrder="0" shrinkToFit="0" vertical="center" wrapText="1"/>
    </xf>
    <xf borderId="0" fillId="0" fontId="1" numFmtId="167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170" xfId="0" applyAlignment="1" applyFont="1" applyNumberFormat="1">
      <alignment readingOrder="0" shrinkToFit="0" vertical="center" wrapText="1"/>
    </xf>
    <xf borderId="17" fillId="2" fontId="11" numFmtId="0" xfId="0" applyAlignment="1" applyBorder="1" applyFill="1" applyFont="1">
      <alignment readingOrder="0" shrinkToFit="0" vertical="center" wrapText="0"/>
    </xf>
    <xf borderId="17" fillId="2" fontId="5" numFmtId="0" xfId="0" applyAlignment="1" applyBorder="1" applyFill="1" applyFont="1">
      <alignment horizontal="right" readingOrder="0" shrinkToFit="0" vertical="center" wrapText="1"/>
    </xf>
    <xf borderId="17" fillId="2" fontId="5" numFmtId="0" xfId="0" applyAlignment="1" applyBorder="1" applyFill="1" applyFont="1">
      <alignment readingOrder="0" shrinkToFit="0" vertical="center" wrapText="1"/>
    </xf>
    <xf borderId="17" fillId="2" fontId="5" numFmtId="164" xfId="0" applyAlignment="1" applyBorder="1" applyFill="1" applyFont="1" applyNumberFormat="1">
      <alignment horizontal="right" readingOrder="0" shrinkToFit="0" vertical="center" wrapText="1"/>
    </xf>
    <xf borderId="17" fillId="9" fontId="10" numFmtId="0" xfId="0" applyAlignment="1" applyBorder="1" applyFill="1" applyFont="1">
      <alignment readingOrder="0" shrinkToFit="0" vertical="center" wrapText="1"/>
    </xf>
    <xf borderId="17" fillId="9" fontId="1" numFmtId="0" xfId="0" applyAlignment="1" applyBorder="1" applyFill="1" applyFont="1">
      <alignment readingOrder="0" shrinkToFit="0" vertical="center" wrapText="1"/>
    </xf>
    <xf borderId="0" fillId="2" fontId="1" numFmtId="168" xfId="0" applyAlignment="1" applyFill="1" applyFont="1" applyNumberFormat="1">
      <alignment shrinkToFit="0" vertical="center" wrapText="1"/>
    </xf>
    <xf borderId="0" fillId="2" fontId="1" numFmtId="167" xfId="0" applyAlignment="1" applyFill="1" applyFont="1" applyNumberFormat="1">
      <alignment readingOrder="0" shrinkToFit="0" vertical="center" wrapText="1"/>
    </xf>
    <xf borderId="7" fillId="8" fontId="20" numFmtId="0" xfId="0" applyAlignment="1" applyBorder="1" applyFill="1" applyFont="1">
      <alignment readingOrder="0" shrinkToFit="0" vertical="center" wrapText="0"/>
    </xf>
    <xf borderId="7" fillId="8" fontId="12" numFmtId="0" xfId="0" applyAlignment="1" applyBorder="1" applyFill="1" applyFont="1">
      <alignment horizontal="right" readingOrder="0" shrinkToFit="0" vertical="center" wrapText="1"/>
    </xf>
    <xf borderId="7" fillId="8" fontId="12" numFmtId="164" xfId="0" applyAlignment="1" applyBorder="1" applyFill="1" applyFont="1" applyNumberFormat="1">
      <alignment horizontal="right" readingOrder="0" shrinkToFit="0" vertical="center" wrapText="1"/>
    </xf>
    <xf borderId="7" fillId="9" fontId="10" numFmtId="0" xfId="0" applyAlignment="1" applyBorder="1" applyFill="1" applyFont="1">
      <alignment readingOrder="0" shrinkToFit="0" vertical="center" wrapText="1"/>
    </xf>
    <xf borderId="7" fillId="9" fontId="1" numFmtId="0" xfId="0" applyAlignment="1" applyBorder="1" applyFill="1" applyFont="1">
      <alignment readingOrder="0" shrinkToFit="0" vertical="center" wrapText="1"/>
    </xf>
    <xf borderId="0" fillId="0" fontId="1" numFmtId="171" xfId="0" applyAlignment="1" applyFont="1" applyNumberForma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7" fillId="2" fontId="11" numFmtId="0" xfId="0" applyAlignment="1" applyBorder="1" applyFill="1" applyFont="1">
      <alignment readingOrder="0" shrinkToFit="0" vertical="center" wrapText="0"/>
    </xf>
    <xf borderId="7" fillId="2" fontId="5" numFmtId="0" xfId="0" applyAlignment="1" applyBorder="1" applyFill="1" applyFont="1">
      <alignment horizontal="right" readingOrder="0" shrinkToFit="0" vertical="center" wrapText="1"/>
    </xf>
    <xf borderId="7" fillId="2" fontId="5" numFmtId="164" xfId="0" applyAlignment="1" applyBorder="1" applyFill="1" applyFont="1" applyNumberFormat="1">
      <alignment horizontal="right" readingOrder="0" shrinkToFit="0" vertical="center" wrapText="1"/>
    </xf>
    <xf borderId="0" fillId="2" fontId="4" numFmtId="0" xfId="0" applyAlignment="1" applyFill="1" applyFont="1">
      <alignment horizontal="center" shrinkToFit="0" wrapText="1"/>
    </xf>
    <xf borderId="18" fillId="0" fontId="1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2" numFmtId="165" xfId="0" applyAlignment="1" applyFont="1" applyNumberFormat="1">
      <alignment shrinkToFit="0" vertical="center" wrapText="1"/>
    </xf>
    <xf borderId="1" fillId="0" fontId="2" numFmtId="165" xfId="0" applyAlignment="1" applyBorder="1" applyFont="1" applyNumberForma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vertical="bottom" wrapText="1"/>
    </xf>
    <xf borderId="0" fillId="0" fontId="10" numFmtId="0" xfId="0" applyAlignment="1" applyFont="1">
      <alignment horizontal="left" readingOrder="0" shrinkToFit="0" vertical="bottom" wrapText="1"/>
    </xf>
    <xf borderId="4" fillId="2" fontId="1" numFmtId="0" xfId="0" applyAlignment="1" applyBorder="1" applyFill="1" applyFont="1">
      <alignment readingOrder="0" shrinkToFit="0" vertical="center" wrapText="1"/>
    </xf>
    <xf borderId="4" fillId="0" fontId="10" numFmtId="0" xfId="0" applyAlignment="1" applyBorder="1" applyFont="1">
      <alignment readingOrder="0" shrinkToFit="0" vertical="bottom" wrapText="0"/>
    </xf>
    <xf borderId="8" fillId="3" fontId="10" numFmtId="0" xfId="0" applyAlignment="1" applyBorder="1" applyFill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8" fillId="7" fontId="10" numFmtId="0" xfId="0" applyAlignment="1" applyBorder="1" applyFill="1" applyFont="1">
      <alignment readingOrder="0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4" fillId="8" fontId="21" numFmtId="0" xfId="0" applyAlignment="1" applyBorder="1" applyFill="1" applyFont="1">
      <alignment readingOrder="0" shrinkToFit="0" vertical="center" wrapText="0"/>
    </xf>
    <xf borderId="4" fillId="8" fontId="22" numFmtId="0" xfId="0" applyAlignment="1" applyBorder="1" applyFill="1" applyFont="1">
      <alignment horizontal="right" readingOrder="0" shrinkToFit="0" vertical="center" wrapText="1"/>
    </xf>
    <xf borderId="7" fillId="8" fontId="22" numFmtId="0" xfId="0" applyAlignment="1" applyBorder="1" applyFill="1" applyFont="1">
      <alignment readingOrder="0" shrinkToFit="0" vertical="center" wrapText="1"/>
    </xf>
    <xf borderId="4" fillId="8" fontId="22" numFmtId="164" xfId="0" applyAlignment="1" applyBorder="1" applyFill="1" applyFont="1" applyNumberFormat="1">
      <alignment horizontal="right" readingOrder="0" shrinkToFit="0" vertical="center" wrapText="1"/>
    </xf>
    <xf borderId="8" fillId="8" fontId="22" numFmtId="0" xfId="0" applyAlignment="1" applyBorder="1" applyFill="1" applyFont="1">
      <alignment readingOrder="0" shrinkToFit="0" vertical="center" wrapText="1"/>
    </xf>
    <xf borderId="4" fillId="9" fontId="23" numFmtId="0" xfId="0" applyAlignment="1" applyBorder="1" applyFill="1" applyFont="1">
      <alignment readingOrder="0" shrinkToFit="0" vertical="center" wrapText="1"/>
    </xf>
    <xf borderId="4" fillId="9" fontId="24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2" fillId="0" fontId="2" numFmtId="165" xfId="0" applyAlignment="1" applyBorder="1" applyFont="1" applyNumberFormat="1">
      <alignment shrinkToFit="0" vertical="center" wrapText="1"/>
    </xf>
    <xf borderId="4" fillId="0" fontId="2" numFmtId="165" xfId="0" applyAlignment="1" applyBorder="1" applyFont="1" applyNumberFormat="1">
      <alignment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25" numFmtId="0" xfId="0" applyAlignment="1" applyFont="1">
      <alignment horizontal="right" shrinkToFit="0" vertical="bottom" wrapText="1"/>
    </xf>
    <xf borderId="0" fillId="0" fontId="9" numFmtId="165" xfId="0" applyAlignment="1" applyFont="1" applyNumberFormat="1">
      <alignment shrinkToFit="0" vertical="center" wrapText="1"/>
    </xf>
    <xf borderId="2" fillId="0" fontId="9" numFmtId="165" xfId="0" applyAlignment="1" applyBorder="1" applyFont="1" applyNumberFormat="1">
      <alignment shrinkToFit="0" vertical="center" wrapText="1"/>
    </xf>
    <xf borderId="4" fillId="0" fontId="9" numFmtId="165" xfId="0" applyAlignment="1" applyBorder="1" applyFont="1" applyNumberFormat="1">
      <alignment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7" fontId="1" numFmtId="0" xfId="0" applyAlignment="1" applyFill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7" fontId="1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readingOrder="0" shrinkToFit="0" wrapText="1"/>
    </xf>
    <xf borderId="0" fillId="0" fontId="1" numFmtId="172" xfId="0" applyAlignment="1" applyFont="1" applyNumberFormat="1">
      <alignment readingOrder="0" shrinkToFit="0" wrapText="1"/>
    </xf>
    <xf borderId="0" fillId="0" fontId="1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1" numFmtId="173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168" xfId="0" applyAlignment="1" applyFont="1" applyNumberFormat="1">
      <alignment shrinkToFit="0" wrapText="1"/>
    </xf>
    <xf borderId="0" fillId="0" fontId="1" numFmtId="172" xfId="0" applyAlignment="1" applyFont="1" applyNumberFormat="1">
      <alignment shrinkToFit="0" wrapText="1"/>
    </xf>
    <xf borderId="0" fillId="0" fontId="1" numFmtId="174" xfId="0" applyAlignment="1" applyFont="1" applyNumberFormat="1">
      <alignment shrinkToFit="0" wrapText="1"/>
    </xf>
    <xf borderId="0" fillId="0" fontId="4" numFmtId="175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bottom" wrapText="1"/>
    </xf>
    <xf borderId="0" fillId="0" fontId="1" numFmtId="165" xfId="0" applyAlignment="1" applyFont="1" applyNumberForma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1" numFmtId="19" xfId="0" applyAlignment="1" applyFont="1" applyNumberFormat="1">
      <alignment shrinkToFit="0" wrapText="1"/>
    </xf>
    <xf borderId="13" fillId="2" fontId="5" numFmtId="0" xfId="0" applyAlignment="1" applyBorder="1" applyFill="1" applyFont="1">
      <alignment readingOrder="0" shrinkToFit="0" vertical="center" wrapText="1"/>
    </xf>
    <xf borderId="4" fillId="3" fontId="10" numFmtId="0" xfId="0" applyAlignment="1" applyBorder="1" applyFill="1" applyFont="1">
      <alignment readingOrder="0" shrinkToFit="0" vertical="center" wrapText="1"/>
    </xf>
    <xf borderId="19" fillId="0" fontId="1" numFmtId="165" xfId="0" applyAlignment="1" applyBorder="1" applyFont="1" applyNumberForma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8" fillId="2" fontId="5" numFmtId="0" xfId="0" applyAlignment="1" applyBorder="1" applyFill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7" fillId="2" fontId="9" numFmtId="0" xfId="0" applyAlignment="1" applyBorder="1" applyFill="1" applyFont="1">
      <alignment readingOrder="0" shrinkToFit="0" vertical="center" wrapText="1"/>
    </xf>
    <xf borderId="0" fillId="0" fontId="1" numFmtId="165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9" fillId="0" fontId="14" numFmtId="165" xfId="0" applyAlignment="1" applyBorder="1" applyFont="1" applyNumberFormat="1">
      <alignment readingOrder="0" shrinkToFit="0" vertical="center" wrapText="0"/>
    </xf>
    <xf borderId="0" fillId="0" fontId="26" numFmtId="165" xfId="0" applyAlignment="1" applyFont="1" applyNumberFormat="1">
      <alignment readingOrder="0" shrinkToFit="0" vertical="center" wrapText="1"/>
    </xf>
    <xf borderId="18" fillId="0" fontId="1" numFmtId="0" xfId="0" applyAlignment="1" applyBorder="1" applyFont="1">
      <alignment readingOrder="0" shrinkToFit="0" vertical="center" wrapText="1"/>
    </xf>
    <xf borderId="0" fillId="0" fontId="9" numFmtId="176" xfId="0" applyAlignment="1" applyFont="1" applyNumberForma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8" xfId="0" applyAlignment="1" applyFont="1" applyNumberFormat="1">
      <alignment shrinkToFit="0" wrapText="1"/>
    </xf>
    <xf borderId="0" fillId="7" fontId="4" numFmtId="0" xfId="0" applyAlignment="1" applyFill="1" applyFont="1">
      <alignment shrinkToFit="0" vertical="center" wrapText="1"/>
    </xf>
    <xf borderId="0" fillId="7" fontId="4" numFmtId="0" xfId="0" applyAlignment="1" applyFill="1" applyFont="1">
      <alignment shrinkToFit="0" vertical="center" wrapText="1"/>
    </xf>
    <xf borderId="0" fillId="7" fontId="4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horizontal="center" shrinkToFit="0" vertical="bottom" wrapText="1"/>
    </xf>
  </cellXfs>
  <cellStyles count="1">
    <cellStyle xfId="0" name="Normal" builtinId="0"/>
  </cellStyles>
  <dxfs count="11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i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12" table="0" name="Google Sheets Pivot Table Style">
      <tableStyleElement dxfId="5" type="wholeTable"/>
      <tableStyleElement dxfId="6" type="firstRowSubheading"/>
      <tableStyleElement dxfId="6" type="secondRowSubheading"/>
      <tableStyleElement dxfId="6" type="thirdRowSubheading"/>
      <tableStyleElement dxfId="7" type="firstColumnSubheading"/>
      <tableStyleElement dxfId="7" type="secondColumnSubheading"/>
      <tableStyleElement dxfId="7" type="thirdColumnSubheading"/>
      <tableStyleElement dxfId="7" type="headerRow"/>
      <tableStyleElement dxfId="8" type="firstSubtotalRow"/>
      <tableStyleElement dxfId="8" type="secondSubtotalRow"/>
      <tableStyleElement dxfId="8" type="thirdSubtotalRow"/>
      <tableStyleElement dxfId="9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1.xml"/><Relationship Id="rId14" Type="http://schemas.openxmlformats.org/officeDocument/2006/relationships/chartsheet" Target="chartsheets/sheet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Gennemsnits pris per kamp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'Plan - NL + 1. Div backup'!$P$51:$P$58</c:f>
            </c:strRef>
          </c:cat>
          <c:val>
            <c:numRef>
              <c:f>'Plan - NL + 1. Div backup'!$U$51:$U$58</c:f>
              <c:numCache/>
            </c:numRef>
          </c:val>
        </c:ser>
        <c:axId val="2078290673"/>
        <c:axId val="1746069990"/>
      </c:barChart>
      <c:catAx>
        <c:axId val="2078290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746069990"/>
      </c:catAx>
      <c:valAx>
        <c:axId val="17460699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7829067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Upload tid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Stats!$K$1</c:f>
            </c:strRef>
          </c:tx>
          <c:spPr>
            <a:ln cmpd="sng">
              <a:solidFill>
                <a:srgbClr val="3366C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366CC">
                  <a:alpha val="100000"/>
                </a:srgbClr>
              </a:solidFill>
              <a:ln cmpd="sng">
                <a:solidFill>
                  <a:srgbClr val="3366CC">
                    <a:alpha val="100000"/>
                  </a:srgbClr>
                </a:solidFill>
              </a:ln>
            </c:spPr>
          </c:marker>
          <c:cat>
            <c:strRef>
              <c:f>Stats!$F$2:$F$51</c:f>
            </c:strRef>
          </c:cat>
          <c:val>
            <c:numRef>
              <c:f>Stats!$K$2:$K$51</c:f>
              <c:numCache/>
            </c:numRef>
          </c:val>
          <c:smooth val="0"/>
        </c:ser>
        <c:ser>
          <c:idx val="1"/>
          <c:order val="1"/>
          <c:tx>
            <c:strRef>
              <c:f>Stats!$L$1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Stats!$F$2:$F$51</c:f>
            </c:strRef>
          </c:cat>
          <c:val>
            <c:numRef>
              <c:f>Stats!$L$2:$L$51</c:f>
              <c:numCache/>
            </c:numRef>
          </c:val>
          <c:smooth val="0"/>
        </c:ser>
        <c:axId val="1270174036"/>
        <c:axId val="1888899037"/>
      </c:lineChart>
      <c:catAx>
        <c:axId val="1270174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Kamp nr.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8899037"/>
      </c:catAx>
      <c:valAx>
        <c:axId val="1888899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Timer fra end of game til delt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0174036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'Pivottabel 1'!$A$2</c:f>
            </c:strRef>
          </c:tx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'Pivottabel 1'!$B$1:$E$1</c:f>
            </c:strRef>
          </c:cat>
          <c:val>
            <c:numRef>
              <c:f>'Pivottabel 1'!$B$2:$E$2</c:f>
              <c:numCache/>
            </c:numRef>
          </c:val>
        </c:ser>
        <c:axId val="2044621965"/>
        <c:axId val="177299313"/>
      </c:barChart>
      <c:catAx>
        <c:axId val="2044621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77299313"/>
      </c:catAx>
      <c:valAx>
        <c:axId val="177299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2044621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Tahoma"/>
            </a:defRPr>
          </a:pPr>
        </a:p>
      </c:txPr>
    </c:legend>
    <c:plotVisOnly val="1"/>
  </c:chart>
  <c:spPr>
    <a:solidFill>
      <a:srgbClr val="CCCC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'Pivottabel 1'!$A$1</c:f>
            </c:strRef>
          </c:tx>
          <c:spPr>
            <a:solidFill>
              <a:srgbClr val="3366CC"/>
            </a:solidFill>
            <a:ln cmpd="sng">
              <a:noFill/>
            </a:ln>
          </c:spPr>
          <c:val>
            <c:numRef>
              <c:f>'Pivottabel 1'!$A$2</c:f>
              <c:numCache/>
            </c:numRef>
          </c:val>
        </c:ser>
        <c:ser>
          <c:idx val="1"/>
          <c:order val="1"/>
          <c:tx>
            <c:strRef>
              <c:f>'Pivottabel 1'!$B$1</c:f>
            </c:strRef>
          </c:tx>
          <c:spPr>
            <a:solidFill>
              <a:srgbClr val="DC3912"/>
            </a:solidFill>
            <a:ln cmpd="sng">
              <a:noFill/>
            </a:ln>
          </c:spPr>
          <c:val>
            <c:numRef>
              <c:f>'Pivottabel 1'!$B$2:$B$24</c:f>
              <c:numCache/>
            </c:numRef>
          </c:val>
        </c:ser>
        <c:ser>
          <c:idx val="2"/>
          <c:order val="2"/>
          <c:tx>
            <c:strRef>
              <c:f>'Pivottabel 1'!$C$1</c:f>
            </c:strRef>
          </c:tx>
          <c:spPr>
            <a:solidFill>
              <a:srgbClr val="FF9900"/>
            </a:solidFill>
            <a:ln cmpd="sng">
              <a:noFill/>
            </a:ln>
          </c:spPr>
          <c:val>
            <c:numRef>
              <c:f>'Pivottabel 1'!$C$2:$C$24</c:f>
              <c:numCache/>
            </c:numRef>
          </c:val>
        </c:ser>
        <c:ser>
          <c:idx val="3"/>
          <c:order val="3"/>
          <c:tx>
            <c:strRef>
              <c:f>'Pivottabel 1'!$F$1</c:f>
            </c:strRef>
          </c:tx>
          <c:val>
            <c:numRef>
              <c:f>'Pivottabel 1'!$F$2:$F$24</c:f>
              <c:numCache/>
            </c:numRef>
          </c:val>
        </c:ser>
        <c:axId val="1057287581"/>
        <c:axId val="665989714"/>
      </c:barChart>
      <c:catAx>
        <c:axId val="1057287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5989714"/>
      </c:catAx>
      <c:valAx>
        <c:axId val="665989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7287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Gennemsnits pris per kamp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cat>
            <c:strRef>
              <c:f>Kilometerdata!$P$59:$P$66</c:f>
            </c:strRef>
          </c:cat>
          <c:val>
            <c:numRef>
              <c:f>Kilometerdata!$S$59:$S$66</c:f>
              <c:numCache/>
            </c:numRef>
          </c:val>
        </c:ser>
        <c:axId val="43229272"/>
        <c:axId val="2137825449"/>
      </c:barChart>
      <c:catAx>
        <c:axId val="4322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137825449"/>
      </c:catAx>
      <c:valAx>
        <c:axId val="2137825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 kr.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43229272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409575</xdr:colOff>
      <xdr:row>64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7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1038225</xdr:colOff>
      <xdr:row>9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45</xdr:row>
      <xdr:rowOff>257175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M18" sheet="Plan - NL"/>
  </cacheSource>
  <cacheFields>
    <cacheField name=" " numFmtId="0">
      <sharedItems>
        <s v="Vedligeholdende"/>
        <s v="NL"/>
      </sharedItems>
    </cacheField>
    <cacheField name="Runde" numFmtId="0">
      <sharedItems containsSemiMixedTypes="0" containsString="0" containsNumber="1" containsInteger="1">
        <n v="0.0"/>
        <n v="2.0"/>
        <n v="4.0"/>
        <n v="6.0"/>
        <n v="9.0"/>
        <n v="11.0"/>
        <n v="12.0"/>
      </sharedItems>
    </cacheField>
    <cacheField name="Dag" numFmtId="0">
      <sharedItems>
        <s v="Søndag"/>
        <s v="Mandag"/>
        <s v="Lørdag"/>
        <s v="Fredag"/>
      </sharedItems>
    </cacheField>
    <cacheField name="Dato" numFmtId="0">
      <sharedItems containsSemiMixedTypes="0" containsString="0" containsNumber="1" containsInteger="1">
        <n v="29.0"/>
        <n v="6.0"/>
        <n v="11.0"/>
        <n v="12.0"/>
        <n v="25.0"/>
        <n v="26.0"/>
        <n v="9.0"/>
        <n v="10.0"/>
        <n v="30.0"/>
        <n v="31.0"/>
        <n v="13.0"/>
        <n v="20.0"/>
      </sharedItems>
    </cacheField>
    <cacheField name="Måned" numFmtId="0">
      <sharedItems>
        <s v="Marts"/>
        <s v="April"/>
        <s v="Maj"/>
        <s v="Juni"/>
      </sharedItems>
    </cacheField>
    <cacheField name="Tidspunkt" numFmtId="164">
      <sharedItems containsSemiMixedTypes="0" containsDate="1" containsString="0">
        <d v="1899-12-30T10:00:00Z"/>
        <d v="1899-12-30T16:00:00Z"/>
        <d v="1899-12-30T14:00:00Z"/>
        <d v="1899-12-30T18:00:00Z"/>
      </sharedItems>
    </cacheField>
    <cacheField name="Hjemme" numFmtId="0">
      <sharedItems>
        <s v="Towers"/>
        <s v="Tigers"/>
        <s v="89ers"/>
        <s v="Oaks"/>
        <s v="Razorbacks"/>
        <s v="Gold Diggers"/>
      </sharedItems>
    </cacheField>
    <cacheField name="Ude" numFmtId="0">
      <sharedItems>
        <s v="Demons"/>
        <s v="Razorbacks"/>
        <s v="Tigers"/>
        <s v="Gold Diggers"/>
        <s v="Oaks"/>
        <s v="Towers"/>
        <s v="89ers"/>
      </sharedItems>
    </cacheField>
    <cacheField name="R" numFmtId="0">
      <sharedItems>
        <s v="FK"/>
        <s v="KL"/>
        <s v="FR"/>
        <s v="MR"/>
        <s v="DS"/>
        <s v="AR"/>
      </sharedItems>
    </cacheField>
    <cacheField name="U" numFmtId="0">
      <sharedItems>
        <s v="DS"/>
        <s v="JL"/>
        <s v="AR"/>
        <s v="LT"/>
        <s v="TS"/>
        <s v="KE"/>
      </sharedItems>
    </cacheField>
    <cacheField name="D" numFmtId="0">
      <sharedItems>
        <s v="VN"/>
        <s v="TO"/>
        <s v="HP"/>
        <s v="JL"/>
        <s v="MM"/>
        <s v="NI"/>
        <s v="TS"/>
      </sharedItems>
    </cacheField>
    <cacheField name="L" numFmtId="0">
      <sharedItems containsBlank="1">
        <s v="MM"/>
        <m/>
        <s v="TH"/>
        <s v="NI"/>
        <s v="RH"/>
        <s v="JL"/>
        <s v="JE"/>
        <s v="ER"/>
        <s v="VN"/>
        <s v="KE"/>
        <s v="Lasse Schrøder"/>
      </sharedItems>
    </cacheField>
    <cacheField name="B" numFmtId="0">
      <sharedItems containsBlank="1">
        <m/>
        <s v="AT"/>
        <s v="BT"/>
        <s v="JE"/>
        <s v="(SE)"/>
      </sharedItems>
    </cacheField>
    <cacheField name="F" numFmtId="0">
      <sharedItems containsBlank="1">
        <m/>
        <s v="ER"/>
        <s v="KL"/>
        <s v="KJ"/>
      </sharedItems>
    </cacheField>
    <cacheField name="S" numFmtId="0">
      <sharedItems containsBlank="1">
        <m/>
        <s v="TK"/>
        <s v="TM"/>
        <s v="FR"/>
        <s v="ER"/>
        <s v="KL"/>
        <s v="AT"/>
        <s v="BT"/>
        <s v="(SE)"/>
      </sharedItems>
    </cacheField>
    <cacheField name="C" numFmtId="0">
      <sharedItems containsString="0" containsBlank="1">
        <m/>
      </sharedItems>
    </cacheField>
    <cacheField name="Note" numFmtId="0">
      <sharedItems containsBlank="1">
        <s v="Klubcrew: Spartans"/>
        <s v="Klubcrew: Badgers"/>
        <m/>
      </sharedItems>
    </cacheField>
    <cacheField name="Antal tilmeldte 20-Mar 11:30" numFmtId="3">
      <sharedItems containsString="0" containsBlank="1" containsNumber="1" containsInteger="1">
        <n v="2.0"/>
        <n v="0.0"/>
        <m/>
      </sharedItems>
    </cacheField>
    <cacheField name="1s" numFmtId="0">
      <sharedItems containsString="0" containsBlank="1" containsNumber="1" containsInteger="1">
        <m/>
        <n v="0.0"/>
        <n v="2.0"/>
        <n v="4.0"/>
      </sharedItems>
    </cacheField>
    <cacheField name="2s" numFmtId="0">
      <sharedItems containsString="0" containsBlank="1" containsNumber="1" containsInteger="1">
        <m/>
        <n v="0.0"/>
        <n v="1.0"/>
      </sharedItems>
    </cacheField>
    <cacheField name="3s" numFmtId="0">
      <sharedItems containsString="0" containsBlank="1" containsNumber="1" containsInteger="1">
        <m/>
        <n v="0.0"/>
        <n v="1.0"/>
      </sharedItems>
    </cacheField>
    <cacheField name="Taske" numFmtId="0">
      <sharedItems containsString="0" containsBlank="1">
        <m/>
      </sharedItems>
    </cacheField>
    <cacheField name="Taske IND" numFmtId="0">
      <sharedItems containsString="0" containsBlank="1">
        <m/>
      </sharedItems>
    </cacheField>
    <cacheField name="Taske UD" numFmtId="0">
      <sharedItems containsString="0" containsBlank="1">
        <m/>
      </sharedItems>
    </cacheField>
    <cacheField name="Betaling" numFmtId="0">
      <sharedItems containsString="0" containsBlank="1">
        <m/>
      </sharedItems>
    </cacheField>
    <cacheField name="Video" numFmtId="0">
      <sharedItems containsString="0" containsBlank="1">
        <m/>
      </sharedItems>
    </cacheField>
    <cacheField name="Gennemseer" numFmtId="0">
      <sharedItems containsString="0" containsBlank="1">
        <m/>
      </sharedItems>
    </cacheField>
    <cacheField name="GameID" numFmtId="0">
      <sharedItems>
        <s v="29Marts-Towers-v-Demons"/>
        <s v="6April-Tigers-v-Razorbacks"/>
        <s v="11April-Towers-v-Razorbacks"/>
        <s v="12April-89ers-v-Tigers"/>
        <s v="12April-Oaks-v-Gold Diggers"/>
        <s v="25April-89ers-v-Gold Diggers"/>
        <s v="25April-Towers-v-Tigers"/>
        <s v="26April-Razorbacks-v-Oaks"/>
        <s v="9Maj-Gold Diggers-v-Towers"/>
        <s v="9Maj-Oaks-v-89ers"/>
        <s v="10Maj-Tigers-v-Razorbacks"/>
        <s v="29Maj-Towers-v-Oaks"/>
        <s v="30Maj-Tigers-v-Gold Diggers"/>
        <s v="31Maj-Razorbacks-v-89ers"/>
        <s v="13Juni-89ers-v-Towers"/>
        <s v="13Juni-Oaks-v-Tigers"/>
        <s v="20Juni-Gold Diggers-v-Oaks"/>
      </sharedItems>
    </cacheField>
    <cacheField name="Game start" numFmtId="0">
      <sharedItems containsString="0" containsBlank="1">
        <m/>
      </sharedItems>
    </cacheField>
    <cacheField name="Game end" numFmtId="0">
      <sharedItems containsString="0" containsBlank="1">
        <m/>
      </sharedItems>
    </cacheField>
    <cacheField name="Video Exchanged." numFmtId="0">
      <sharedItems containsString="0" containsBlank="1">
        <m/>
      </sharedItems>
    </cacheField>
    <cacheField name="Game time (easy)" numFmtId="0">
      <sharedItems containsBlank="1">
        <m/>
        <s v="0h0m"/>
      </sharedItems>
    </cacheField>
    <cacheField name="Intercut time (min)" numFmtId="0">
      <sharedItems containsString="0" containsBlank="1">
        <m/>
      </sharedItems>
    </cacheField>
    <cacheField name="Exchange of Breakdown data" numFmtId="0">
      <sharedItems containsString="0" containsBlank="1">
        <m/>
      </sharedItems>
    </cacheField>
    <cacheField name="Return of break down data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Upload time" numFmtId="0">
      <sharedItems containsDate="1" containsString="0" containsBlank="1">
        <m/>
        <d v="1899-12-30T00:00:00Z"/>
      </sharedItems>
    </cacheField>
    <cacheField name="Breakdown time" numFmtId="0">
      <sharedItems containsString="0" containsBlank="1">
        <m/>
      </sharedItems>
    </cacheField>
    <cacheField name="Game tim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el 1" cacheId="0" dataCaption="" compact="0" compactData="0">
  <location ref="A1:F9" firstHeaderRow="0" firstDataRow="2" firstDataCol="0"/>
  <pivotFields>
    <pivotField name=" " compact="0" outline="0" multipleItemSelectionAllowed="1" showAll="0">
      <items>
        <item x="0"/>
        <item x="1"/>
        <item t="default"/>
      </items>
    </pivotField>
    <pivotField name="Rund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Dag" compact="0" outline="0" multipleItemSelectionAllowed="1" showAll="0">
      <items>
        <item x="0"/>
        <item x="1"/>
        <item x="2"/>
        <item x="3"/>
        <item t="default"/>
      </items>
    </pivotField>
    <pivotField name="D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åned" compact="0" outline="0" multipleItemSelectionAllowed="1" showAll="0">
      <items>
        <item x="0"/>
        <item x="1"/>
        <item x="2"/>
        <item x="3"/>
        <item t="default"/>
      </items>
    </pivotField>
    <pivotField name="Tidspunkt" compact="0" numFmtId="164" outline="0" multipleItemSelectionAllowed="1" showAll="0">
      <items>
        <item x="0"/>
        <item x="1"/>
        <item x="2"/>
        <item x="3"/>
        <item t="default"/>
      </items>
    </pivotField>
    <pivotField name="Hjem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" compact="0" outline="0" multipleItemSelectionAllowed="1" showAll="0">
      <items>
        <item x="0"/>
        <item x="1"/>
        <item x="2"/>
        <item x="3"/>
        <item t="default"/>
      </items>
    </pivotField>
    <pivotField name="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" compact="0" outline="0" multipleItemSelectionAllowed="1" showAll="0">
      <items>
        <item x="0"/>
        <item t="default"/>
      </items>
    </pivotField>
    <pivotField name="Note" compact="0" outline="0" multipleItemSelectionAllowed="1" showAll="0">
      <items>
        <item x="0"/>
        <item x="1"/>
        <item x="2"/>
        <item t="default"/>
      </items>
    </pivotField>
    <pivotField name="Antal tilmeldte 20-Mar 11:30" compact="0" numFmtId="3" outline="0" multipleItemSelectionAllowed="1" showAll="0">
      <items>
        <item x="0"/>
        <item x="1"/>
        <item x="2"/>
        <item t="default"/>
      </items>
    </pivotField>
    <pivotField name="1s" compact="0" outline="0" multipleItemSelectionAllowed="1" showAll="0">
      <items>
        <item x="0"/>
        <item x="1"/>
        <item x="2"/>
        <item x="3"/>
        <item t="default"/>
      </items>
    </pivotField>
    <pivotField name="2s" compact="0" outline="0" multipleItemSelectionAllowed="1" showAll="0">
      <items>
        <item x="0"/>
        <item x="1"/>
        <item x="2"/>
        <item t="default"/>
      </items>
    </pivotField>
    <pivotField name="3s" compact="0" outline="0" multipleItemSelectionAllowed="1" showAll="0">
      <items>
        <item x="0"/>
        <item x="1"/>
        <item x="2"/>
        <item t="default"/>
      </items>
    </pivotField>
    <pivotField name="Taske" compact="0" outline="0" multipleItemSelectionAllowed="1" showAll="0">
      <items>
        <item x="0"/>
        <item t="default"/>
      </items>
    </pivotField>
    <pivotField name="Taske IND" compact="0" outline="0" multipleItemSelectionAllowed="1" showAll="0">
      <items>
        <item x="0"/>
        <item t="default"/>
      </items>
    </pivotField>
    <pivotField name="Taske UD" compact="0" outline="0" multipleItemSelectionAllowed="1" showAll="0">
      <items>
        <item x="0"/>
        <item t="default"/>
      </items>
    </pivotField>
    <pivotField name="Betaling" compact="0" outline="0" multipleItemSelectionAllowed="1" showAll="0">
      <items>
        <item x="0"/>
        <item t="default"/>
      </items>
    </pivotField>
    <pivotField name="Video" compact="0" outline="0" multipleItemSelectionAllowed="1" showAll="0">
      <items>
        <item x="0"/>
        <item t="default"/>
      </items>
    </pivotField>
    <pivotField name="Gennemseer" compact="0" outline="0" multipleItemSelectionAllowed="1" showAll="0">
      <items>
        <item x="0"/>
        <item t="default"/>
      </items>
    </pivotField>
    <pivotField name="Gam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ame start" compact="0" outline="0" multipleItemSelectionAllowed="1" showAll="0">
      <items>
        <item x="0"/>
        <item t="default"/>
      </items>
    </pivotField>
    <pivotField name="Game end" compact="0" outline="0" multipleItemSelectionAllowed="1" showAll="0">
      <items>
        <item x="0"/>
        <item t="default"/>
      </items>
    </pivotField>
    <pivotField name="Video Exchanged." compact="0" outline="0" multipleItemSelectionAllowed="1" showAll="0">
      <items>
        <item x="0"/>
        <item t="default"/>
      </items>
    </pivotField>
    <pivotField name="Game time (easy)" compact="0" outline="0" multipleItemSelectionAllowed="1" showAll="0">
      <items>
        <item x="0"/>
        <item x="1"/>
        <item t="default"/>
      </items>
    </pivotField>
    <pivotField name="Intercut time (min)" compact="0" outline="0" multipleItemSelectionAllowed="1" showAll="0">
      <items>
        <item x="0"/>
        <item t="default"/>
      </items>
    </pivotField>
    <pivotField name="Exchange of Breakdown data" compact="0" outline="0" multipleItemSelectionAllowed="1" showAll="0">
      <items>
        <item x="0"/>
        <item t="default"/>
      </items>
    </pivotField>
    <pivotField name="Return of break down data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Upload time" dataField="1" compact="0" outline="0" multipleItemSelectionAllowed="1" showAll="0">
      <items>
        <item x="0"/>
        <item x="1"/>
        <item t="default"/>
      </items>
    </pivotField>
    <pivotField name="Breakdown time" dataField="1" compact="0" outline="0" multipleItemSelectionAllowed="1" showAll="0">
      <items>
        <item x="0"/>
        <item t="default"/>
      </items>
    </pivotField>
    <pivotField name="Game time" dataField="1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AVERAGE of Upload time" fld="36" subtotal="average" baseField="0"/>
    <dataField name="MAX of Upload time" fld="36" subtotal="max" baseField="0"/>
    <dataField name="AVERAGE of Breakdown time" fld="37" subtotal="average" baseField="0"/>
    <dataField name="MAX of Breakdown time" fld="37" subtotal="max" baseField="0"/>
    <dataField name="AVERAGE of Game time" fld="38" subtotal="average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skjernvej12@gmail.com" TargetMode="External"/><Relationship Id="rId10" Type="http://schemas.openxmlformats.org/officeDocument/2006/relationships/hyperlink" Target="mailto:mads_aakjaer@hotmail.com" TargetMode="External"/><Relationship Id="rId13" Type="http://schemas.openxmlformats.org/officeDocument/2006/relationships/hyperlink" Target="mailto:mohammed780_2@hotmail.com" TargetMode="External"/><Relationship Id="rId12" Type="http://schemas.openxmlformats.org/officeDocument/2006/relationships/hyperlink" Target="mailto:dommer484@gmail.com" TargetMode="External"/><Relationship Id="rId1" Type="http://schemas.openxmlformats.org/officeDocument/2006/relationships/hyperlink" Target="mailto:jeppe_s_holm@hotmail.com" TargetMode="External"/><Relationship Id="rId2" Type="http://schemas.openxmlformats.org/officeDocument/2006/relationships/hyperlink" Target="mailto:nordberg20@gmail.com" TargetMode="External"/><Relationship Id="rId3" Type="http://schemas.openxmlformats.org/officeDocument/2006/relationships/hyperlink" Target="mailto:emilriisgaard@hotmail.com" TargetMode="External"/><Relationship Id="rId4" Type="http://schemas.openxmlformats.org/officeDocument/2006/relationships/hyperlink" Target="mailto:erikrasmussen23@gmail.com" TargetMode="External"/><Relationship Id="rId9" Type="http://schemas.openxmlformats.org/officeDocument/2006/relationships/hyperlink" Target="mailto:jonaskrum@gmail.com" TargetMode="External"/><Relationship Id="rId15" Type="http://schemas.openxmlformats.org/officeDocument/2006/relationships/hyperlink" Target="mailto:thsiggaard@gmail.com" TargetMode="External"/><Relationship Id="rId14" Type="http://schemas.openxmlformats.org/officeDocument/2006/relationships/hyperlink" Target="mailto:michael.g.rahbek@gmail.com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mailto:vincentnordkov@hotmail.com" TargetMode="External"/><Relationship Id="rId5" Type="http://schemas.openxmlformats.org/officeDocument/2006/relationships/hyperlink" Target="mailto:fk110871@gmail.com" TargetMode="External"/><Relationship Id="rId6" Type="http://schemas.openxmlformats.org/officeDocument/2006/relationships/hyperlink" Target="mailto:k.m.larzen@gmail.com" TargetMode="External"/><Relationship Id="rId7" Type="http://schemas.openxmlformats.org/officeDocument/2006/relationships/hyperlink" Target="mailto:kim.johannsen@gmail.com" TargetMode="External"/><Relationship Id="rId8" Type="http://schemas.openxmlformats.org/officeDocument/2006/relationships/hyperlink" Target="mailto:mrtn.mkklsn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christian@technobabble.dk" TargetMode="External"/><Relationship Id="rId2" Type="http://schemas.openxmlformats.org/officeDocument/2006/relationships/hyperlink" Target="mailto:pray@live.dk" TargetMode="External"/><Relationship Id="rId3" Type="http://schemas.openxmlformats.org/officeDocument/2006/relationships/hyperlink" Target="mailto:airulf@hot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11.5"/>
    <col customWidth="1" min="2" max="2" width="7.25"/>
    <col customWidth="1" min="3" max="3" width="6.88"/>
    <col customWidth="1" min="4" max="4" width="4.75"/>
    <col customWidth="1" min="5" max="5" width="9.13"/>
    <col customWidth="1" min="6" max="6" width="8.88"/>
    <col customWidth="1" min="7" max="7" width="16.5"/>
    <col customWidth="1" min="8" max="8" width="13.88"/>
    <col customWidth="1" min="9" max="9" width="10.0"/>
    <col customWidth="1" min="10" max="10" width="11.75"/>
    <col customWidth="1" min="11" max="11" width="9.5"/>
    <col customWidth="1" min="12" max="12" width="8.0"/>
    <col customWidth="1" min="13" max="16" width="5.88"/>
    <col customWidth="1" min="17" max="17" width="40.0"/>
    <col customWidth="1" min="18" max="18" width="16.88"/>
    <col customWidth="1" hidden="1" min="19" max="19" width="5.38"/>
    <col customWidth="1" hidden="1" min="20" max="20" width="5.25"/>
    <col customWidth="1" hidden="1" min="21" max="21" width="6.5"/>
    <col customWidth="1" min="22" max="22" width="23.75"/>
    <col customWidth="1" min="23" max="23" width="14.75"/>
    <col customWidth="1" min="24" max="24" width="17.0"/>
    <col customWidth="1" min="25" max="25" width="7.63"/>
    <col customWidth="1" min="26" max="26" width="5.5"/>
    <col customWidth="1" min="27" max="27" width="11.13"/>
    <col customWidth="1" min="28" max="28" width="29.25"/>
    <col customWidth="1" min="29" max="29" width="9.25"/>
    <col customWidth="1" min="30" max="30" width="8.75"/>
    <col customWidth="1" min="31" max="31" width="9.75"/>
    <col customWidth="1" min="32" max="32" width="14.25"/>
    <col customWidth="1" min="33" max="33" width="14.38"/>
    <col customWidth="1" min="34" max="34" width="13.0"/>
    <col customWidth="1" min="35" max="35" width="9.63"/>
    <col customWidth="1" min="36" max="36" width="12.63"/>
    <col customWidth="1" min="37" max="37" width="9.88"/>
    <col customWidth="1" min="38" max="38" width="13.0"/>
    <col customWidth="1" min="39" max="39" width="9.13"/>
  </cols>
  <sheetData>
    <row r="1">
      <c r="A1" s="2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9</v>
      </c>
      <c r="J1" s="7" t="s">
        <v>10</v>
      </c>
      <c r="K1" s="8" t="s">
        <v>11</v>
      </c>
      <c r="L1" s="7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6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6" t="s">
        <v>23</v>
      </c>
      <c r="X1" s="6" t="s">
        <v>24</v>
      </c>
      <c r="Y1" s="5" t="s">
        <v>25</v>
      </c>
      <c r="Z1" s="7" t="s">
        <v>26</v>
      </c>
      <c r="AA1" s="6" t="s">
        <v>27</v>
      </c>
      <c r="AB1" s="12" t="s">
        <v>28</v>
      </c>
      <c r="AC1" s="12" t="s">
        <v>33</v>
      </c>
      <c r="AD1" s="12" t="s">
        <v>35</v>
      </c>
      <c r="AE1" s="13" t="s">
        <v>38</v>
      </c>
      <c r="AF1" s="12" t="s">
        <v>41</v>
      </c>
      <c r="AG1" s="12" t="s">
        <v>43</v>
      </c>
      <c r="AH1" s="12" t="s">
        <v>45</v>
      </c>
      <c r="AI1" s="12" t="s">
        <v>47</v>
      </c>
      <c r="AJ1" s="12" t="s">
        <v>0</v>
      </c>
      <c r="AK1" s="13" t="s">
        <v>49</v>
      </c>
      <c r="AL1" s="12" t="s">
        <v>50</v>
      </c>
      <c r="AM1" s="12" t="s">
        <v>51</v>
      </c>
      <c r="AN1" s="12"/>
      <c r="AO1" s="12"/>
      <c r="AP1" s="12"/>
    </row>
    <row r="2">
      <c r="A2" s="16" t="s">
        <v>53</v>
      </c>
      <c r="B2" s="16">
        <v>0.0</v>
      </c>
      <c r="C2" s="18" t="s">
        <v>57</v>
      </c>
      <c r="D2" s="18">
        <v>29.0</v>
      </c>
      <c r="E2" s="19" t="s">
        <v>61</v>
      </c>
      <c r="F2" s="20">
        <v>0.4166666666666667</v>
      </c>
      <c r="G2" s="22" t="s">
        <v>65</v>
      </c>
      <c r="H2" s="22" t="s">
        <v>68</v>
      </c>
      <c r="I2" s="23" t="s">
        <v>69</v>
      </c>
      <c r="J2" s="23" t="s">
        <v>70</v>
      </c>
      <c r="K2" s="23" t="s">
        <v>71</v>
      </c>
      <c r="L2" s="23" t="s">
        <v>72</v>
      </c>
      <c r="M2" s="22"/>
      <c r="N2" s="22"/>
      <c r="O2" s="22"/>
      <c r="P2" s="22"/>
      <c r="Q2" s="25" t="s">
        <v>75</v>
      </c>
      <c r="R2" s="27">
        <v>2.0</v>
      </c>
      <c r="S2" s="18"/>
      <c r="T2" s="18"/>
      <c r="U2" s="18"/>
      <c r="V2" s="28"/>
      <c r="W2" s="28"/>
      <c r="X2" s="29"/>
      <c r="Y2" s="29"/>
      <c r="Z2" s="29"/>
      <c r="AA2" s="30"/>
      <c r="AB2" s="31" t="str">
        <f t="shared" ref="AB2:AB29" si="1">D2&amp;E2&amp;"-"&amp;G2&amp;"-v-"&amp;H2</f>
        <v>29Marts-Towers-v-Demons</v>
      </c>
      <c r="AC2" s="33"/>
      <c r="AD2" s="33"/>
      <c r="AE2" s="34"/>
      <c r="AF2" s="35"/>
      <c r="AG2" s="36"/>
      <c r="AH2" s="33"/>
      <c r="AI2" s="36"/>
      <c r="AJ2" s="36"/>
      <c r="AK2" s="37"/>
      <c r="AL2" s="38"/>
      <c r="AM2" s="39"/>
      <c r="AN2" s="39"/>
      <c r="AO2" s="39"/>
      <c r="AP2" s="39"/>
    </row>
    <row r="3">
      <c r="A3" s="40" t="s">
        <v>53</v>
      </c>
      <c r="B3" s="40">
        <v>0.0</v>
      </c>
      <c r="C3" s="41" t="s">
        <v>77</v>
      </c>
      <c r="D3" s="41">
        <v>6.0</v>
      </c>
      <c r="E3" s="41" t="s">
        <v>78</v>
      </c>
      <c r="F3" s="42">
        <v>0.6666666666666666</v>
      </c>
      <c r="G3" s="43" t="s">
        <v>79</v>
      </c>
      <c r="H3" s="43" t="s">
        <v>80</v>
      </c>
      <c r="I3" s="44" t="s">
        <v>81</v>
      </c>
      <c r="J3" s="44" t="s">
        <v>82</v>
      </c>
      <c r="K3" s="44" t="s">
        <v>83</v>
      </c>
      <c r="L3" s="44"/>
      <c r="M3" s="43"/>
      <c r="N3" s="43"/>
      <c r="O3" s="43"/>
      <c r="P3" s="43"/>
      <c r="Q3" s="45" t="s">
        <v>84</v>
      </c>
      <c r="R3" s="46">
        <v>0.0</v>
      </c>
      <c r="S3" s="41"/>
      <c r="T3" s="41"/>
      <c r="U3" s="41"/>
      <c r="V3" s="47"/>
      <c r="W3" s="47"/>
      <c r="X3" s="48"/>
      <c r="Y3" s="48"/>
      <c r="Z3" s="48"/>
      <c r="AA3" s="49"/>
      <c r="AB3" s="31" t="str">
        <f t="shared" si="1"/>
        <v>6April-Tigers-v-Razorbacks</v>
      </c>
      <c r="AC3" s="33"/>
      <c r="AD3" s="33"/>
      <c r="AE3" s="34"/>
      <c r="AF3" s="35"/>
      <c r="AG3" s="36"/>
      <c r="AH3" s="33"/>
      <c r="AI3" s="36"/>
      <c r="AJ3" s="36"/>
      <c r="AK3" s="37"/>
      <c r="AL3" s="38"/>
      <c r="AM3" s="39"/>
      <c r="AN3" s="39"/>
      <c r="AO3" s="39"/>
      <c r="AP3" s="39"/>
    </row>
    <row r="4">
      <c r="A4" s="50" t="s">
        <v>67</v>
      </c>
      <c r="B4" s="51">
        <v>2.0</v>
      </c>
      <c r="C4" s="52" t="s">
        <v>91</v>
      </c>
      <c r="D4" s="53">
        <v>11.0</v>
      </c>
      <c r="E4" s="52" t="s">
        <v>78</v>
      </c>
      <c r="F4" s="54">
        <v>0.5833333333333334</v>
      </c>
      <c r="G4" s="55" t="s">
        <v>65</v>
      </c>
      <c r="H4" s="55" t="s">
        <v>80</v>
      </c>
      <c r="I4" s="56" t="s">
        <v>95</v>
      </c>
      <c r="J4" s="57" t="s">
        <v>70</v>
      </c>
      <c r="K4" s="57" t="s">
        <v>96</v>
      </c>
      <c r="L4" s="57" t="s">
        <v>97</v>
      </c>
      <c r="M4" s="57" t="s">
        <v>64</v>
      </c>
      <c r="N4" s="57" t="s">
        <v>98</v>
      </c>
      <c r="O4" s="57" t="s">
        <v>99</v>
      </c>
      <c r="P4" s="58"/>
      <c r="Q4" s="59"/>
      <c r="R4" s="60"/>
      <c r="S4" s="12"/>
      <c r="T4" s="12"/>
      <c r="U4" s="12"/>
      <c r="V4" s="60"/>
      <c r="W4" s="60"/>
      <c r="X4" s="30"/>
      <c r="Y4" s="30"/>
      <c r="Z4" s="30"/>
      <c r="AA4" s="30"/>
      <c r="AB4" s="31" t="str">
        <f t="shared" si="1"/>
        <v>11April-Towers-v-Razorbacks</v>
      </c>
      <c r="AC4" s="33"/>
      <c r="AD4" s="33"/>
      <c r="AE4" s="34"/>
      <c r="AF4" s="35"/>
      <c r="AG4" s="36"/>
      <c r="AH4" s="33"/>
      <c r="AI4" s="36"/>
      <c r="AJ4" s="36"/>
      <c r="AK4" s="37"/>
      <c r="AL4" s="38"/>
      <c r="AM4" s="39"/>
      <c r="AN4" s="39"/>
      <c r="AO4" s="39"/>
      <c r="AP4" s="39"/>
    </row>
    <row r="5">
      <c r="A5" s="50" t="s">
        <v>67</v>
      </c>
      <c r="B5" s="61">
        <v>2.0</v>
      </c>
      <c r="C5" s="52" t="s">
        <v>57</v>
      </c>
      <c r="D5" s="53">
        <v>12.0</v>
      </c>
      <c r="E5" s="52" t="s">
        <v>78</v>
      </c>
      <c r="F5" s="54">
        <v>0.5833333333333334</v>
      </c>
      <c r="G5" s="22" t="s">
        <v>100</v>
      </c>
      <c r="H5" s="22" t="s">
        <v>79</v>
      </c>
      <c r="I5" s="62" t="s">
        <v>101</v>
      </c>
      <c r="J5" s="63" t="s">
        <v>102</v>
      </c>
      <c r="K5" s="63" t="s">
        <v>82</v>
      </c>
      <c r="L5" s="63" t="s">
        <v>103</v>
      </c>
      <c r="M5" s="63" t="s">
        <v>104</v>
      </c>
      <c r="N5" s="63" t="s">
        <v>81</v>
      </c>
      <c r="O5" s="63" t="s">
        <v>105</v>
      </c>
      <c r="P5" s="64"/>
      <c r="Q5" s="65"/>
      <c r="R5" s="66"/>
      <c r="S5" s="12"/>
      <c r="T5" s="12"/>
      <c r="U5" s="12"/>
      <c r="V5" s="60"/>
      <c r="W5" s="60"/>
      <c r="X5" s="30"/>
      <c r="Y5" s="30"/>
      <c r="Z5" s="30"/>
      <c r="AA5" s="30"/>
      <c r="AB5" s="31" t="str">
        <f t="shared" si="1"/>
        <v>12April-89ers-v-Tigers</v>
      </c>
      <c r="AC5" s="33"/>
      <c r="AD5" s="33"/>
      <c r="AE5" s="34"/>
      <c r="AF5" s="35"/>
      <c r="AG5" s="36"/>
      <c r="AH5" s="33"/>
      <c r="AI5" s="36"/>
      <c r="AJ5" s="36"/>
      <c r="AK5" s="37"/>
      <c r="AL5" s="38"/>
      <c r="AM5" s="39"/>
      <c r="AN5" s="39"/>
      <c r="AO5" s="39"/>
      <c r="AP5" s="39"/>
    </row>
    <row r="6">
      <c r="A6" s="50" t="s">
        <v>67</v>
      </c>
      <c r="B6" s="61">
        <v>2.0</v>
      </c>
      <c r="C6" s="52" t="s">
        <v>57</v>
      </c>
      <c r="D6" s="53">
        <v>12.0</v>
      </c>
      <c r="E6" s="52" t="s">
        <v>78</v>
      </c>
      <c r="F6" s="54">
        <v>0.5833333333333334</v>
      </c>
      <c r="G6" s="22" t="s">
        <v>106</v>
      </c>
      <c r="H6" s="22" t="s">
        <v>107</v>
      </c>
      <c r="I6" s="62" t="s">
        <v>70</v>
      </c>
      <c r="J6" s="62" t="s">
        <v>108</v>
      </c>
      <c r="K6" s="62" t="s">
        <v>72</v>
      </c>
      <c r="L6" s="63" t="s">
        <v>109</v>
      </c>
      <c r="M6" s="63"/>
      <c r="N6" s="63" t="s">
        <v>110</v>
      </c>
      <c r="O6" s="63" t="s">
        <v>95</v>
      </c>
      <c r="P6" s="68"/>
      <c r="Q6" s="59"/>
      <c r="R6" s="28"/>
      <c r="S6" s="28"/>
      <c r="T6" s="69"/>
      <c r="U6" s="69"/>
      <c r="V6" s="28"/>
      <c r="W6" s="28"/>
      <c r="X6" s="59"/>
      <c r="Y6" s="30"/>
      <c r="Z6" s="30"/>
      <c r="AA6" s="30"/>
      <c r="AB6" s="31" t="str">
        <f t="shared" si="1"/>
        <v>12April-Oaks-v-Gold Diggers</v>
      </c>
      <c r="AC6" s="33"/>
      <c r="AD6" s="33"/>
      <c r="AE6" s="34"/>
      <c r="AF6" s="35"/>
      <c r="AG6" s="36"/>
      <c r="AH6" s="33"/>
      <c r="AI6" s="36"/>
      <c r="AJ6" s="36"/>
      <c r="AK6" s="37"/>
      <c r="AL6" s="38"/>
      <c r="AM6" s="39"/>
      <c r="AN6" s="39"/>
      <c r="AO6" s="39"/>
      <c r="AP6" s="39"/>
    </row>
    <row r="7" ht="15.0" customHeight="1">
      <c r="A7" s="50" t="s">
        <v>67</v>
      </c>
      <c r="B7" s="61">
        <v>4.0</v>
      </c>
      <c r="C7" s="52" t="s">
        <v>91</v>
      </c>
      <c r="D7" s="53">
        <v>25.0</v>
      </c>
      <c r="E7" s="52" t="s">
        <v>78</v>
      </c>
      <c r="F7" s="54">
        <v>0.5833333333333334</v>
      </c>
      <c r="G7" s="22" t="s">
        <v>100</v>
      </c>
      <c r="H7" s="22" t="s">
        <v>107</v>
      </c>
      <c r="I7" s="62" t="s">
        <v>101</v>
      </c>
      <c r="J7" s="63" t="s">
        <v>102</v>
      </c>
      <c r="K7" s="63" t="s">
        <v>103</v>
      </c>
      <c r="L7" s="63" t="s">
        <v>82</v>
      </c>
      <c r="M7" s="63"/>
      <c r="N7" s="63" t="s">
        <v>81</v>
      </c>
      <c r="O7" s="63" t="s">
        <v>105</v>
      </c>
      <c r="P7" s="63"/>
      <c r="Q7" s="59"/>
      <c r="R7" s="28"/>
      <c r="S7" s="28"/>
      <c r="T7" s="70"/>
      <c r="U7" s="70"/>
      <c r="V7" s="28"/>
      <c r="W7" s="28"/>
      <c r="X7" s="59"/>
      <c r="Y7" s="30"/>
      <c r="Z7" s="30"/>
      <c r="AA7" s="30"/>
      <c r="AB7" s="31" t="str">
        <f t="shared" si="1"/>
        <v>25April-89ers-v-Gold Diggers</v>
      </c>
      <c r="AC7" s="33"/>
      <c r="AD7" s="33"/>
      <c r="AE7" s="34"/>
      <c r="AF7" s="35"/>
      <c r="AG7" s="36"/>
      <c r="AH7" s="33"/>
      <c r="AI7" s="36"/>
      <c r="AJ7" s="36"/>
      <c r="AK7" s="37"/>
      <c r="AL7" s="38"/>
      <c r="AM7" s="39"/>
      <c r="AN7" s="39"/>
      <c r="AO7" s="39"/>
      <c r="AP7" s="39"/>
    </row>
    <row r="8">
      <c r="A8" s="50" t="s">
        <v>67</v>
      </c>
      <c r="B8" s="61">
        <v>4.0</v>
      </c>
      <c r="C8" s="52" t="s">
        <v>91</v>
      </c>
      <c r="D8" s="53">
        <v>25.0</v>
      </c>
      <c r="E8" s="52" t="s">
        <v>78</v>
      </c>
      <c r="F8" s="54">
        <v>0.5833333333333334</v>
      </c>
      <c r="G8" s="22" t="s">
        <v>65</v>
      </c>
      <c r="H8" s="22" t="s">
        <v>79</v>
      </c>
      <c r="I8" s="62" t="s">
        <v>70</v>
      </c>
      <c r="J8" s="63" t="s">
        <v>108</v>
      </c>
      <c r="K8" s="63" t="s">
        <v>96</v>
      </c>
      <c r="L8" s="63" t="s">
        <v>85</v>
      </c>
      <c r="M8" s="71"/>
      <c r="N8" s="63" t="s">
        <v>110</v>
      </c>
      <c r="O8" s="63" t="s">
        <v>98</v>
      </c>
      <c r="P8" s="22"/>
      <c r="Q8" s="65"/>
      <c r="R8" s="28"/>
      <c r="S8" s="18">
        <f>COUNTIF('Status data'!$A5:$H5,"1")</f>
        <v>0</v>
      </c>
      <c r="T8" s="18">
        <f>COUNTIF('Status data'!$A5:$H5,"2")</f>
        <v>0</v>
      </c>
      <c r="U8" s="18">
        <f>COUNTIF('Status data'!$A5:$H5,"3")</f>
        <v>0</v>
      </c>
      <c r="V8" s="28"/>
      <c r="W8" s="60"/>
      <c r="X8" s="30"/>
      <c r="Y8" s="30"/>
      <c r="Z8" s="30"/>
      <c r="AA8" s="30"/>
      <c r="AB8" s="31" t="str">
        <f t="shared" si="1"/>
        <v>25April-Towers-v-Tigers</v>
      </c>
      <c r="AC8" s="33"/>
      <c r="AD8" s="33"/>
      <c r="AE8" s="34"/>
      <c r="AF8" s="35"/>
      <c r="AG8" s="36"/>
      <c r="AH8" s="33"/>
      <c r="AI8" s="36"/>
      <c r="AJ8" s="36"/>
      <c r="AK8" s="37"/>
      <c r="AL8" s="38"/>
      <c r="AM8" s="39"/>
      <c r="AN8" s="39"/>
      <c r="AO8" s="39"/>
      <c r="AP8" s="39"/>
    </row>
    <row r="9">
      <c r="A9" s="16" t="s">
        <v>67</v>
      </c>
      <c r="B9" s="61">
        <v>4.0</v>
      </c>
      <c r="C9" s="18" t="s">
        <v>57</v>
      </c>
      <c r="D9" s="72">
        <v>26.0</v>
      </c>
      <c r="E9" s="18" t="s">
        <v>78</v>
      </c>
      <c r="F9" s="20">
        <v>0.5833333333333334</v>
      </c>
      <c r="G9" s="22" t="s">
        <v>80</v>
      </c>
      <c r="H9" s="22" t="s">
        <v>106</v>
      </c>
      <c r="I9" s="23" t="s">
        <v>101</v>
      </c>
      <c r="J9" s="23" t="s">
        <v>70</v>
      </c>
      <c r="K9" s="73" t="s">
        <v>83</v>
      </c>
      <c r="L9" s="23" t="s">
        <v>98</v>
      </c>
      <c r="M9" s="23" t="s">
        <v>104</v>
      </c>
      <c r="N9" s="23" t="s">
        <v>81</v>
      </c>
      <c r="O9" s="23" t="s">
        <v>105</v>
      </c>
      <c r="P9" s="22"/>
      <c r="Q9" s="65"/>
      <c r="R9" s="28"/>
      <c r="S9" s="18">
        <f>COUNTIF('Status data'!$A6:$H6,"1")</f>
        <v>2</v>
      </c>
      <c r="T9" s="18">
        <f>COUNTIF('Status data'!$A6:$H6,"2")</f>
        <v>1</v>
      </c>
      <c r="U9" s="18">
        <f>COUNTIF('Status data'!$A6:$H6,"3")</f>
        <v>1</v>
      </c>
      <c r="V9" s="28"/>
      <c r="W9" s="28"/>
      <c r="X9" s="29"/>
      <c r="Y9" s="29"/>
      <c r="Z9" s="29"/>
      <c r="AA9" s="29"/>
      <c r="AB9" s="31" t="str">
        <f t="shared" si="1"/>
        <v>26April-Razorbacks-v-Oaks</v>
      </c>
      <c r="AC9" s="33"/>
      <c r="AD9" s="33"/>
      <c r="AE9" s="33"/>
      <c r="AF9" s="35"/>
      <c r="AG9" s="36"/>
      <c r="AH9" s="74"/>
      <c r="AI9" s="36"/>
      <c r="AJ9" s="36"/>
      <c r="AK9" s="37"/>
      <c r="AL9" s="38"/>
      <c r="AM9" s="39"/>
      <c r="AN9" s="39"/>
      <c r="AO9" s="39"/>
      <c r="AP9" s="39"/>
    </row>
    <row r="10">
      <c r="A10" s="16" t="s">
        <v>67</v>
      </c>
      <c r="B10" s="61">
        <v>6.0</v>
      </c>
      <c r="C10" s="18" t="s">
        <v>91</v>
      </c>
      <c r="D10" s="72">
        <v>9.0</v>
      </c>
      <c r="E10" s="18" t="s">
        <v>126</v>
      </c>
      <c r="F10" s="20">
        <v>0.5833333333333334</v>
      </c>
      <c r="G10" s="22" t="s">
        <v>107</v>
      </c>
      <c r="H10" s="22" t="s">
        <v>65</v>
      </c>
      <c r="I10" s="23" t="s">
        <v>95</v>
      </c>
      <c r="J10" s="23" t="s">
        <v>70</v>
      </c>
      <c r="K10" s="23" t="s">
        <v>83</v>
      </c>
      <c r="L10" s="73" t="s">
        <v>71</v>
      </c>
      <c r="M10" s="23" t="s">
        <v>104</v>
      </c>
      <c r="N10" s="23" t="s">
        <v>98</v>
      </c>
      <c r="O10" s="23" t="s">
        <v>81</v>
      </c>
      <c r="P10" s="73"/>
      <c r="Q10" s="59"/>
      <c r="R10" s="28"/>
      <c r="S10" s="18">
        <f>COUNTIF('Status data'!$A7:$H7,"1")</f>
        <v>0</v>
      </c>
      <c r="T10" s="18">
        <f>COUNTIF('Status data'!$A7:$H7,"2")</f>
        <v>0</v>
      </c>
      <c r="U10" s="18">
        <f>COUNTIF('Status data'!$A7:$H7,"3")</f>
        <v>0</v>
      </c>
      <c r="V10" s="28"/>
      <c r="W10" s="28"/>
      <c r="X10" s="29"/>
      <c r="Y10" s="29"/>
      <c r="Z10" s="29"/>
      <c r="AA10" s="29"/>
      <c r="AB10" s="31" t="str">
        <f t="shared" si="1"/>
        <v>9Maj-Gold Diggers-v-Towers</v>
      </c>
      <c r="AC10" s="33"/>
      <c r="AD10" s="33"/>
      <c r="AE10" s="33"/>
      <c r="AF10" s="35"/>
      <c r="AG10" s="36"/>
      <c r="AH10" s="74"/>
      <c r="AI10" s="36"/>
      <c r="AJ10" s="36"/>
      <c r="AK10" s="37"/>
      <c r="AL10" s="38"/>
      <c r="AM10" s="39"/>
      <c r="AN10" s="39"/>
      <c r="AO10" s="39"/>
      <c r="AP10" s="39"/>
    </row>
    <row r="11">
      <c r="A11" s="16" t="s">
        <v>67</v>
      </c>
      <c r="B11" s="61">
        <v>6.0</v>
      </c>
      <c r="C11" s="18" t="s">
        <v>91</v>
      </c>
      <c r="D11" s="72">
        <v>9.0</v>
      </c>
      <c r="E11" s="18" t="s">
        <v>126</v>
      </c>
      <c r="F11" s="20">
        <v>0.5833333333333334</v>
      </c>
      <c r="G11" s="22" t="s">
        <v>106</v>
      </c>
      <c r="H11" s="22" t="s">
        <v>100</v>
      </c>
      <c r="I11" s="23" t="s">
        <v>69</v>
      </c>
      <c r="J11" s="23" t="s">
        <v>108</v>
      </c>
      <c r="K11" s="23" t="s">
        <v>72</v>
      </c>
      <c r="L11" s="23" t="s">
        <v>97</v>
      </c>
      <c r="M11" s="73" t="s">
        <v>85</v>
      </c>
      <c r="N11" s="23" t="s">
        <v>110</v>
      </c>
      <c r="O11" s="73" t="s">
        <v>64</v>
      </c>
      <c r="P11" s="75"/>
      <c r="Q11" s="65"/>
      <c r="R11" s="28"/>
      <c r="S11" s="18">
        <f>COUNTIF('Status data'!$A8:$H8,"1")</f>
        <v>0</v>
      </c>
      <c r="T11" s="18">
        <f>COUNTIF('Status data'!$A8:$H8,"2")</f>
        <v>0</v>
      </c>
      <c r="U11" s="18">
        <f>COUNTIF('Status data'!$A8:$H8,"3")</f>
        <v>0</v>
      </c>
      <c r="V11" s="28"/>
      <c r="W11" s="28"/>
      <c r="X11" s="29"/>
      <c r="Y11" s="29"/>
      <c r="Z11" s="29"/>
      <c r="AA11" s="29"/>
      <c r="AB11" s="31" t="str">
        <f t="shared" si="1"/>
        <v>9Maj-Oaks-v-89ers</v>
      </c>
      <c r="AC11" s="34"/>
      <c r="AD11" s="33"/>
      <c r="AE11" s="80"/>
      <c r="AF11" s="35"/>
      <c r="AG11" s="81"/>
      <c r="AH11" s="82"/>
      <c r="AI11" s="81"/>
      <c r="AJ11" s="81"/>
      <c r="AK11" s="81"/>
      <c r="AL11" s="81"/>
      <c r="AM11" s="81"/>
      <c r="AN11" s="81"/>
      <c r="AO11" s="81"/>
      <c r="AP11" s="81"/>
    </row>
    <row r="12">
      <c r="A12" s="16" t="s">
        <v>67</v>
      </c>
      <c r="B12" s="61">
        <v>6.0</v>
      </c>
      <c r="C12" s="18" t="s">
        <v>57</v>
      </c>
      <c r="D12" s="72">
        <v>10.0</v>
      </c>
      <c r="E12" s="18" t="s">
        <v>126</v>
      </c>
      <c r="F12" s="20">
        <v>0.5833333333333334</v>
      </c>
      <c r="G12" s="22" t="s">
        <v>79</v>
      </c>
      <c r="H12" s="22" t="s">
        <v>80</v>
      </c>
      <c r="I12" s="23" t="s">
        <v>101</v>
      </c>
      <c r="J12" s="23" t="s">
        <v>102</v>
      </c>
      <c r="K12" s="23" t="s">
        <v>82</v>
      </c>
      <c r="L12" s="23" t="s">
        <v>103</v>
      </c>
      <c r="M12" s="23" t="s">
        <v>104</v>
      </c>
      <c r="N12" s="23" t="s">
        <v>81</v>
      </c>
      <c r="O12" s="23" t="s">
        <v>105</v>
      </c>
      <c r="P12" s="75"/>
      <c r="Q12" s="65"/>
      <c r="R12" s="28"/>
      <c r="S12" s="18">
        <f>COUNTIF('Status data'!$A9:$H9,"1")</f>
        <v>0</v>
      </c>
      <c r="T12" s="18">
        <f>COUNTIF('Status data'!$A9:$H9,"2")</f>
        <v>0</v>
      </c>
      <c r="U12" s="18">
        <f>COUNTIF('Status data'!$A9:$H9,"3")</f>
        <v>0</v>
      </c>
      <c r="V12" s="28"/>
      <c r="W12" s="28"/>
      <c r="X12" s="29"/>
      <c r="Y12" s="29"/>
      <c r="Z12" s="29"/>
      <c r="AA12" s="29"/>
      <c r="AB12" s="31" t="str">
        <f t="shared" si="1"/>
        <v>10Maj-Tigers-v-Razorbacks</v>
      </c>
      <c r="AC12" s="34"/>
      <c r="AD12" s="33"/>
      <c r="AE12" s="80"/>
      <c r="AF12" s="35" t="str">
        <f>HOUR(AD12-AC12)&amp;"h"&amp;minute(AD12-AC12)&amp;"m"</f>
        <v>0h0m</v>
      </c>
      <c r="AG12" s="81"/>
      <c r="AH12" s="82"/>
      <c r="AI12" s="81"/>
      <c r="AJ12" s="81"/>
      <c r="AK12" s="81">
        <f>AE12-AD12</f>
        <v>0</v>
      </c>
      <c r="AL12" s="81"/>
      <c r="AM12" s="81"/>
      <c r="AN12" s="81"/>
      <c r="AO12" s="81"/>
      <c r="AP12" s="81"/>
    </row>
    <row r="13">
      <c r="A13" s="16" t="s">
        <v>67</v>
      </c>
      <c r="B13" s="61">
        <v>9.0</v>
      </c>
      <c r="C13" s="18" t="s">
        <v>139</v>
      </c>
      <c r="D13" s="72">
        <v>29.0</v>
      </c>
      <c r="E13" s="18" t="s">
        <v>126</v>
      </c>
      <c r="F13" s="20">
        <v>0.75</v>
      </c>
      <c r="G13" s="22" t="s">
        <v>65</v>
      </c>
      <c r="H13" s="22" t="s">
        <v>106</v>
      </c>
      <c r="I13" s="23" t="s">
        <v>95</v>
      </c>
      <c r="J13" s="23" t="s">
        <v>70</v>
      </c>
      <c r="K13" s="23" t="s">
        <v>72</v>
      </c>
      <c r="L13" s="23" t="s">
        <v>71</v>
      </c>
      <c r="M13" s="23" t="s">
        <v>64</v>
      </c>
      <c r="N13" s="23" t="s">
        <v>110</v>
      </c>
      <c r="O13" s="23" t="s">
        <v>98</v>
      </c>
      <c r="P13" s="94"/>
      <c r="Q13" s="65"/>
      <c r="R13" s="28"/>
      <c r="S13" s="18">
        <f>COUNTIF('Status data'!$A10:$H10,"1")</f>
        <v>0</v>
      </c>
      <c r="T13" s="18">
        <f>COUNTIF('Status data'!$A10:$H10,"2")</f>
        <v>0</v>
      </c>
      <c r="U13" s="18">
        <f>COUNTIF('Status data'!$A10:$H10,"3")</f>
        <v>0</v>
      </c>
      <c r="V13" s="28"/>
      <c r="W13" s="28"/>
      <c r="X13" s="29"/>
      <c r="Y13" s="29"/>
      <c r="Z13" s="29"/>
      <c r="AA13" s="29"/>
      <c r="AB13" s="31" t="str">
        <f t="shared" si="1"/>
        <v>29Maj-Towers-v-Oaks</v>
      </c>
      <c r="AC13" s="33"/>
      <c r="AD13" s="33"/>
      <c r="AE13" s="97"/>
      <c r="AF13" s="35"/>
      <c r="AG13" s="98"/>
      <c r="AH13" s="81"/>
      <c r="AI13" s="81"/>
      <c r="AJ13" s="81"/>
      <c r="AK13" s="81"/>
      <c r="AL13" s="81"/>
      <c r="AM13" s="81"/>
      <c r="AN13" s="81"/>
      <c r="AO13" s="81"/>
      <c r="AP13" s="81"/>
    </row>
    <row r="14">
      <c r="A14" s="16" t="s">
        <v>67</v>
      </c>
      <c r="B14" s="61">
        <v>9.0</v>
      </c>
      <c r="C14" s="18" t="s">
        <v>91</v>
      </c>
      <c r="D14" s="72">
        <v>30.0</v>
      </c>
      <c r="E14" s="18" t="s">
        <v>126</v>
      </c>
      <c r="F14" s="20">
        <v>0.5833333333333334</v>
      </c>
      <c r="G14" s="22" t="s">
        <v>79</v>
      </c>
      <c r="H14" s="22" t="s">
        <v>107</v>
      </c>
      <c r="I14" s="23" t="s">
        <v>101</v>
      </c>
      <c r="J14" s="23" t="s">
        <v>102</v>
      </c>
      <c r="K14" s="23" t="s">
        <v>148</v>
      </c>
      <c r="L14" s="23" t="s">
        <v>82</v>
      </c>
      <c r="M14" s="23"/>
      <c r="N14" s="23" t="s">
        <v>81</v>
      </c>
      <c r="O14" s="23" t="s">
        <v>104</v>
      </c>
      <c r="P14" s="73"/>
      <c r="Q14" s="65"/>
      <c r="R14" s="28"/>
      <c r="S14" s="18">
        <f>COUNTIF('Status data'!$A11:$H11,"1")</f>
        <v>0</v>
      </c>
      <c r="T14" s="18">
        <f>COUNTIF('Status data'!$A11:$H11,"2")</f>
        <v>0</v>
      </c>
      <c r="U14" s="18">
        <f>COUNTIF('Status data'!$A11:$H11,"3")</f>
        <v>0</v>
      </c>
      <c r="V14" s="28"/>
      <c r="W14" s="28"/>
      <c r="X14" s="29"/>
      <c r="Y14" s="29"/>
      <c r="Z14" s="29"/>
      <c r="AA14" s="29"/>
      <c r="AB14" s="31" t="str">
        <f t="shared" si="1"/>
        <v>30Maj-Tigers-v-Gold Diggers</v>
      </c>
      <c r="AC14" s="33"/>
      <c r="AD14" s="33"/>
      <c r="AE14" s="97"/>
      <c r="AF14" s="35"/>
      <c r="AG14" s="98"/>
      <c r="AH14" s="81"/>
      <c r="AI14" s="81"/>
      <c r="AJ14" s="81"/>
      <c r="AK14" s="81"/>
      <c r="AL14" s="81"/>
      <c r="AM14" s="81"/>
      <c r="AN14" s="81"/>
      <c r="AO14" s="81"/>
      <c r="AP14" s="81"/>
    </row>
    <row r="15">
      <c r="A15" s="16" t="s">
        <v>67</v>
      </c>
      <c r="B15" s="61">
        <v>9.0</v>
      </c>
      <c r="C15" s="18" t="s">
        <v>57</v>
      </c>
      <c r="D15" s="72">
        <v>31.0</v>
      </c>
      <c r="E15" s="18" t="s">
        <v>126</v>
      </c>
      <c r="F15" s="20">
        <v>0.5833333333333334</v>
      </c>
      <c r="G15" s="22" t="s">
        <v>80</v>
      </c>
      <c r="H15" s="22" t="s">
        <v>100</v>
      </c>
      <c r="I15" s="23" t="s">
        <v>95</v>
      </c>
      <c r="J15" s="23" t="s">
        <v>70</v>
      </c>
      <c r="K15" s="23" t="s">
        <v>148</v>
      </c>
      <c r="L15" s="23" t="s">
        <v>149</v>
      </c>
      <c r="M15" s="23" t="s">
        <v>85</v>
      </c>
      <c r="N15" s="23" t="s">
        <v>81</v>
      </c>
      <c r="O15" s="23" t="s">
        <v>99</v>
      </c>
      <c r="P15" s="73"/>
      <c r="Q15" s="65"/>
      <c r="R15" s="28"/>
      <c r="S15" s="18">
        <f>COUNTIF('Status data'!$A12:$H12,"1")</f>
        <v>4</v>
      </c>
      <c r="T15" s="18">
        <f>COUNTIF('Status data'!$A12:$H12,"2")</f>
        <v>0</v>
      </c>
      <c r="U15" s="18">
        <f>COUNTIF('Status data'!$A12:$H12,"3")</f>
        <v>1</v>
      </c>
      <c r="V15" s="28"/>
      <c r="W15" s="18"/>
      <c r="X15" s="29"/>
      <c r="Y15" s="29"/>
      <c r="Z15" s="29"/>
      <c r="AA15" s="29"/>
      <c r="AB15" s="31" t="str">
        <f t="shared" si="1"/>
        <v>31Maj-Razorbacks-v-89ers</v>
      </c>
      <c r="AC15" s="33"/>
      <c r="AD15" s="33"/>
      <c r="AE15" s="97"/>
      <c r="AF15" s="35"/>
      <c r="AG15" s="98"/>
      <c r="AH15" s="81"/>
      <c r="AI15" s="81"/>
      <c r="AJ15" s="81"/>
      <c r="AK15" s="81"/>
      <c r="AL15" s="81"/>
      <c r="AM15" s="81"/>
      <c r="AN15" s="81"/>
      <c r="AO15" s="81"/>
      <c r="AP15" s="81"/>
    </row>
    <row r="16">
      <c r="A16" s="16" t="s">
        <v>67</v>
      </c>
      <c r="B16" s="61">
        <v>11.0</v>
      </c>
      <c r="C16" s="18" t="s">
        <v>91</v>
      </c>
      <c r="D16" s="72">
        <v>13.0</v>
      </c>
      <c r="E16" s="18" t="s">
        <v>154</v>
      </c>
      <c r="F16" s="20">
        <v>0.5833333333333334</v>
      </c>
      <c r="G16" s="22" t="s">
        <v>100</v>
      </c>
      <c r="H16" s="22" t="s">
        <v>65</v>
      </c>
      <c r="I16" s="23" t="s">
        <v>102</v>
      </c>
      <c r="J16" s="23" t="s">
        <v>148</v>
      </c>
      <c r="K16" s="23" t="s">
        <v>82</v>
      </c>
      <c r="L16" s="23" t="s">
        <v>103</v>
      </c>
      <c r="M16" s="23"/>
      <c r="N16" s="23" t="s">
        <v>81</v>
      </c>
      <c r="O16" s="23" t="s">
        <v>104</v>
      </c>
      <c r="P16" s="73"/>
      <c r="Q16" s="65"/>
      <c r="R16" s="28"/>
      <c r="S16" s="18"/>
      <c r="T16" s="18">
        <f>COUNTIF('Status data'!$A13:$H13,"1")</f>
        <v>0</v>
      </c>
      <c r="U16" s="18">
        <f>COUNTIF('Status data'!$A13:$H13,"2")</f>
        <v>0</v>
      </c>
      <c r="V16" s="28"/>
      <c r="W16" s="18"/>
      <c r="X16" s="29"/>
      <c r="Y16" s="29"/>
      <c r="Z16" s="29"/>
      <c r="AA16" s="29"/>
      <c r="AB16" s="31" t="str">
        <f t="shared" si="1"/>
        <v>13Juni-89ers-v-Towers</v>
      </c>
      <c r="AC16" s="33"/>
      <c r="AD16" s="33"/>
      <c r="AE16" s="97"/>
      <c r="AF16" s="35"/>
      <c r="AG16" s="98"/>
      <c r="AH16" s="81"/>
      <c r="AI16" s="81"/>
      <c r="AJ16" s="81"/>
      <c r="AK16" s="81"/>
      <c r="AL16" s="81"/>
      <c r="AM16" s="81"/>
      <c r="AN16" s="81"/>
      <c r="AO16" s="81"/>
      <c r="AP16" s="81"/>
    </row>
    <row r="17">
      <c r="A17" s="16" t="s">
        <v>67</v>
      </c>
      <c r="B17" s="61">
        <v>11.0</v>
      </c>
      <c r="C17" s="18" t="s">
        <v>91</v>
      </c>
      <c r="D17" s="72">
        <v>13.0</v>
      </c>
      <c r="E17" s="18" t="s">
        <v>154</v>
      </c>
      <c r="F17" s="20">
        <v>0.5833333333333334</v>
      </c>
      <c r="G17" s="22" t="s">
        <v>106</v>
      </c>
      <c r="H17" s="22" t="s">
        <v>79</v>
      </c>
      <c r="I17" s="23" t="s">
        <v>70</v>
      </c>
      <c r="J17" s="23" t="s">
        <v>149</v>
      </c>
      <c r="K17" s="23" t="s">
        <v>72</v>
      </c>
      <c r="L17" s="23" t="s">
        <v>160</v>
      </c>
      <c r="M17" s="23" t="s">
        <v>85</v>
      </c>
      <c r="N17" s="23" t="s">
        <v>98</v>
      </c>
      <c r="O17" s="23" t="s">
        <v>99</v>
      </c>
      <c r="P17" s="73"/>
      <c r="Q17" s="65"/>
      <c r="R17" s="28"/>
      <c r="S17" s="18"/>
      <c r="T17" s="18"/>
      <c r="U17" s="18"/>
      <c r="V17" s="28"/>
      <c r="W17" s="18"/>
      <c r="X17" s="29"/>
      <c r="Y17" s="29"/>
      <c r="Z17" s="29"/>
      <c r="AA17" s="29"/>
      <c r="AB17" s="31" t="str">
        <f t="shared" si="1"/>
        <v>13Juni-Oaks-v-Tigers</v>
      </c>
      <c r="AC17" s="33"/>
      <c r="AD17" s="33"/>
      <c r="AE17" s="97"/>
      <c r="AF17" s="35"/>
      <c r="AG17" s="98"/>
      <c r="AH17" s="81"/>
      <c r="AI17" s="81"/>
      <c r="AJ17" s="81"/>
      <c r="AK17" s="81"/>
      <c r="AL17" s="81"/>
      <c r="AM17" s="81"/>
      <c r="AN17" s="81"/>
      <c r="AO17" s="81"/>
      <c r="AP17" s="81"/>
    </row>
    <row r="18">
      <c r="A18" s="50" t="s">
        <v>67</v>
      </c>
      <c r="B18" s="61">
        <v>12.0</v>
      </c>
      <c r="C18" s="52" t="s">
        <v>91</v>
      </c>
      <c r="D18" s="53">
        <v>20.0</v>
      </c>
      <c r="E18" s="52" t="s">
        <v>154</v>
      </c>
      <c r="F18" s="54">
        <v>0.5833333333333334</v>
      </c>
      <c r="G18" s="22" t="s">
        <v>107</v>
      </c>
      <c r="H18" s="22" t="s">
        <v>106</v>
      </c>
      <c r="I18" s="23" t="s">
        <v>70</v>
      </c>
      <c r="J18" s="23" t="s">
        <v>108</v>
      </c>
      <c r="K18" s="23" t="s">
        <v>72</v>
      </c>
      <c r="L18" s="23" t="s">
        <v>160</v>
      </c>
      <c r="M18" s="23" t="s">
        <v>161</v>
      </c>
      <c r="N18" s="23" t="s">
        <v>110</v>
      </c>
      <c r="O18" s="23" t="s">
        <v>161</v>
      </c>
      <c r="P18" s="75"/>
      <c r="Q18" s="116"/>
      <c r="R18" s="28"/>
      <c r="S18" s="18">
        <f>COUNTIF('Status data'!$A14:$H14,"1")</f>
        <v>0</v>
      </c>
      <c r="T18" s="18">
        <f>COUNTIF('Status data'!$A14:$H14,"2")</f>
        <v>0</v>
      </c>
      <c r="U18" s="18">
        <f>COUNTIF('Status data'!$A14:$H14,"3")</f>
        <v>0</v>
      </c>
      <c r="V18" s="28"/>
      <c r="W18" s="28"/>
      <c r="X18" s="29"/>
      <c r="Y18" s="29"/>
      <c r="Z18" s="29"/>
      <c r="AA18" s="29"/>
      <c r="AB18" s="31" t="str">
        <f t="shared" si="1"/>
        <v>20Juni-Gold Diggers-v-Oaks</v>
      </c>
      <c r="AC18" s="33"/>
      <c r="AD18" s="33"/>
      <c r="AE18" s="97"/>
      <c r="AF18" s="35"/>
      <c r="AG18" s="98"/>
      <c r="AH18" s="81"/>
      <c r="AI18" s="81"/>
      <c r="AJ18" s="81"/>
      <c r="AK18" s="81"/>
      <c r="AL18" s="81"/>
      <c r="AM18" s="81"/>
      <c r="AN18" s="81"/>
      <c r="AO18" s="81"/>
      <c r="AP18" s="81"/>
    </row>
    <row r="19">
      <c r="A19" s="50" t="s">
        <v>67</v>
      </c>
      <c r="B19" s="61">
        <v>12.0</v>
      </c>
      <c r="C19" s="52" t="s">
        <v>91</v>
      </c>
      <c r="D19" s="53">
        <v>20.0</v>
      </c>
      <c r="E19" s="52" t="s">
        <v>154</v>
      </c>
      <c r="F19" s="54">
        <v>0.5833333333333334</v>
      </c>
      <c r="G19" s="22" t="s">
        <v>80</v>
      </c>
      <c r="H19" s="22" t="s">
        <v>65</v>
      </c>
      <c r="I19" s="23" t="s">
        <v>101</v>
      </c>
      <c r="J19" s="23" t="s">
        <v>102</v>
      </c>
      <c r="K19" s="62" t="s">
        <v>83</v>
      </c>
      <c r="L19" s="23" t="s">
        <v>82</v>
      </c>
      <c r="M19" s="73" t="s">
        <v>104</v>
      </c>
      <c r="N19" s="23" t="s">
        <v>98</v>
      </c>
      <c r="O19" s="73" t="s">
        <v>105</v>
      </c>
      <c r="P19" s="75"/>
      <c r="Q19" s="120"/>
      <c r="R19" s="28"/>
      <c r="S19" s="18"/>
      <c r="T19" s="18"/>
      <c r="U19" s="18"/>
      <c r="V19" s="28"/>
      <c r="W19" s="28"/>
      <c r="X19" s="29"/>
      <c r="Y19" s="29"/>
      <c r="Z19" s="29"/>
      <c r="AA19" s="29"/>
      <c r="AB19" s="31" t="str">
        <f t="shared" si="1"/>
        <v>20Juni-Razorbacks-v-Towers</v>
      </c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</row>
    <row r="20">
      <c r="A20" s="124" t="s">
        <v>67</v>
      </c>
      <c r="B20" s="125">
        <v>12.0</v>
      </c>
      <c r="C20" s="127" t="s">
        <v>57</v>
      </c>
      <c r="D20" s="129">
        <v>21.0</v>
      </c>
      <c r="E20" s="127" t="s">
        <v>154</v>
      </c>
      <c r="F20" s="130">
        <v>0.5833333333333334</v>
      </c>
      <c r="G20" s="43" t="s">
        <v>79</v>
      </c>
      <c r="H20" s="43" t="s">
        <v>100</v>
      </c>
      <c r="I20" s="44" t="s">
        <v>95</v>
      </c>
      <c r="J20" s="44" t="s">
        <v>70</v>
      </c>
      <c r="K20" s="44" t="s">
        <v>103</v>
      </c>
      <c r="L20" s="44" t="s">
        <v>179</v>
      </c>
      <c r="M20" s="44" t="s">
        <v>101</v>
      </c>
      <c r="N20" s="44" t="s">
        <v>81</v>
      </c>
      <c r="O20" s="44" t="s">
        <v>105</v>
      </c>
      <c r="P20" s="131"/>
      <c r="Q20" s="132"/>
      <c r="R20" s="47"/>
      <c r="S20" s="41">
        <f>COUNTIF('Status data'!$A17:$H17,"1")</f>
        <v>0</v>
      </c>
      <c r="T20" s="41">
        <f>COUNTIF('Status data'!$A17:$H17,"2")</f>
        <v>0</v>
      </c>
      <c r="U20" s="41">
        <f>COUNTIF('Status data'!$A17:$H17,"3")</f>
        <v>0</v>
      </c>
      <c r="V20" s="47"/>
      <c r="W20" s="47"/>
      <c r="X20" s="48"/>
      <c r="Y20" s="48"/>
      <c r="Z20" s="48"/>
      <c r="AA20" s="48"/>
      <c r="AB20" s="31" t="str">
        <f t="shared" si="1"/>
        <v>21Juni-Tigers-v-89ers</v>
      </c>
      <c r="AC20" s="33"/>
      <c r="AD20" s="33"/>
      <c r="AE20" s="97"/>
      <c r="AF20" s="35"/>
      <c r="AG20" s="98"/>
      <c r="AH20" s="81"/>
      <c r="AI20" s="81"/>
      <c r="AJ20" s="81"/>
      <c r="AK20" s="81"/>
      <c r="AL20" s="81"/>
      <c r="AM20" s="81"/>
      <c r="AN20" s="81"/>
      <c r="AO20" s="81"/>
      <c r="AP20" s="81"/>
    </row>
    <row r="21">
      <c r="A21" s="16" t="s">
        <v>67</v>
      </c>
      <c r="B21" s="61">
        <v>16.0</v>
      </c>
      <c r="C21" s="18" t="s">
        <v>186</v>
      </c>
      <c r="D21" s="72">
        <v>15.0</v>
      </c>
      <c r="E21" s="18" t="s">
        <v>187</v>
      </c>
      <c r="F21" s="20">
        <v>0.5833333333333334</v>
      </c>
      <c r="G21" s="22" t="s">
        <v>107</v>
      </c>
      <c r="H21" s="22" t="s">
        <v>80</v>
      </c>
      <c r="I21" s="141" t="s">
        <v>70</v>
      </c>
      <c r="J21" s="142" t="s">
        <v>108</v>
      </c>
      <c r="K21" s="142" t="s">
        <v>72</v>
      </c>
      <c r="L21" s="142" t="s">
        <v>97</v>
      </c>
      <c r="M21" s="142" t="s">
        <v>85</v>
      </c>
      <c r="N21" s="142" t="s">
        <v>110</v>
      </c>
      <c r="O21" s="142" t="s">
        <v>98</v>
      </c>
      <c r="P21" s="73"/>
      <c r="Q21" s="65" t="s">
        <v>188</v>
      </c>
      <c r="R21" s="28"/>
      <c r="S21" s="18"/>
      <c r="T21" s="18"/>
      <c r="U21" s="18"/>
      <c r="V21" s="28"/>
      <c r="W21" s="18"/>
      <c r="X21" s="29"/>
      <c r="Y21" s="29"/>
      <c r="Z21" s="29"/>
      <c r="AA21" s="29"/>
      <c r="AB21" s="31" t="str">
        <f t="shared" si="1"/>
        <v>15August-Gold Diggers-v-Razorbacks</v>
      </c>
      <c r="AC21" s="33"/>
      <c r="AD21" s="33"/>
      <c r="AE21" s="97"/>
      <c r="AF21" s="35"/>
      <c r="AG21" s="98"/>
      <c r="AH21" s="81"/>
      <c r="AI21" s="81"/>
      <c r="AJ21" s="81"/>
      <c r="AK21" s="81"/>
      <c r="AL21" s="81"/>
      <c r="AM21" s="81"/>
      <c r="AN21" s="81"/>
      <c r="AO21" s="81"/>
      <c r="AP21" s="81"/>
    </row>
    <row r="22">
      <c r="A22" s="50" t="s">
        <v>67</v>
      </c>
      <c r="B22" s="51">
        <v>17.0</v>
      </c>
      <c r="C22" s="52" t="s">
        <v>139</v>
      </c>
      <c r="D22" s="53">
        <v>21.0</v>
      </c>
      <c r="E22" s="52" t="s">
        <v>187</v>
      </c>
      <c r="F22" s="54">
        <v>0.75</v>
      </c>
      <c r="G22" s="55" t="s">
        <v>65</v>
      </c>
      <c r="H22" s="55" t="s">
        <v>107</v>
      </c>
      <c r="I22" s="143" t="s">
        <v>95</v>
      </c>
      <c r="J22" s="144" t="s">
        <v>70</v>
      </c>
      <c r="K22" s="144" t="s">
        <v>96</v>
      </c>
      <c r="L22" s="144" t="s">
        <v>149</v>
      </c>
      <c r="M22" s="144" t="s">
        <v>64</v>
      </c>
      <c r="N22" s="144" t="s">
        <v>98</v>
      </c>
      <c r="O22" s="144" t="s">
        <v>110</v>
      </c>
      <c r="P22" s="145"/>
      <c r="Q22" s="59"/>
      <c r="R22" s="146"/>
      <c r="S22" s="147"/>
      <c r="T22" s="147"/>
      <c r="U22" s="147"/>
      <c r="V22" s="146"/>
      <c r="W22" s="146"/>
      <c r="X22" s="148"/>
      <c r="Y22" s="148"/>
      <c r="Z22" s="148"/>
      <c r="AA22" s="148"/>
      <c r="AB22" s="31" t="str">
        <f t="shared" si="1"/>
        <v>21August-Towers-v-Gold Diggers</v>
      </c>
      <c r="AC22" s="33"/>
      <c r="AD22" s="33"/>
      <c r="AE22" s="97"/>
      <c r="AF22" s="35"/>
      <c r="AG22" s="98"/>
      <c r="AH22" s="81"/>
      <c r="AI22" s="81"/>
      <c r="AJ22" s="81"/>
      <c r="AK22" s="81"/>
      <c r="AL22" s="81"/>
      <c r="AM22" s="81"/>
      <c r="AN22" s="81"/>
      <c r="AO22" s="81"/>
      <c r="AP22" s="81"/>
    </row>
    <row r="23">
      <c r="A23" s="149" t="s">
        <v>67</v>
      </c>
      <c r="B23" s="150">
        <v>17.0</v>
      </c>
      <c r="C23" s="151" t="s">
        <v>91</v>
      </c>
      <c r="D23" s="152">
        <v>22.0</v>
      </c>
      <c r="E23" s="151" t="s">
        <v>187</v>
      </c>
      <c r="F23" s="154">
        <v>0.5833333333333334</v>
      </c>
      <c r="G23" s="156" t="s">
        <v>100</v>
      </c>
      <c r="H23" s="156" t="s">
        <v>106</v>
      </c>
      <c r="I23" s="157" t="s">
        <v>101</v>
      </c>
      <c r="J23" s="159" t="s">
        <v>102</v>
      </c>
      <c r="K23" s="159" t="s">
        <v>103</v>
      </c>
      <c r="L23" s="159" t="s">
        <v>196</v>
      </c>
      <c r="M23" s="159" t="s">
        <v>104</v>
      </c>
      <c r="N23" s="159" t="s">
        <v>81</v>
      </c>
      <c r="O23" s="160" t="s">
        <v>83</v>
      </c>
      <c r="P23" s="156"/>
      <c r="Q23" s="25"/>
      <c r="R23" s="28"/>
      <c r="S23" s="18">
        <f>COUNTIF('Status data'!$A18:$H18,"1")</f>
        <v>0</v>
      </c>
      <c r="T23" s="18">
        <f>COUNTIF('Status data'!$A18:$H18,"2")</f>
        <v>0</v>
      </c>
      <c r="U23" s="18">
        <f>COUNTIF('Status data'!$A18:$H18,"3")</f>
        <v>0</v>
      </c>
      <c r="V23" s="28"/>
      <c r="W23" s="28"/>
      <c r="X23" s="29"/>
      <c r="Y23" s="29"/>
      <c r="Z23" s="29"/>
      <c r="AA23" s="29"/>
      <c r="AB23" s="31" t="str">
        <f t="shared" si="1"/>
        <v>22August-89ers-v-Oaks</v>
      </c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</row>
    <row r="24">
      <c r="A24" s="16" t="s">
        <v>67</v>
      </c>
      <c r="B24" s="61">
        <v>17.0</v>
      </c>
      <c r="C24" s="18" t="s">
        <v>57</v>
      </c>
      <c r="D24" s="72">
        <v>23.0</v>
      </c>
      <c r="E24" s="18" t="s">
        <v>187</v>
      </c>
      <c r="F24" s="20">
        <v>0.5833333333333334</v>
      </c>
      <c r="G24" s="22" t="s">
        <v>80</v>
      </c>
      <c r="H24" s="22" t="s">
        <v>79</v>
      </c>
      <c r="I24" s="161" t="s">
        <v>95</v>
      </c>
      <c r="J24" s="162" t="s">
        <v>108</v>
      </c>
      <c r="K24" s="162" t="s">
        <v>83</v>
      </c>
      <c r="L24" s="162" t="s">
        <v>82</v>
      </c>
      <c r="M24" s="163" t="s">
        <v>148</v>
      </c>
      <c r="N24" s="162" t="s">
        <v>81</v>
      </c>
      <c r="O24" s="163" t="s">
        <v>196</v>
      </c>
      <c r="P24" s="164"/>
      <c r="Q24" s="65"/>
      <c r="R24" s="165"/>
      <c r="S24" s="18"/>
      <c r="T24" s="18"/>
      <c r="U24" s="18"/>
      <c r="V24" s="165"/>
      <c r="W24" s="165"/>
      <c r="X24" s="165"/>
      <c r="Y24" s="165"/>
      <c r="Z24" s="22"/>
      <c r="AA24" s="166"/>
      <c r="AB24" s="31" t="str">
        <f t="shared" si="1"/>
        <v>23August-Razorbacks-v-Tigers</v>
      </c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</row>
    <row r="25">
      <c r="A25" s="16" t="s">
        <v>67</v>
      </c>
      <c r="B25" s="61">
        <v>19.0</v>
      </c>
      <c r="C25" s="18" t="s">
        <v>91</v>
      </c>
      <c r="D25" s="72">
        <v>5.0</v>
      </c>
      <c r="E25" s="18" t="s">
        <v>213</v>
      </c>
      <c r="F25" s="20">
        <v>0.5833333333333334</v>
      </c>
      <c r="G25" s="22" t="s">
        <v>107</v>
      </c>
      <c r="H25" s="22" t="s">
        <v>100</v>
      </c>
      <c r="I25" s="161" t="s">
        <v>95</v>
      </c>
      <c r="J25" s="162" t="s">
        <v>70</v>
      </c>
      <c r="K25" s="167" t="s">
        <v>96</v>
      </c>
      <c r="L25" s="162" t="s">
        <v>149</v>
      </c>
      <c r="M25" s="162" t="s">
        <v>85</v>
      </c>
      <c r="N25" s="162" t="s">
        <v>98</v>
      </c>
      <c r="O25" s="162" t="s">
        <v>110</v>
      </c>
      <c r="P25" s="164"/>
      <c r="Q25" s="25"/>
      <c r="R25" s="165"/>
      <c r="S25" s="18">
        <f>COUNTIF('Status data'!$A20:$H20,"1")</f>
        <v>0</v>
      </c>
      <c r="T25" s="18">
        <f>COUNTIF('Status data'!$A20:$H20,"2")</f>
        <v>0</v>
      </c>
      <c r="U25" s="18">
        <f>COUNTIF('Status data'!$A20:$H20,"3")</f>
        <v>0</v>
      </c>
      <c r="V25" s="165"/>
      <c r="W25" s="165"/>
      <c r="X25" s="165"/>
      <c r="Y25" s="165"/>
      <c r="Z25" s="22"/>
      <c r="AA25" s="166"/>
      <c r="AB25" s="31" t="str">
        <f t="shared" si="1"/>
        <v>5September-Gold Diggers-v-89ers</v>
      </c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</row>
    <row r="26">
      <c r="A26" s="16" t="s">
        <v>67</v>
      </c>
      <c r="B26" s="61">
        <v>19.0</v>
      </c>
      <c r="C26" s="18" t="s">
        <v>91</v>
      </c>
      <c r="D26" s="72">
        <v>5.0</v>
      </c>
      <c r="E26" s="18" t="s">
        <v>213</v>
      </c>
      <c r="F26" s="20">
        <v>0.5833333333333334</v>
      </c>
      <c r="G26" s="22" t="s">
        <v>79</v>
      </c>
      <c r="H26" s="22" t="s">
        <v>65</v>
      </c>
      <c r="I26" s="168" t="s">
        <v>101</v>
      </c>
      <c r="J26" s="169" t="s">
        <v>102</v>
      </c>
      <c r="K26" s="170" t="s">
        <v>148</v>
      </c>
      <c r="L26" s="169" t="s">
        <v>82</v>
      </c>
      <c r="M26" s="169" t="s">
        <v>104</v>
      </c>
      <c r="N26" s="171" t="s">
        <v>81</v>
      </c>
      <c r="O26" s="167" t="s">
        <v>105</v>
      </c>
      <c r="P26" s="73"/>
      <c r="Q26" s="25"/>
      <c r="R26" s="28"/>
      <c r="S26" s="18">
        <f>COUNTIF('Status data'!$A23:$H23,"1")</f>
        <v>0</v>
      </c>
      <c r="T26" s="18">
        <f>COUNTIF('Status data'!$A23:$H23,"2")</f>
        <v>0</v>
      </c>
      <c r="U26" s="18">
        <f>COUNTIF('Status data'!$A23:$H23,"3")</f>
        <v>0</v>
      </c>
      <c r="V26" s="28"/>
      <c r="W26" s="28"/>
      <c r="X26" s="29"/>
      <c r="Y26" s="29"/>
      <c r="Z26" s="29"/>
      <c r="AA26" s="29"/>
      <c r="AB26" s="31" t="str">
        <f t="shared" si="1"/>
        <v>5September-Tigers-v-Towers</v>
      </c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</row>
    <row r="27">
      <c r="A27" s="172" t="s">
        <v>67</v>
      </c>
      <c r="B27" s="173">
        <v>19.0</v>
      </c>
      <c r="C27" s="174" t="s">
        <v>57</v>
      </c>
      <c r="D27" s="175">
        <v>6.0</v>
      </c>
      <c r="E27" s="174" t="s">
        <v>213</v>
      </c>
      <c r="F27" s="176">
        <v>0.5833333333333334</v>
      </c>
      <c r="G27" s="177" t="s">
        <v>106</v>
      </c>
      <c r="H27" s="177" t="s">
        <v>80</v>
      </c>
      <c r="I27" s="178" t="s">
        <v>95</v>
      </c>
      <c r="J27" s="179" t="s">
        <v>108</v>
      </c>
      <c r="K27" s="179" t="s">
        <v>72</v>
      </c>
      <c r="L27" s="179" t="s">
        <v>97</v>
      </c>
      <c r="M27" s="179" t="s">
        <v>64</v>
      </c>
      <c r="N27" s="179" t="s">
        <v>110</v>
      </c>
      <c r="O27" s="179" t="s">
        <v>99</v>
      </c>
      <c r="P27" s="181"/>
      <c r="Q27" s="183"/>
      <c r="R27" s="184"/>
      <c r="S27" s="41"/>
      <c r="T27" s="41"/>
      <c r="U27" s="41"/>
      <c r="V27" s="184"/>
      <c r="W27" s="184"/>
      <c r="X27" s="184"/>
      <c r="Y27" s="184"/>
      <c r="Z27" s="43"/>
      <c r="AA27" s="185"/>
      <c r="AB27" s="31" t="str">
        <f t="shared" si="1"/>
        <v>6September-Oaks-v-Razorbacks</v>
      </c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</row>
    <row r="28" ht="17.25" customHeight="1">
      <c r="A28" s="50" t="s">
        <v>67</v>
      </c>
      <c r="B28" s="147">
        <v>22.0</v>
      </c>
      <c r="C28" s="147" t="s">
        <v>91</v>
      </c>
      <c r="D28" s="186">
        <v>19.0</v>
      </c>
      <c r="E28" s="147" t="s">
        <v>213</v>
      </c>
      <c r="F28" s="187">
        <v>0.5833333333333334</v>
      </c>
      <c r="G28" s="188" t="s">
        <v>80</v>
      </c>
      <c r="H28" s="55" t="s">
        <v>107</v>
      </c>
      <c r="I28" s="189"/>
      <c r="J28" s="189"/>
      <c r="K28" s="189"/>
      <c r="L28" s="189"/>
      <c r="M28" s="189"/>
      <c r="N28" s="189"/>
      <c r="O28" s="189"/>
      <c r="P28" s="189"/>
      <c r="Q28" s="190"/>
      <c r="R28" s="190"/>
      <c r="S28" s="190"/>
      <c r="T28" s="190"/>
      <c r="U28" s="190"/>
      <c r="V28" s="190"/>
      <c r="W28" s="190"/>
      <c r="X28" s="191"/>
      <c r="Y28" s="190"/>
      <c r="Z28" s="190"/>
      <c r="AA28" s="190"/>
      <c r="AB28" s="31" t="str">
        <f t="shared" si="1"/>
        <v>19September-Razorbacks-v-Gold Diggers</v>
      </c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</row>
    <row r="29">
      <c r="A29" s="16" t="s">
        <v>67</v>
      </c>
      <c r="B29" s="18">
        <v>22.0</v>
      </c>
      <c r="C29" s="18" t="s">
        <v>91</v>
      </c>
      <c r="D29" s="72">
        <v>19.0</v>
      </c>
      <c r="E29" s="18" t="s">
        <v>213</v>
      </c>
      <c r="F29" s="192">
        <v>0.5833333333333334</v>
      </c>
      <c r="G29" s="193" t="s">
        <v>100</v>
      </c>
      <c r="H29" s="22" t="s">
        <v>65</v>
      </c>
      <c r="I29" s="194"/>
      <c r="J29" s="194"/>
      <c r="K29" s="194"/>
      <c r="L29" s="194"/>
      <c r="M29" s="194"/>
      <c r="N29" s="194"/>
      <c r="O29" s="194"/>
      <c r="P29" s="195"/>
      <c r="Q29" s="196"/>
      <c r="R29" s="196"/>
      <c r="S29" s="196"/>
      <c r="T29" s="196"/>
      <c r="U29" s="196"/>
      <c r="V29" s="196"/>
      <c r="W29" s="196"/>
      <c r="X29" s="197"/>
      <c r="Y29" s="196"/>
      <c r="Z29" s="196"/>
      <c r="AA29" s="196"/>
      <c r="AB29" s="31" t="str">
        <f t="shared" si="1"/>
        <v>19September-89ers-v-Towers</v>
      </c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</row>
    <row r="30">
      <c r="A30" s="16" t="s">
        <v>240</v>
      </c>
      <c r="B30" s="18">
        <v>23.0</v>
      </c>
      <c r="C30" s="18" t="s">
        <v>91</v>
      </c>
      <c r="D30" s="72">
        <v>3.0</v>
      </c>
      <c r="E30" s="18" t="s">
        <v>242</v>
      </c>
      <c r="F30" s="192">
        <v>0.5416666666666666</v>
      </c>
      <c r="G30" s="22" t="s">
        <v>243</v>
      </c>
      <c r="H30" s="22"/>
      <c r="I30" s="194"/>
      <c r="J30" s="194"/>
      <c r="K30" s="194"/>
      <c r="L30" s="194"/>
      <c r="M30" s="194"/>
      <c r="N30" s="194"/>
      <c r="O30" s="194"/>
      <c r="P30" s="194"/>
      <c r="Q30" s="196"/>
      <c r="R30" s="196"/>
      <c r="S30" s="196"/>
      <c r="T30" s="196"/>
      <c r="U30" s="196"/>
      <c r="V30" s="196"/>
      <c r="W30" s="196"/>
      <c r="X30" s="197"/>
      <c r="Y30" s="196"/>
      <c r="Z30" s="196"/>
      <c r="AA30" s="196"/>
      <c r="AB30" s="31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</row>
    <row r="31">
      <c r="A31" s="16" t="s">
        <v>67</v>
      </c>
      <c r="B31" s="18">
        <v>23.0</v>
      </c>
      <c r="C31" s="18" t="s">
        <v>91</v>
      </c>
      <c r="D31" s="72">
        <v>3.0</v>
      </c>
      <c r="E31" s="18" t="s">
        <v>242</v>
      </c>
      <c r="F31" s="192">
        <v>0.7083333333333334</v>
      </c>
      <c r="G31" s="22" t="s">
        <v>245</v>
      </c>
      <c r="H31" s="22"/>
      <c r="I31" s="194"/>
      <c r="J31" s="194"/>
      <c r="K31" s="194"/>
      <c r="L31" s="194"/>
      <c r="M31" s="194"/>
      <c r="N31" s="194"/>
      <c r="O31" s="194"/>
      <c r="P31" s="194"/>
      <c r="Q31" s="196"/>
      <c r="R31" s="196"/>
      <c r="S31" s="196"/>
      <c r="T31" s="196"/>
      <c r="U31" s="196"/>
      <c r="V31" s="196"/>
      <c r="W31" s="196"/>
      <c r="X31" s="197"/>
      <c r="Y31" s="196"/>
      <c r="Z31" s="196"/>
      <c r="AA31" s="196"/>
      <c r="AB31" s="31" t="str">
        <f>D31&amp;E31&amp;"-"&amp;G31&amp;"-v-"&amp;H31</f>
        <v>3Oktober-Mermaid Bowl-v-</v>
      </c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</row>
    <row r="32">
      <c r="A32" s="201"/>
      <c r="B32" s="201"/>
      <c r="C32" s="202"/>
      <c r="D32" s="203"/>
      <c r="E32" s="203"/>
      <c r="F32" s="202"/>
      <c r="G32" s="203"/>
      <c r="H32" s="203"/>
      <c r="I32" s="203"/>
      <c r="J32" s="203"/>
      <c r="K32" s="204"/>
      <c r="L32" s="122"/>
      <c r="M32" s="122"/>
      <c r="N32" s="122"/>
      <c r="O32" s="122"/>
      <c r="P32" s="122"/>
      <c r="Q32" s="12"/>
      <c r="R32" s="122"/>
      <c r="S32" s="122"/>
      <c r="T32" s="122"/>
      <c r="U32" s="122"/>
      <c r="V32" s="205"/>
      <c r="W32" s="206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</row>
    <row r="33">
      <c r="A33" s="201"/>
      <c r="B33" s="201"/>
      <c r="C33" s="202"/>
      <c r="D33" s="203"/>
      <c r="E33" s="203"/>
      <c r="F33" s="202"/>
      <c r="G33" s="203"/>
      <c r="H33" s="203"/>
      <c r="I33" s="203"/>
      <c r="J33" s="203"/>
      <c r="K33" s="204"/>
      <c r="L33" s="122"/>
      <c r="M33" s="122"/>
      <c r="N33" s="122"/>
      <c r="O33" s="122"/>
      <c r="P33" s="122"/>
      <c r="Q33" s="12"/>
      <c r="R33" s="122"/>
      <c r="S33" s="122"/>
      <c r="T33" s="122"/>
      <c r="U33" s="122"/>
      <c r="V33" s="205"/>
      <c r="W33" s="206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</row>
    <row r="34">
      <c r="A34" s="201"/>
      <c r="B34" s="201"/>
      <c r="C34" s="202"/>
      <c r="D34" s="203"/>
      <c r="E34" s="203"/>
      <c r="F34" s="202"/>
      <c r="G34" s="203"/>
      <c r="H34" s="203"/>
      <c r="I34" s="203"/>
      <c r="J34" s="203"/>
      <c r="K34" s="204"/>
      <c r="L34" s="122"/>
      <c r="M34" s="122"/>
      <c r="N34" s="122"/>
      <c r="O34" s="122"/>
      <c r="P34" s="122"/>
      <c r="Q34" s="207"/>
      <c r="R34" s="122"/>
      <c r="S34" s="122"/>
      <c r="T34" s="122"/>
      <c r="U34" s="122"/>
      <c r="V34" s="205"/>
      <c r="W34" s="206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</row>
    <row r="35">
      <c r="A35" s="201" t="s">
        <v>30</v>
      </c>
      <c r="B35" s="201" t="s">
        <v>29</v>
      </c>
      <c r="C35" s="202" t="s">
        <v>251</v>
      </c>
      <c r="D35" s="203" t="s">
        <v>252</v>
      </c>
      <c r="E35" s="203" t="s">
        <v>253</v>
      </c>
      <c r="F35" s="203" t="s">
        <v>254</v>
      </c>
      <c r="G35" s="202" t="s">
        <v>255</v>
      </c>
      <c r="H35" s="203" t="s">
        <v>256</v>
      </c>
      <c r="I35" s="203" t="s">
        <v>257</v>
      </c>
      <c r="J35" s="203" t="s">
        <v>258</v>
      </c>
      <c r="K35" s="204"/>
      <c r="L35" s="122"/>
      <c r="M35" s="122"/>
      <c r="N35" s="122"/>
      <c r="O35" s="122"/>
      <c r="P35" s="122"/>
      <c r="Q35" s="12"/>
      <c r="R35" s="122"/>
      <c r="S35" s="122"/>
      <c r="T35" s="122"/>
      <c r="U35" s="122"/>
      <c r="V35" s="205"/>
      <c r="W35" s="206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</row>
    <row r="36">
      <c r="A36" s="204" t="s">
        <v>220</v>
      </c>
      <c r="B36" s="208" t="s">
        <v>101</v>
      </c>
      <c r="C36" s="209">
        <f t="array" ref="C36">IF($A36="","",SUM(($A$2:$A$31="Vedligeholdende")*($I$2:$P$31=$B36)))</f>
        <v>0</v>
      </c>
      <c r="D36" s="209">
        <f t="array" ref="D36">IF($A36="","",SUM(($A$2:$A$20="NL")*($I$2:$P$20=$B36)))</f>
        <v>7</v>
      </c>
      <c r="E36" s="210">
        <f t="array" ref="E36">IF($A36="","",SUM(($G$4:$G$20="Razorbacks")*($I$4:$P$20=$B36))+SUM(($G$4:$G$20="Tigers")*($I$4:$P$20=$B36))+SUM(($G$4:$G$20="89ers")*($I$4:$P$20=$B36)))</f>
        <v>7</v>
      </c>
      <c r="F36" s="210">
        <f t="array" ref="F36">IF($A36="","",SUM(($G$4:$G$20="Oaks")*($I$4:$P$20=$B36))+SUM(($G$4:$G$20="Gold Diggers")*($I$4:$P$20=$B36))+SUM(($G$4:$G$20="Towers")*($I$4:$P$20=$B36)))</f>
        <v>0</v>
      </c>
      <c r="G36" s="230">
        <f t="shared" ref="G36:G63" si="2">IF($A36="","",C36+D36)</f>
        <v>7</v>
      </c>
      <c r="H36" s="209">
        <f t="array" ref="H36">IF($A36="","",SUM(($A$21:$A$27="NL")*($I$21:$P$27=$B36)))</f>
        <v>2</v>
      </c>
      <c r="I36" s="232">
        <f t="array" ref="I36">IF($A36="","",SUM(($A$2:$A$27="NL")*($I$2:$P$27=$B36)))</f>
        <v>9</v>
      </c>
      <c r="J36" s="232">
        <f t="shared" ref="J36:J38" si="3">IF($A36="","",COUNTIF($I$2:$P$27,$B36)-C36)</f>
        <v>9</v>
      </c>
      <c r="K36" s="204"/>
      <c r="L36" s="122"/>
      <c r="M36" s="122"/>
      <c r="N36" s="122"/>
      <c r="O36" s="122"/>
      <c r="P36" s="122"/>
      <c r="Q36" s="122"/>
      <c r="R36" s="233"/>
      <c r="S36" s="233"/>
      <c r="T36" s="233"/>
      <c r="U36" s="233"/>
      <c r="V36" s="234"/>
      <c r="W36" s="235"/>
      <c r="X36" s="1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</row>
    <row r="37">
      <c r="A37" s="208" t="s">
        <v>207</v>
      </c>
      <c r="B37" s="208" t="s">
        <v>95</v>
      </c>
      <c r="C37" s="209">
        <f t="array" ref="C37">IF($A37="","",SUM(($A$2:$A$31="Vedligeholdende")*($I$2:$P$31=$B37)))</f>
        <v>0</v>
      </c>
      <c r="D37" s="209">
        <f t="array" ref="D37">IF($A37="","",SUM(($A$2:$A$20="NL")*($I$2:$P$20=$B37)))</f>
        <v>6</v>
      </c>
      <c r="E37" s="210">
        <f t="array" ref="E37">IF($A37="","",SUM(($G$4:$G$20="Razorbacks")*($I$4:$P$20=$B37))+SUM(($G$4:$G$20="Tigers")*($I$4:$P$20=$B37))+SUM(($G$4:$G$20="89ers")*($I$4:$P$20=$B37)))</f>
        <v>2</v>
      </c>
      <c r="F37" s="210">
        <f t="array" ref="F37">IF($A37="","",SUM(($G$4:$G$20="Oaks")*($I$4:$P$20=$B37))+SUM(($G$4:$G$20="Gold Diggers")*($I$4:$P$20=$B37))+SUM(($G$4:$G$20="Towers")*($I$4:$P$20=$B37)))</f>
        <v>4</v>
      </c>
      <c r="G37" s="230">
        <f t="shared" si="2"/>
        <v>6</v>
      </c>
      <c r="H37" s="209">
        <f t="array" ref="H37">IF($A37="","",SUM(($A$21:$A$27="NL")*($I$21:$P$27=$B37)))</f>
        <v>4</v>
      </c>
      <c r="I37" s="232">
        <f t="array" ref="I37">IF($A37="","",SUM(($A$2:$A$27="NL")*($I$2:$P$27=$B37)))</f>
        <v>10</v>
      </c>
      <c r="J37" s="232">
        <f t="shared" si="3"/>
        <v>10</v>
      </c>
      <c r="K37" s="204"/>
      <c r="L37" s="122"/>
      <c r="M37" s="122"/>
      <c r="N37" s="122"/>
      <c r="O37" s="122"/>
      <c r="P37" s="122"/>
      <c r="Q37" s="122" t="str">
        <f>DATA!I65</f>
        <v/>
      </c>
      <c r="R37" s="233"/>
      <c r="S37" s="233"/>
      <c r="T37" s="233"/>
      <c r="U37" s="256"/>
      <c r="V37" s="257">
        <f>SUM(Y1:Y25)</f>
        <v>0</v>
      </c>
      <c r="W37" s="258">
        <v>2.0</v>
      </c>
      <c r="X37" s="12" t="s">
        <v>306</v>
      </c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</row>
    <row r="38">
      <c r="A38" s="259" t="s">
        <v>151</v>
      </c>
      <c r="B38" s="259" t="s">
        <v>69</v>
      </c>
      <c r="C38" s="209">
        <f t="array" ref="C38">IF($A38="","",SUM(($A$2:$A$31="Vedligeholdende")*($I$2:$P$31=$B38)))</f>
        <v>1</v>
      </c>
      <c r="D38" s="209">
        <f t="array" ref="D38">IF($A38="","",SUM(($A$2:$A$20="NL")*($I$2:$P$20=$B38)))</f>
        <v>1</v>
      </c>
      <c r="E38" s="210">
        <f t="array" ref="E38">IF($A38="","",SUM(($G$4:$G$20="Razorbacks")*($I$4:$P$20=$B38))+SUM(($G$4:$G$20="Tigers")*($I$4:$P$20=$B38))+SUM(($G$4:$G$20="89ers")*($I$4:$P$20=$B38)))</f>
        <v>0</v>
      </c>
      <c r="F38" s="210">
        <f t="array" ref="F38">IF($A38="","",SUM(($G$4:$G$20="Oaks")*($I$4:$P$20=$B38))+SUM(($G$4:$G$20="Gold Diggers")*($I$4:$P$20=$B38))+SUM(($G$4:$G$20="Towers")*($I$4:$P$20=$B38)))</f>
        <v>1</v>
      </c>
      <c r="G38" s="230">
        <f t="shared" si="2"/>
        <v>2</v>
      </c>
      <c r="H38" s="209">
        <f t="array" ref="H38">IF($A38="","",SUM(($A$21:$A$27="NL")*($I$21:$P$27=$B38)))</f>
        <v>0</v>
      </c>
      <c r="I38" s="232">
        <f t="array" ref="I38">IF($A38="","",SUM(($A$2:$A$27="NL")*($I$2:$P$27=$B38)))</f>
        <v>1</v>
      </c>
      <c r="J38" s="232">
        <f t="shared" si="3"/>
        <v>1</v>
      </c>
      <c r="K38" s="204"/>
      <c r="L38" s="204"/>
      <c r="M38" s="204"/>
      <c r="N38" s="204"/>
      <c r="O38" s="204"/>
      <c r="P38" s="204"/>
      <c r="Q38" s="204"/>
      <c r="R38" s="122"/>
      <c r="S38" s="122"/>
      <c r="T38" s="122"/>
      <c r="U38" s="12"/>
      <c r="V38" s="122"/>
      <c r="W38" s="235"/>
      <c r="X38" s="1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</row>
    <row r="39">
      <c r="A39" s="270"/>
      <c r="B39" s="270"/>
      <c r="C39" s="209" t="str">
        <f t="array" ref="C39">IF($A39="","",SUM(($A$2:$A$31="Vedligeholdende")*($I$2:$P$31=$B39)))</f>
        <v/>
      </c>
      <c r="D39" s="209" t="str">
        <f t="array" ref="D39">IF($A39="","",SUM(($A$2:$A$17="NL")*($I$2:$P$17=$B39)))</f>
        <v/>
      </c>
      <c r="E39" s="210" t="str">
        <f t="array" ref="E39">IF($A39="","",SUM(($G$4:$G$17="Razorbacks")*($I$4:$P$17=$B39))+SUM(($G$4:$G$17="Tigers")*($I$4:$P$17=$B39))+SUM(($G$4:$G$17="89ers")*($I$4:$P$17=$B39)))</f>
        <v/>
      </c>
      <c r="F39" s="210" t="str">
        <f t="array" ref="F39">IF($A39="","",SUM(($G$4:$G$17="Oaks")*($I$4:$P$17=$B39))+SUM(($G$4:$G$17="Gold Diggers")*($I$4:$P$17=$B39))+SUM(($G$4:$G$17="Towers")*($I$4:$P$17=$B39)))</f>
        <v/>
      </c>
      <c r="G39" s="230" t="str">
        <f t="shared" si="2"/>
        <v/>
      </c>
      <c r="H39" s="209" t="str">
        <f t="array" ref="H39">IF($A39="","",SUM(($A$18:$A$26="NL")*($I$18:$P$26=$B39)))</f>
        <v/>
      </c>
      <c r="I39" s="232" t="str">
        <f t="array" ref="I39">IF($A39="","",SUM(($A$2:$A$26="NL")*($I$2:$P$26=$B39)))</f>
        <v/>
      </c>
      <c r="J39" s="232" t="str">
        <f>IF($A39="","",COUNTIF($I$2:$P$26,$B39)-C39)</f>
        <v/>
      </c>
      <c r="K39" s="204"/>
      <c r="L39" s="204"/>
      <c r="M39" s="204"/>
      <c r="N39" s="204"/>
      <c r="O39" s="204"/>
      <c r="P39" s="204"/>
      <c r="Q39" s="204"/>
      <c r="R39" s="122"/>
      <c r="S39" s="122"/>
      <c r="T39" s="122"/>
      <c r="U39" s="12"/>
      <c r="V39" s="122"/>
      <c r="W39" s="235"/>
      <c r="X39" s="1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</row>
    <row r="40">
      <c r="A40" s="208" t="s">
        <v>195</v>
      </c>
      <c r="B40" s="208" t="s">
        <v>102</v>
      </c>
      <c r="C40" s="209">
        <f t="array" ref="C40">IF($A40="","",SUM(($A$2:$A$31="Vedligeholdende")*($I$2:$P$31=$B40)))</f>
        <v>0</v>
      </c>
      <c r="D40" s="209">
        <f t="array" ref="D40">IF($A40="","",SUM(($A$2:$A$20="NL")*($I$2:$P$20=$B40)))</f>
        <v>6</v>
      </c>
      <c r="E40" s="210">
        <f t="array" ref="E40">IF($A40="","",SUM(($G$4:$G$20="Razorbacks")*($I$4:$P$20=$B40))+SUM(($G$4:$G$20="Tigers")*($I$4:$P$20=$B40))+SUM(($G$4:$G$20="89ers")*($I$4:$P$20=$B40)))</f>
        <v>6</v>
      </c>
      <c r="F40" s="210">
        <f t="array" ref="F40">IF($A40="","",SUM(($G$4:$G$20="Oaks")*($I$4:$P$20=$B40))+SUM(($G$4:$G$20="Gold Diggers")*($I$4:$P$20=$B40))+SUM(($G$4:$G$20="Towers")*($I$4:$P$20=$B40)))</f>
        <v>0</v>
      </c>
      <c r="G40" s="230">
        <f t="shared" si="2"/>
        <v>6</v>
      </c>
      <c r="H40" s="209">
        <f t="array" ref="H40">IF($A40="","",SUM(($A$21:$A$27="NL")*($I$21:$P$27=$B40)))</f>
        <v>2</v>
      </c>
      <c r="I40" s="232">
        <f t="array" ref="I40">IF($A40="","",SUM(($A$2:$A$27="NL")*($I$2:$P$27=$B40)))</f>
        <v>8</v>
      </c>
      <c r="J40" s="232">
        <f t="shared" ref="J40:J43" si="4">IF($A40="","",COUNTIF($I$2:$P$27,$B40)-C40)</f>
        <v>8</v>
      </c>
      <c r="K40" s="204"/>
      <c r="L40" s="12"/>
      <c r="M40" s="122"/>
      <c r="N40" s="122"/>
      <c r="O40" s="122"/>
      <c r="P40" s="122"/>
      <c r="Q40" s="122"/>
      <c r="R40" s="122"/>
      <c r="S40" s="122"/>
      <c r="T40" s="122"/>
      <c r="U40" s="12" t="s">
        <v>310</v>
      </c>
      <c r="V40" s="122" t="str">
        <f>MEDIAN(Y9:Y26)</f>
        <v>#NUM!</v>
      </c>
      <c r="W40" s="235" t="s">
        <v>311</v>
      </c>
      <c r="X40" s="12" t="s">
        <v>312</v>
      </c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</row>
    <row r="41">
      <c r="A41" s="208" t="s">
        <v>232</v>
      </c>
      <c r="B41" s="208" t="s">
        <v>71</v>
      </c>
      <c r="C41" s="209">
        <f t="array" ref="C41">IF($A41="","",SUM(($A$2:$A$31="Vedligeholdende")*($I$2:$P$31=$B41)))</f>
        <v>1</v>
      </c>
      <c r="D41" s="209">
        <f t="array" ref="D41">IF($A41="","",SUM(($A$2:$A$20="NL")*($I$2:$P$20=$B41)))</f>
        <v>2</v>
      </c>
      <c r="E41" s="210">
        <f t="array" ref="E41">IF($A41="","",SUM(($G$4:$G$20="Razorbacks")*($I$4:$P$20=$B41))+SUM(($G$4:$G$20="Tigers")*($I$4:$P$20=$B41))+SUM(($G$4:$G$20="89ers")*($I$4:$P$20=$B41)))</f>
        <v>0</v>
      </c>
      <c r="F41" s="210">
        <f t="array" ref="F41">IF($A41="","",SUM(($G$4:$G$20="Oaks")*($I$4:$P$20=$B41))+SUM(($G$4:$G$20="Gold Diggers")*($I$4:$P$20=$B41))+SUM(($G$4:$G$20="Towers")*($I$4:$P$20=$B41)))</f>
        <v>2</v>
      </c>
      <c r="G41" s="230">
        <f t="shared" si="2"/>
        <v>3</v>
      </c>
      <c r="H41" s="209">
        <f t="array" ref="H41">IF($A41="","",SUM(($A$21:$A$27="NL")*($I$21:$P$27=$B41)))</f>
        <v>0</v>
      </c>
      <c r="I41" s="232">
        <f t="array" ref="I41">IF($A41="","",SUM(($A$2:$A$27="NL")*($I$2:$P$27=$B41)))</f>
        <v>2</v>
      </c>
      <c r="J41" s="232">
        <f t="shared" si="4"/>
        <v>2</v>
      </c>
      <c r="K41" s="204"/>
      <c r="L41" s="122"/>
      <c r="M41" s="282"/>
      <c r="N41" s="122"/>
      <c r="O41" s="122"/>
      <c r="P41" s="122"/>
      <c r="Q41" s="122"/>
      <c r="R41" s="122"/>
      <c r="S41" s="122"/>
      <c r="T41" s="122"/>
      <c r="U41" s="12"/>
      <c r="V41" s="122"/>
      <c r="W41" s="235"/>
      <c r="X41" s="1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</row>
    <row r="42">
      <c r="A42" s="204" t="s">
        <v>286</v>
      </c>
      <c r="B42" s="204" t="s">
        <v>70</v>
      </c>
      <c r="C42" s="209">
        <f t="array" ref="C42">IF($A42="","",SUM(($A$2:$A$31="Vedligeholdende")*($I$2:$P$31=$B42)))</f>
        <v>1</v>
      </c>
      <c r="D42" s="209">
        <f t="array" ref="D42">IF($A42="","",SUM(($A$2:$A$20="NL")*($I$2:$P$20=$B42)))</f>
        <v>10</v>
      </c>
      <c r="E42" s="210">
        <f t="array" ref="E42">IF($A42="","",SUM(($G$4:$G$20="Razorbacks")*($I$4:$P$20=$B42))+SUM(($G$4:$G$20="Tigers")*($I$4:$P$20=$B42))+SUM(($G$4:$G$20="89ers")*($I$4:$P$20=$B42)))</f>
        <v>3</v>
      </c>
      <c r="F42" s="210">
        <f t="array" ref="F42">IF($A42="","",SUM(($G$4:$G$20="Oaks")*($I$4:$P$20=$B42))+SUM(($G$4:$G$20="Gold Diggers")*($I$4:$P$20=$B42))+SUM(($G$4:$G$20="Towers")*($I$4:$P$20=$B42)))</f>
        <v>7</v>
      </c>
      <c r="G42" s="230">
        <f t="shared" si="2"/>
        <v>11</v>
      </c>
      <c r="H42" s="209">
        <f t="array" ref="H42">IF($A42="","",SUM(($A$21:$A$27="NL")*($I$21:$P$27=$B42)))</f>
        <v>3</v>
      </c>
      <c r="I42" s="232">
        <f t="array" ref="I42">IF($A42="","",SUM(($A$2:$A$27="NL")*($I$2:$P$27=$B42)))</f>
        <v>13</v>
      </c>
      <c r="J42" s="232">
        <f t="shared" si="4"/>
        <v>13</v>
      </c>
      <c r="K42" s="204"/>
      <c r="L42" s="122"/>
      <c r="M42" s="122"/>
      <c r="N42" s="122"/>
      <c r="O42" s="122"/>
      <c r="P42" s="12"/>
      <c r="Q42" s="122"/>
      <c r="R42" s="122"/>
      <c r="S42" s="122"/>
      <c r="T42" s="122"/>
      <c r="U42" s="12" t="s">
        <v>316</v>
      </c>
      <c r="V42" s="122">
        <f>SUM(Y9:Y26)/23*40</f>
        <v>0</v>
      </c>
      <c r="W42" s="235" t="s">
        <v>317</v>
      </c>
      <c r="X42" s="12" t="s">
        <v>318</v>
      </c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</row>
    <row r="43">
      <c r="A43" s="283" t="s">
        <v>370</v>
      </c>
      <c r="B43" s="283" t="s">
        <v>371</v>
      </c>
      <c r="C43" s="209">
        <f t="array" ref="C43">IF($A43="","",SUM(($A$2:$A$31="Vedligeholdende")*($I$2:$P$31=$B43)))</f>
        <v>0</v>
      </c>
      <c r="D43" s="209">
        <f t="array" ref="D43">IF($A43="","",SUM(($A$2:$A$20="NL")*($I$2:$P$20=$B43)))</f>
        <v>0</v>
      </c>
      <c r="E43" s="210">
        <f t="array" ref="E43">IF($A43="","",SUM(($G$4:$G$20="Razorbacks")*($I$4:$P$20=$B43))+SUM(($G$4:$G$20="Tigers")*($I$4:$P$20=$B43))+SUM(($G$4:$G$20="89ers")*($I$4:$P$20=$B43)))</f>
        <v>0</v>
      </c>
      <c r="F43" s="210">
        <f t="array" ref="F43">IF($A43="","",SUM(($G$4:$G$20="Oaks")*($I$4:$P$20=$B43))+SUM(($G$4:$G$20="Gold Diggers")*($I$4:$P$20=$B43))+SUM(($G$4:$G$20="Towers")*($I$4:$P$20=$B43)))</f>
        <v>0</v>
      </c>
      <c r="G43" s="230">
        <f t="shared" si="2"/>
        <v>0</v>
      </c>
      <c r="H43" s="209">
        <f t="array" ref="H43">IF($A43="","",SUM(($A$21:$A$27="NL")*($I$21:$P$27=$B43)))</f>
        <v>0</v>
      </c>
      <c r="I43" s="232">
        <f t="array" ref="I43">IF($A43="","",SUM(($A$2:$A$27="NL")*($I$2:$P$27=$B43)))</f>
        <v>0</v>
      </c>
      <c r="J43" s="232">
        <f t="shared" si="4"/>
        <v>0</v>
      </c>
      <c r="K43" s="204"/>
      <c r="L43" s="204"/>
      <c r="M43" s="204"/>
      <c r="N43" s="204"/>
      <c r="O43" s="204"/>
      <c r="P43" s="204"/>
      <c r="Q43" s="204"/>
      <c r="R43" s="122"/>
      <c r="S43" s="122"/>
      <c r="T43" s="122"/>
      <c r="U43" s="122"/>
      <c r="V43" s="122"/>
      <c r="W43" s="206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</row>
    <row r="44">
      <c r="A44" s="270"/>
      <c r="B44" s="270"/>
      <c r="C44" s="209" t="str">
        <f t="array" ref="C44">IF($A44="","",SUM(($A$2:$A$31="Vedligeholdende")*($I$2:$P$31=$B44)))</f>
        <v/>
      </c>
      <c r="D44" s="209" t="str">
        <f t="array" ref="D44">IF($A44="","",SUM(($A$2:$A$17="NL")*($I$2:$P$17=$B44)))</f>
        <v/>
      </c>
      <c r="E44" s="210" t="str">
        <f t="array" ref="E44">IF($A44="","",SUM(($G$4:$G$17="Razorbacks")*($I$4:$P$17=$B44))+SUM(($G$4:$G$17="Tigers")*($I$4:$P$17=$B44))+SUM(($G$4:$G$17="89ers")*($I$4:$P$17=$B44)))</f>
        <v/>
      </c>
      <c r="F44" s="210" t="str">
        <f t="array" ref="F44">IF($A44="","",SUM(($G$4:$G$17="Oaks")*($I$4:$P$17=$B44))+SUM(($G$4:$G$17="Gold Diggers")*($I$4:$P$17=$B44))+SUM(($G$4:$G$17="Towers")*($I$4:$P$17=$B44)))</f>
        <v/>
      </c>
      <c r="G44" s="230" t="str">
        <f t="shared" si="2"/>
        <v/>
      </c>
      <c r="H44" s="209" t="str">
        <f t="array" ref="H44">IF($A44="","",SUM(($A$18:$A$26="NL")*($I$18:$P$26=$B44)))</f>
        <v/>
      </c>
      <c r="I44" s="232" t="str">
        <f t="array" ref="I44">IF($A44="","",SUM(($A$2:$A$26="NL")*($I$2:$P$26=$B44)))</f>
        <v/>
      </c>
      <c r="J44" s="232" t="str">
        <f>IF($A44="","",COUNTIF($I$2:$P$26,$B44)-C44)</f>
        <v/>
      </c>
      <c r="K44" s="204"/>
      <c r="L44" s="204"/>
      <c r="M44" s="204"/>
      <c r="N44" s="204"/>
      <c r="O44" s="204"/>
      <c r="P44" s="204"/>
      <c r="Q44" s="204"/>
      <c r="R44" s="122"/>
      <c r="S44" s="122"/>
      <c r="T44" s="122"/>
      <c r="U44" s="122"/>
      <c r="V44" s="122"/>
      <c r="W44" s="206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</row>
    <row r="45">
      <c r="A45" s="204" t="s">
        <v>222</v>
      </c>
      <c r="B45" s="204" t="s">
        <v>103</v>
      </c>
      <c r="C45" s="209">
        <f t="array" ref="C45">IF($A45="","",SUM(($A$2:$A$31="Vedligeholdende")*($I$2:$P$31=$B45)))</f>
        <v>0</v>
      </c>
      <c r="D45" s="209">
        <f t="array" ref="D45">IF($A45="","",SUM(($A$2:$A$20="NL")*($I$2:$P$20=$B45)))</f>
        <v>5</v>
      </c>
      <c r="E45" s="210">
        <f t="array" ref="E45">IF($A45="","",SUM(($G$4:$G$20="Razorbacks")*($I$4:$P$20=$B45))+SUM(($G$4:$G$20="Tigers")*($I$4:$P$20=$B45))+SUM(($G$4:$G$20="89ers")*($I$4:$P$20=$B45)))</f>
        <v>5</v>
      </c>
      <c r="F45" s="210">
        <f t="array" ref="F45">IF($A45="","",SUM(($G$4:$G$20="Oaks")*($I$4:$P$20=$B45))+SUM(($G$4:$G$20="Gold Diggers")*($I$4:$P$20=$B45))+SUM(($G$4:$G$20="Towers")*($I$4:$P$20=$B45)))</f>
        <v>0</v>
      </c>
      <c r="G45" s="230">
        <f t="shared" si="2"/>
        <v>5</v>
      </c>
      <c r="H45" s="209">
        <f t="array" ref="H45">IF($A45="","",SUM(($A$21:$A$27="NL")*($I$21:$P$27=$B45)))</f>
        <v>1</v>
      </c>
      <c r="I45" s="232">
        <f t="array" ref="I45">IF($A45="","",SUM(($A$2:$A$27="NL")*($I$2:$P$27=$B45)))</f>
        <v>6</v>
      </c>
      <c r="J45" s="232">
        <f t="shared" ref="J45:J53" si="5">IF($A45="","",COUNTIF($I$2:$P$27,$B45)-C45)</f>
        <v>6</v>
      </c>
      <c r="K45" s="204"/>
      <c r="L45" s="122"/>
      <c r="M45" s="122"/>
      <c r="N45" s="122"/>
      <c r="O45" s="122"/>
      <c r="P45" s="12"/>
      <c r="Q45" s="122"/>
      <c r="R45" s="122"/>
      <c r="S45" s="122"/>
      <c r="T45" s="122"/>
      <c r="U45" s="122"/>
      <c r="V45" s="122"/>
      <c r="W45" s="206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</row>
    <row r="46">
      <c r="A46" s="204" t="s">
        <v>211</v>
      </c>
      <c r="B46" s="204" t="s">
        <v>82</v>
      </c>
      <c r="C46" s="209">
        <f t="array" ref="C46">IF($A46="","",SUM(($A$2:$A$31="Vedligeholdende")*($I$2:$P$31=$B46)))</f>
        <v>1</v>
      </c>
      <c r="D46" s="209">
        <f t="array" ref="D46">IF($A46="","",SUM(($A$2:$A$20="NL")*($I$2:$P$20=$B46)))</f>
        <v>6</v>
      </c>
      <c r="E46" s="210">
        <f t="array" ref="E46">IF($A46="","",SUM(($G$4:$G$20="Razorbacks")*($I$4:$P$20=$B46))+SUM(($G$4:$G$20="Tigers")*($I$4:$P$20=$B46))+SUM(($G$4:$G$20="89ers")*($I$4:$P$20=$B46)))</f>
        <v>6</v>
      </c>
      <c r="F46" s="210">
        <f t="array" ref="F46">IF($A46="","",SUM(($G$4:$G$20="Oaks")*($I$4:$P$20=$B46))+SUM(($G$4:$G$20="Gold Diggers")*($I$4:$P$20=$B46))+SUM(($G$4:$G$20="Towers")*($I$4:$P$20=$B46)))</f>
        <v>0</v>
      </c>
      <c r="G46" s="230">
        <f t="shared" si="2"/>
        <v>7</v>
      </c>
      <c r="H46" s="209">
        <f t="array" ref="H46">IF($A46="","",SUM(($A$21:$A$27="NL")*($I$21:$P$27=$B46)))</f>
        <v>2</v>
      </c>
      <c r="I46" s="232">
        <f t="array" ref="I46">IF($A46="","",SUM(($A$2:$A$27="NL")*($I$2:$P$27=$B46)))</f>
        <v>8</v>
      </c>
      <c r="J46" s="232">
        <f t="shared" si="5"/>
        <v>8</v>
      </c>
      <c r="K46" s="204"/>
      <c r="L46" s="12"/>
      <c r="M46" s="12"/>
      <c r="N46" s="122"/>
      <c r="O46" s="122"/>
      <c r="P46" s="122"/>
      <c r="Q46" s="122"/>
      <c r="R46" s="122"/>
      <c r="S46" s="122"/>
      <c r="T46" s="122"/>
      <c r="U46" s="122"/>
      <c r="V46" s="122"/>
      <c r="W46" s="206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</row>
    <row r="47">
      <c r="A47" s="204" t="s">
        <v>231</v>
      </c>
      <c r="B47" s="204" t="s">
        <v>148</v>
      </c>
      <c r="C47" s="209">
        <f t="array" ref="C47">IF($A47="","",SUM(($A$2:$A$31="Vedligeholdende")*($I$2:$P$31=$B47)))</f>
        <v>0</v>
      </c>
      <c r="D47" s="209">
        <f t="array" ref="D47">IF($A47="","",SUM(($A$2:$A$20="NL")*($I$2:$P$20=$B47)))</f>
        <v>3</v>
      </c>
      <c r="E47" s="210">
        <f t="array" ref="E47">IF($A47="","",SUM(($G$4:$G$20="Razorbacks")*($I$4:$P$20=$B47))+SUM(($G$4:$G$20="Tigers")*($I$4:$P$20=$B47))+SUM(($G$4:$G$20="89ers")*($I$4:$P$20=$B47)))</f>
        <v>3</v>
      </c>
      <c r="F47" s="210">
        <f t="array" ref="F47">IF($A47="","",SUM(($G$4:$G$20="Oaks")*($I$4:$P$20=$B47))+SUM(($G$4:$G$20="Gold Diggers")*($I$4:$P$20=$B47))+SUM(($G$4:$G$20="Towers")*($I$4:$P$20=$B47)))</f>
        <v>0</v>
      </c>
      <c r="G47" s="230">
        <f t="shared" si="2"/>
        <v>3</v>
      </c>
      <c r="H47" s="209">
        <f t="array" ref="H47">IF($A47="","",SUM(($A$21:$A$27="NL")*($I$21:$P$27=$B47)))</f>
        <v>2</v>
      </c>
      <c r="I47" s="232">
        <f t="array" ref="I47">IF($A47="","",SUM(($A$2:$A$27="NL")*($I$2:$P$27=$B47)))</f>
        <v>5</v>
      </c>
      <c r="J47" s="232">
        <f t="shared" si="5"/>
        <v>5</v>
      </c>
      <c r="K47" s="204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206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</row>
    <row r="48">
      <c r="A48" s="204" t="s">
        <v>218</v>
      </c>
      <c r="B48" s="204" t="s">
        <v>72</v>
      </c>
      <c r="C48" s="209">
        <f t="array" ref="C48">IF($A48="","",SUM(($A$2:$A$31="Vedligeholdende")*($I$2:$P$31=$B48)))</f>
        <v>1</v>
      </c>
      <c r="D48" s="209">
        <f t="array" ref="D48">IF($A48="","",SUM(($A$2:$A$20="NL")*($I$2:$P$20=$B48)))</f>
        <v>5</v>
      </c>
      <c r="E48" s="210">
        <f t="array" ref="E48">IF($A48="","",SUM(($G$4:$G$20="Razorbacks")*($I$4:$P$20=$B48))+SUM(($G$4:$G$20="Tigers")*($I$4:$P$20=$B48))+SUM(($G$4:$G$20="89ers")*($I$4:$P$20=$B48)))</f>
        <v>0</v>
      </c>
      <c r="F48" s="210">
        <f t="array" ref="F48">IF($A48="","",SUM(($G$4:$G$20="Oaks")*($I$4:$P$20=$B48))+SUM(($G$4:$G$20="Gold Diggers")*($I$4:$P$20=$B48))+SUM(($G$4:$G$20="Towers")*($I$4:$P$20=$B48)))</f>
        <v>5</v>
      </c>
      <c r="G48" s="230">
        <f t="shared" si="2"/>
        <v>6</v>
      </c>
      <c r="H48" s="209">
        <f t="array" ref="H48">IF($A48="","",SUM(($A$21:$A$27="NL")*($I$21:$P$27=$B48)))</f>
        <v>2</v>
      </c>
      <c r="I48" s="232">
        <f t="array" ref="I48">IF($A48="","",SUM(($A$2:$A$27="NL")*($I$2:$P$27=$B48)))</f>
        <v>7</v>
      </c>
      <c r="J48" s="232">
        <f t="shared" si="5"/>
        <v>7</v>
      </c>
      <c r="K48" s="204"/>
      <c r="L48" s="122"/>
      <c r="M48" s="122"/>
      <c r="N48" s="122"/>
      <c r="O48" s="122"/>
      <c r="P48" s="122"/>
      <c r="Q48" s="122" t="str">
        <f>DATA!I67</f>
        <v/>
      </c>
      <c r="R48" s="233"/>
      <c r="S48" s="122"/>
      <c r="T48" s="122"/>
      <c r="U48" s="122"/>
      <c r="V48" s="122"/>
      <c r="W48" s="122"/>
      <c r="X48" s="206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</row>
    <row r="49">
      <c r="A49" s="208" t="s">
        <v>260</v>
      </c>
      <c r="B49" s="208" t="s">
        <v>96</v>
      </c>
      <c r="C49" s="209">
        <f t="array" ref="C49">IF($A49="","",SUM(($A$2:$A$31="Vedligeholdende")*($I$2:$P$31=$B49)))</f>
        <v>0</v>
      </c>
      <c r="D49" s="209">
        <f t="array" ref="D49">IF($A49="","",SUM(($A$2:$A$20="NL")*($I$2:$P$20=$B49)))</f>
        <v>2</v>
      </c>
      <c r="E49" s="210">
        <f t="array" ref="E49">IF($A49="","",SUM(($G$4:$G$20="Razorbacks")*($I$4:$P$20=$B49))+SUM(($G$4:$G$20="Tigers")*($I$4:$P$20=$B49))+SUM(($G$4:$G$20="89ers")*($I$4:$P$20=$B49)))</f>
        <v>0</v>
      </c>
      <c r="F49" s="210">
        <f t="array" ref="F49">IF($A49="","",SUM(($G$4:$G$20="Oaks")*($I$4:$P$20=$B49))+SUM(($G$4:$G$20="Gold Diggers")*($I$4:$P$20=$B49))+SUM(($G$4:$G$20="Towers")*($I$4:$P$20=$B49)))</f>
        <v>2</v>
      </c>
      <c r="G49" s="230">
        <f t="shared" si="2"/>
        <v>2</v>
      </c>
      <c r="H49" s="209">
        <f t="array" ref="H49">IF($A49="","",SUM(($A$21:$A$27="NL")*($I$21:$P$27=$B49)))</f>
        <v>2</v>
      </c>
      <c r="I49" s="232">
        <f t="array" ref="I49">IF($A49="","",SUM(($A$2:$A$27="NL")*($I$2:$P$27=$B49)))</f>
        <v>4</v>
      </c>
      <c r="J49" s="232">
        <f t="shared" si="5"/>
        <v>4</v>
      </c>
      <c r="K49" s="204"/>
      <c r="L49" s="122"/>
      <c r="M49" s="122"/>
      <c r="N49" s="122"/>
      <c r="O49" s="122"/>
      <c r="P49" s="98"/>
      <c r="Q49" s="122"/>
      <c r="R49" s="122"/>
      <c r="S49" s="122"/>
      <c r="T49" s="122"/>
      <c r="U49" s="122"/>
      <c r="V49" s="122"/>
      <c r="W49" s="122"/>
      <c r="X49" s="206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</row>
    <row r="50">
      <c r="A50" s="270" t="s">
        <v>298</v>
      </c>
      <c r="B50" s="270" t="s">
        <v>297</v>
      </c>
      <c r="C50" s="209">
        <f t="array" ref="C50">IF($A50="","",SUM(($A$2:$A$31="Vedligeholdende")*($I$2:$P$31=$B50)))</f>
        <v>0</v>
      </c>
      <c r="D50" s="209">
        <f t="array" ref="D50">IF($A50="","",SUM(($A$2:$A$20="NL")*($I$2:$P$20=$B50)))</f>
        <v>0</v>
      </c>
      <c r="E50" s="210">
        <f t="array" ref="E50">IF($A50="","",SUM(($G$4:$G$20="Razorbacks")*($I$4:$P$20=$B50))+SUM(($G$4:$G$20="Tigers")*($I$4:$P$20=$B50))+SUM(($G$4:$G$20="89ers")*($I$4:$P$20=$B50)))</f>
        <v>0</v>
      </c>
      <c r="F50" s="210">
        <f t="array" ref="F50">IF($A50="","",SUM(($G$4:$G$20="Oaks")*($I$4:$P$20=$B50))+SUM(($G$4:$G$20="Gold Diggers")*($I$4:$P$20=$B50))+SUM(($G$4:$G$20="Towers")*($I$4:$P$20=$B50)))</f>
        <v>0</v>
      </c>
      <c r="G50" s="230">
        <f t="shared" si="2"/>
        <v>0</v>
      </c>
      <c r="H50" s="209">
        <f t="array" ref="H50">IF($A50="","",SUM(($A$21:$A$27="NL")*($I$21:$P$27=$B50)))</f>
        <v>0</v>
      </c>
      <c r="I50" s="232">
        <f t="array" ref="I50">IF($A50="","",SUM(($A$2:$A$27="NL")*($I$2:$P$27=$B50)))</f>
        <v>0</v>
      </c>
      <c r="J50" s="232">
        <f t="shared" si="5"/>
        <v>0</v>
      </c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</row>
    <row r="51">
      <c r="A51" s="270" t="s">
        <v>291</v>
      </c>
      <c r="B51" s="270" t="s">
        <v>179</v>
      </c>
      <c r="C51" s="209">
        <f t="array" ref="C51">IF($A51="","",SUM(($A$2:$A$31="Vedligeholdende")*($I$2:$P$31=$B51)))</f>
        <v>0</v>
      </c>
      <c r="D51" s="209">
        <f t="array" ref="D51">IF($A51="","",SUM(($A$2:$A$20="NL")*($I$2:$P$20=$B51)))</f>
        <v>1</v>
      </c>
      <c r="E51" s="210">
        <f t="array" ref="E51">IF($A51="","",SUM(($G$4:$G$20="Razorbacks")*($I$4:$P$20=$B51))+SUM(($G$4:$G$20="Tigers")*($I$4:$P$20=$B51))+SUM(($G$4:$G$20="89ers")*($I$4:$P$20=$B51)))</f>
        <v>1</v>
      </c>
      <c r="F51" s="210">
        <f t="array" ref="F51">IF($A51="","",SUM(($G$4:$G$20="Oaks")*($I$4:$P$20=$B51))+SUM(($G$4:$G$20="Gold Diggers")*($I$4:$P$20=$B51))+SUM(($G$4:$G$20="Towers")*($I$4:$P$20=$B51)))</f>
        <v>0</v>
      </c>
      <c r="G51" s="230">
        <f t="shared" si="2"/>
        <v>1</v>
      </c>
      <c r="H51" s="209">
        <f t="array" ref="H51">IF($A51="","",SUM(($A$21:$A$27="NL")*($I$21:$P$27=$B51)))</f>
        <v>0</v>
      </c>
      <c r="I51" s="232">
        <f t="array" ref="I51">IF($A51="","",SUM(($A$2:$A$27="NL")*($I$2:$P$27=$B51)))</f>
        <v>1</v>
      </c>
      <c r="J51" s="232">
        <f t="shared" si="5"/>
        <v>1</v>
      </c>
      <c r="K51" s="204"/>
      <c r="L51" s="122"/>
      <c r="M51" s="122"/>
      <c r="N51" s="122"/>
      <c r="O51" s="122"/>
      <c r="P51" s="98"/>
      <c r="Q51" s="122"/>
      <c r="R51" s="122"/>
      <c r="S51" s="122"/>
      <c r="T51" s="122"/>
      <c r="U51" s="122"/>
      <c r="V51" s="122"/>
      <c r="W51" s="122"/>
      <c r="X51" s="206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</row>
    <row r="52">
      <c r="A52" s="283" t="s">
        <v>294</v>
      </c>
      <c r="B52" s="283" t="s">
        <v>196</v>
      </c>
      <c r="C52" s="209">
        <f t="array" ref="C52">IF($A52="","",SUM(($A$2:$A$31="Vedligeholdende")*($I$2:$P$31=$B52)))</f>
        <v>0</v>
      </c>
      <c r="D52" s="209">
        <f t="array" ref="D52">IF($A52="","",SUM(($A$2:$A$20="NL")*($I$2:$P$20=$B52)))</f>
        <v>0</v>
      </c>
      <c r="E52" s="210">
        <f t="array" ref="E52">IF($A52="","",SUM(($G$4:$G$20="Razorbacks")*($I$4:$P$20=$B52))+SUM(($G$4:$G$20="Tigers")*($I$4:$P$20=$B52))+SUM(($G$4:$G$20="89ers")*($I$4:$P$20=$B52)))</f>
        <v>0</v>
      </c>
      <c r="F52" s="210">
        <f t="array" ref="F52">IF($A52="","",SUM(($G$4:$G$20="Oaks")*($I$4:$P$20=$B52))+SUM(($G$4:$G$20="Gold Diggers")*($I$4:$P$20=$B52))+SUM(($G$4:$G$20="Towers")*($I$4:$P$20=$B52)))</f>
        <v>0</v>
      </c>
      <c r="G52" s="230">
        <f t="shared" si="2"/>
        <v>0</v>
      </c>
      <c r="H52" s="209">
        <f t="array" ref="H52">IF($A52="","",SUM(($A$21:$A$27="NL")*($I$21:$P$27=$B52)))</f>
        <v>2</v>
      </c>
      <c r="I52" s="232">
        <f t="array" ref="I52">IF($A52="","",SUM(($A$2:$A$27="NL")*($I$2:$P$27=$B52)))</f>
        <v>2</v>
      </c>
      <c r="J52" s="232">
        <f t="shared" si="5"/>
        <v>2</v>
      </c>
      <c r="K52" s="204"/>
      <c r="L52" s="122"/>
      <c r="M52" s="122"/>
      <c r="N52" s="122"/>
      <c r="O52" s="122"/>
      <c r="P52" s="98"/>
      <c r="Q52" s="122"/>
      <c r="R52" s="122"/>
      <c r="S52" s="122"/>
      <c r="T52" s="122"/>
      <c r="U52" s="122"/>
      <c r="V52" s="122"/>
      <c r="W52" s="122"/>
      <c r="X52" s="206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</row>
    <row r="53">
      <c r="A53" s="283" t="s">
        <v>300</v>
      </c>
      <c r="B53" s="283" t="s">
        <v>149</v>
      </c>
      <c r="C53" s="209">
        <f t="array" ref="C53">IF($A53="","",SUM(($A$2:$A$31="Vedligeholdende")*($I$2:$P$31=$B53)))</f>
        <v>0</v>
      </c>
      <c r="D53" s="209">
        <f t="array" ref="D53">IF($A53="","",SUM(($A$2:$A$20="NL")*($I$2:$P$20=$B53)))</f>
        <v>2</v>
      </c>
      <c r="E53" s="210">
        <f t="array" ref="E53">IF($A53="","",SUM(($G$4:$G$20="Razorbacks")*($I$4:$P$20=$B53))+SUM(($G$4:$G$20="Tigers")*($I$4:$P$20=$B53))+SUM(($G$4:$G$20="89ers")*($I$4:$P$20=$B53)))</f>
        <v>1</v>
      </c>
      <c r="F53" s="210">
        <f t="array" ref="F53">IF($A53="","",SUM(($G$4:$G$20="Oaks")*($I$4:$P$20=$B53))+SUM(($G$4:$G$20="Gold Diggers")*($I$4:$P$20=$B53))+SUM(($G$4:$G$20="Towers")*($I$4:$P$20=$B53)))</f>
        <v>1</v>
      </c>
      <c r="G53" s="230">
        <f t="shared" si="2"/>
        <v>2</v>
      </c>
      <c r="H53" s="209">
        <f t="array" ref="H53">IF($A53="","",SUM(($A$21:$A$27="NL")*($I$21:$P$27=$B53)))</f>
        <v>2</v>
      </c>
      <c r="I53" s="232">
        <f t="array" ref="I53">IF($A53="","",SUM(($A$2:$A$27="NL")*($I$2:$P$27=$B53)))</f>
        <v>4</v>
      </c>
      <c r="J53" s="232">
        <f t="shared" si="5"/>
        <v>4</v>
      </c>
      <c r="K53" s="204"/>
      <c r="L53" s="122"/>
      <c r="M53" s="122"/>
      <c r="N53" s="122"/>
      <c r="O53" s="122"/>
      <c r="P53" s="98"/>
      <c r="Q53" s="122"/>
      <c r="R53" s="122"/>
      <c r="S53" s="122"/>
      <c r="T53" s="122"/>
      <c r="U53" s="122"/>
      <c r="V53" s="122"/>
      <c r="W53" s="122"/>
      <c r="X53" s="206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</row>
    <row r="54">
      <c r="A54" s="270"/>
      <c r="B54" s="270"/>
      <c r="C54" s="209" t="str">
        <f t="array" ref="C54">IF($A54="","",SUM(($A$2:$A$31="Vedligeholdende")*($I$2:$P$31=$B54)))</f>
        <v/>
      </c>
      <c r="D54" s="209" t="str">
        <f t="array" ref="D54">IF($A54="","",SUM(($A$2:$A$17="NL")*($I$2:$P$17=$B54)))</f>
        <v/>
      </c>
      <c r="E54" s="210" t="str">
        <f t="array" ref="E54">IF($A54="","",SUM(($G$4:$G$17="Razorbacks")*($I$4:$P$17=$B54))+SUM(($G$4:$G$17="Tigers")*($I$4:$P$17=$B54))+SUM(($G$4:$G$17="89ers")*($I$4:$P$17=$B54)))</f>
        <v/>
      </c>
      <c r="F54" s="210" t="str">
        <f t="array" ref="F54">IF($A54="","",SUM(($G$4:$G$17="Oaks")*($I$4:$P$17=$B54))+SUM(($G$4:$G$17="Gold Diggers")*($I$4:$P$17=$B54))+SUM(($G$4:$G$17="Towers")*($I$4:$P$17=$B54)))</f>
        <v/>
      </c>
      <c r="G54" s="230" t="str">
        <f t="shared" si="2"/>
        <v/>
      </c>
      <c r="H54" s="209" t="str">
        <f t="array" ref="H54">IF($A54="","",SUM(($A$18:$A$26="NL")*($I$18:$P$26=$B54)))</f>
        <v/>
      </c>
      <c r="I54" s="232" t="str">
        <f t="array" ref="I54">IF($A54="","",SUM(($A$2:$A$26="NL")*($I$2:$P$26=$B54)))</f>
        <v/>
      </c>
      <c r="J54" s="232" t="str">
        <f>IF($A54="","",COUNTIF($I$2:$P$26,$B54)-C54)</f>
        <v/>
      </c>
      <c r="K54" s="204"/>
      <c r="L54" s="122"/>
      <c r="M54" s="122"/>
      <c r="N54" s="122"/>
      <c r="O54" s="122"/>
      <c r="P54" s="98"/>
      <c r="Q54" s="122"/>
      <c r="R54" s="122"/>
      <c r="S54" s="122"/>
      <c r="T54" s="122"/>
      <c r="U54" s="122"/>
      <c r="V54" s="122"/>
      <c r="W54" s="122"/>
      <c r="X54" s="206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</row>
    <row r="55">
      <c r="A55" s="208" t="s">
        <v>164</v>
      </c>
      <c r="B55" s="208" t="s">
        <v>81</v>
      </c>
      <c r="C55" s="209">
        <f t="array" ref="C55">IF($A55="","",SUM(($A$2:$A$31="Vedligeholdende")*($I$2:$P$31=$B55)))</f>
        <v>1</v>
      </c>
      <c r="D55" s="209">
        <f t="array" ref="D55">IF($A55="","",SUM(($A$2:$A$20="NL")*($I$2:$P$20=$B55)))</f>
        <v>9</v>
      </c>
      <c r="E55" s="210">
        <f t="array" ref="E55">IF($A55="","",SUM(($G$4:$G$20="Razorbacks")*($I$4:$P$20=$B55))+SUM(($G$4:$G$20="Tigers")*($I$4:$P$20=$B55))+SUM(($G$4:$G$20="89ers")*($I$4:$P$20=$B55)))</f>
        <v>8</v>
      </c>
      <c r="F55" s="210">
        <f t="array" ref="F55">IF($A55="","",SUM(($G$4:$G$20="Oaks")*($I$4:$P$20=$B55))+SUM(($G$4:$G$20="Gold Diggers")*($I$4:$P$20=$B55))+SUM(($G$4:$G$20="Towers")*($I$4:$P$20=$B55)))</f>
        <v>1</v>
      </c>
      <c r="G55" s="230">
        <f t="shared" si="2"/>
        <v>10</v>
      </c>
      <c r="H55" s="209">
        <f t="array" ref="H55">IF($A55="","",SUM(($A$21:$A$27="NL")*($I$21:$P$27=$B55)))</f>
        <v>3</v>
      </c>
      <c r="I55" s="232">
        <f t="array" ref="I55">IF($A55="","",SUM(($A$2:$A$27="NL")*($I$2:$P$27=$B55)))</f>
        <v>12</v>
      </c>
      <c r="J55" s="232">
        <f t="shared" ref="J55:J58" si="6">IF($A55="","",COUNTIF($I$2:$P$27,$B55)-C55)</f>
        <v>12</v>
      </c>
      <c r="K55" s="204"/>
      <c r="L55" s="1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206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</row>
    <row r="56">
      <c r="A56" s="270" t="s">
        <v>287</v>
      </c>
      <c r="B56" s="270" t="s">
        <v>99</v>
      </c>
      <c r="C56" s="209">
        <f t="array" ref="C56">IF($A56="","",SUM(($A$2:$A$31="Vedligeholdende")*($I$2:$P$31=$B56)))</f>
        <v>0</v>
      </c>
      <c r="D56" s="209">
        <f t="array" ref="D56">IF($A56="","",SUM(($A$2:$A$20="NL")*($I$2:$P$20=$B56)))</f>
        <v>3</v>
      </c>
      <c r="E56" s="210">
        <f t="array" ref="E56">IF($A56="","",SUM(($G$4:$G$20="Razorbacks")*($I$4:$P$20=$B56))+SUM(($G$4:$G$20="Tigers")*($I$4:$P$20=$B56))+SUM(($G$4:$G$20="89ers")*($I$4:$P$20=$B56)))</f>
        <v>1</v>
      </c>
      <c r="F56" s="210">
        <f t="array" ref="F56">IF($A56="","",SUM(($G$4:$G$20="Oaks")*($I$4:$P$20=$B56))+SUM(($G$4:$G$20="Gold Diggers")*($I$4:$P$20=$B56))+SUM(($G$4:$G$20="Towers")*($I$4:$P$20=$B56)))</f>
        <v>2</v>
      </c>
      <c r="G56" s="230">
        <f t="shared" si="2"/>
        <v>3</v>
      </c>
      <c r="H56" s="209">
        <f t="array" ref="H56">IF($A56="","",SUM(($A$21:$A$27="NL")*($I$21:$P$27=$B56)))</f>
        <v>1</v>
      </c>
      <c r="I56" s="232">
        <f t="array" ref="I56">IF($A56="","",SUM(($A$2:$A$27="NL")*($I$2:$P$27=$B56)))</f>
        <v>4</v>
      </c>
      <c r="J56" s="232">
        <f t="shared" si="6"/>
        <v>4</v>
      </c>
      <c r="K56" s="204"/>
      <c r="L56" s="122"/>
      <c r="M56" s="122"/>
      <c r="N56" s="122"/>
      <c r="O56" s="122"/>
      <c r="P56" s="98"/>
      <c r="Q56" s="122"/>
      <c r="R56" s="122"/>
      <c r="S56" s="233"/>
      <c r="T56" s="233"/>
      <c r="U56" s="233"/>
      <c r="V56" s="233"/>
      <c r="W56" s="233"/>
      <c r="X56" s="206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</row>
    <row r="57">
      <c r="A57" s="204" t="s">
        <v>185</v>
      </c>
      <c r="B57" s="204" t="s">
        <v>110</v>
      </c>
      <c r="C57" s="209">
        <f t="array" ref="C57">IF($A57="","",SUM(($A$2:$A$31="Vedligeholdende")*($I$2:$P$31=$B57)))</f>
        <v>0</v>
      </c>
      <c r="D57" s="209">
        <f t="array" ref="D57">IF($A57="","",SUM(($A$2:$A$20="NL")*($I$2:$P$20=$B57)))</f>
        <v>5</v>
      </c>
      <c r="E57" s="210">
        <f t="array" ref="E57">IF($A57="","",SUM(($G$4:$G$20="Razorbacks")*($I$4:$P$20=$B57))+SUM(($G$4:$G$20="Tigers")*($I$4:$P$20=$B57))+SUM(($G$4:$G$20="89ers")*($I$4:$P$20=$B57)))</f>
        <v>0</v>
      </c>
      <c r="F57" s="210">
        <f t="array" ref="F57">IF($A57="","",SUM(($G$4:$G$20="Oaks")*($I$4:$P$20=$B57))+SUM(($G$4:$G$20="Gold Diggers")*($I$4:$P$20=$B57))+SUM(($G$4:$G$20="Towers")*($I$4:$P$20=$B57)))</f>
        <v>5</v>
      </c>
      <c r="G57" s="230">
        <f t="shared" si="2"/>
        <v>5</v>
      </c>
      <c r="H57" s="209">
        <f t="array" ref="H57">IF($A57="","",SUM(($A$21:$A$27="NL")*($I$21:$P$27=$B57)))</f>
        <v>4</v>
      </c>
      <c r="I57" s="232">
        <f t="array" ref="I57">IF($A57="","",SUM(($A$2:$A$27="NL")*($I$2:$P$27=$B57)))</f>
        <v>9</v>
      </c>
      <c r="J57" s="232">
        <f t="shared" si="6"/>
        <v>9</v>
      </c>
      <c r="K57" s="204"/>
      <c r="L57" s="122"/>
      <c r="M57" s="122"/>
      <c r="N57" s="122"/>
      <c r="O57" s="122"/>
      <c r="P57" s="98"/>
      <c r="Q57" s="122"/>
      <c r="R57" s="122"/>
      <c r="S57" s="122"/>
      <c r="T57" s="122">
        <f>SUMIF(G$9:G$31,Q86,Y$9:Y$26)</f>
        <v>0</v>
      </c>
      <c r="U57" s="122" t="str">
        <f>T57/R86</f>
        <v>#DIV/0!</v>
      </c>
      <c r="V57" s="122"/>
      <c r="W57" s="122"/>
      <c r="X57" s="206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</row>
    <row r="58">
      <c r="A58" s="208" t="s">
        <v>141</v>
      </c>
      <c r="B58" s="208" t="s">
        <v>98</v>
      </c>
      <c r="C58" s="209">
        <f t="array" ref="C58">IF($A58="","",SUM(($A$2:$A$31="Vedligeholdende")*($I$2:$P$31=$B58)))</f>
        <v>0</v>
      </c>
      <c r="D58" s="209">
        <f t="array" ref="D58">IF($A58="","",SUM(($A$2:$A$20="NL")*($I$2:$P$20=$B58)))</f>
        <v>7</v>
      </c>
      <c r="E58" s="210">
        <f t="array" ref="E58">IF($A58="","",SUM(($G$4:$G$20="Razorbacks")*($I$4:$P$20=$B58))+SUM(($G$4:$G$20="Tigers")*($I$4:$P$20=$B58))+SUM(($G$4:$G$20="89ers")*($I$4:$P$20=$B58)))</f>
        <v>2</v>
      </c>
      <c r="F58" s="210">
        <f t="array" ref="F58">IF($A58="","",SUM(($G$4:$G$20="Oaks")*($I$4:$P$20=$B58))+SUM(($G$4:$G$20="Gold Diggers")*($I$4:$P$20=$B58))+SUM(($G$4:$G$20="Towers")*($I$4:$P$20=$B58)))</f>
        <v>5</v>
      </c>
      <c r="G58" s="230">
        <f t="shared" si="2"/>
        <v>7</v>
      </c>
      <c r="H58" s="209">
        <f t="array" ref="H58">IF($A58="","",SUM(($A$21:$A$27="NL")*($I$21:$P$27=$B58)))</f>
        <v>3</v>
      </c>
      <c r="I58" s="232">
        <f t="array" ref="I58">IF($A58="","",SUM(($A$2:$A$27="NL")*($I$2:$P$27=$B58)))</f>
        <v>10</v>
      </c>
      <c r="J58" s="232">
        <f t="shared" si="6"/>
        <v>10</v>
      </c>
      <c r="K58" s="204"/>
      <c r="L58" s="122"/>
      <c r="M58" s="122"/>
      <c r="N58" s="122"/>
      <c r="O58" s="122"/>
      <c r="P58" s="98"/>
      <c r="Q58" s="122"/>
      <c r="R58" s="122"/>
      <c r="S58" s="122"/>
      <c r="T58" s="122"/>
      <c r="U58" s="122"/>
      <c r="V58" s="122"/>
      <c r="W58" s="122"/>
      <c r="X58" s="206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</row>
    <row r="59">
      <c r="A59" s="270"/>
      <c r="B59" s="270"/>
      <c r="C59" s="209" t="str">
        <f t="array" ref="C59">IF($A59="","",SUM(($A$2:$A$31="Vedligeholdende")*($I$2:$P$31=$B59)))</f>
        <v/>
      </c>
      <c r="D59" s="209" t="str">
        <f t="array" ref="D59">IF($A59="","",SUM(($A$2:$A$17="NL")*($I$2:$P$17=$B59)))</f>
        <v/>
      </c>
      <c r="E59" s="210" t="str">
        <f t="array" ref="E59">IF($A59="","",SUM(($G$4:$G$17="Razorbacks")*($I$4:$P$17=$B59))+SUM(($G$4:$G$17="Tigers")*($I$4:$P$17=$B59))+SUM(($G$4:$G$17="89ers")*($I$4:$P$17=$B59)))</f>
        <v/>
      </c>
      <c r="F59" s="210" t="str">
        <f t="array" ref="F59">IF($A59="","",SUM(($G$4:$G$17="Oaks")*($I$4:$P$17=$B59))+SUM(($G$4:$G$17="Gold Diggers")*($I$4:$P$17=$B59))+SUM(($G$4:$G$17="Towers")*($I$4:$P$17=$B59)))</f>
        <v/>
      </c>
      <c r="G59" s="230" t="str">
        <f t="shared" si="2"/>
        <v/>
      </c>
      <c r="H59" s="209" t="str">
        <f t="array" ref="H59">IF($A59="","",SUM(($A$18:$A$26="NL")*($I$18:$P$26=$B59)))</f>
        <v/>
      </c>
      <c r="I59" s="232" t="str">
        <f t="array" ref="I59">IF($A59="","",SUM(($A$2:$A$26="NL")*($I$2:$P$26=$B59)))</f>
        <v/>
      </c>
      <c r="J59" s="232" t="str">
        <f>IF($A59="","",COUNTIF($I$2:$P$26,$B59)-C59)</f>
        <v/>
      </c>
      <c r="K59" s="204"/>
      <c r="L59" s="122"/>
      <c r="M59" s="122"/>
      <c r="N59" s="122"/>
      <c r="O59" s="122"/>
      <c r="P59" s="98"/>
      <c r="Q59" s="122"/>
      <c r="R59" s="122"/>
      <c r="S59" s="122"/>
      <c r="T59" s="122"/>
      <c r="U59" s="122"/>
      <c r="V59" s="122"/>
      <c r="W59" s="122"/>
      <c r="X59" s="206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</row>
    <row r="60">
      <c r="A60" s="204" t="s">
        <v>443</v>
      </c>
      <c r="B60" s="204" t="s">
        <v>85</v>
      </c>
      <c r="C60" s="209">
        <f t="array" ref="C60">IF($A60="","",SUM(($A$2:$A$31="Vedligeholdende")*($I$2:$P$31=$B60)))</f>
        <v>0</v>
      </c>
      <c r="D60" s="209">
        <f t="array" ref="D60">IF($A60="","",SUM(($A$2:$A$20="NL")*($I$2:$P$20=$B60)))</f>
        <v>4</v>
      </c>
      <c r="E60" s="210">
        <f t="array" ref="E60">IF($A60="","",SUM(($G$4:$G$20="Razorbacks")*($I$4:$P$20=$B60))+SUM(($G$4:$G$20="Tigers")*($I$4:$P$20=$B60))+SUM(($G$4:$G$20="89ers")*($I$4:$P$20=$B60)))</f>
        <v>1</v>
      </c>
      <c r="F60" s="210">
        <f t="array" ref="F60">IF($A60="","",SUM(($G$4:$G$20="Oaks")*($I$4:$P$20=$B60))+SUM(($G$4:$G$20="Gold Diggers")*($I$4:$P$20=$B60))+SUM(($G$4:$G$20="Towers")*($I$4:$P$20=$B60)))</f>
        <v>3</v>
      </c>
      <c r="G60" s="230">
        <f t="shared" si="2"/>
        <v>4</v>
      </c>
      <c r="H60" s="209">
        <f t="array" ref="H60">IF($A60="","",SUM(($A$21:$A$27="NL")*($I$21:$P$27=$B60)))</f>
        <v>2</v>
      </c>
      <c r="I60" s="232">
        <f t="array" ref="I60">IF($A60="","",SUM(($A$2:$A$27="NL")*($I$2:$P$27=$B60)))</f>
        <v>6</v>
      </c>
      <c r="J60" s="232">
        <f t="shared" ref="J60:J63" si="7">IF($A60="","",COUNTIF($I$2:$P$27,$B60)-C60)</f>
        <v>6</v>
      </c>
      <c r="K60" s="204"/>
      <c r="L60" s="122"/>
      <c r="M60" s="122"/>
      <c r="N60" s="122"/>
      <c r="O60" s="122"/>
      <c r="P60" s="98"/>
      <c r="Q60" s="122"/>
      <c r="R60" s="122"/>
      <c r="S60" s="122"/>
      <c r="T60" s="122"/>
      <c r="U60" s="122"/>
      <c r="V60" s="122"/>
      <c r="W60" s="122"/>
      <c r="X60" s="206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</row>
    <row r="61">
      <c r="A61" s="204" t="s">
        <v>199</v>
      </c>
      <c r="B61" s="204" t="s">
        <v>64</v>
      </c>
      <c r="C61" s="209">
        <f t="array" ref="C61">IF($A61="","",SUM(($A$2:$A$31="Vedligeholdende")*($I$2:$P$31=$B61)))</f>
        <v>0</v>
      </c>
      <c r="D61" s="209">
        <f t="array" ref="D61">IF($A61="","",SUM(($A$2:$A$20="NL")*($I$2:$P$20=$B61)))</f>
        <v>3</v>
      </c>
      <c r="E61" s="210">
        <f t="array" ref="E61">IF($A61="","",SUM(($G$4:$G$20="Razorbacks")*($I$4:$P$20=$B61))+SUM(($G$4:$G$20="Tigers")*($I$4:$P$20=$B61))+SUM(($G$4:$G$20="89ers")*($I$4:$P$20=$B61)))</f>
        <v>0</v>
      </c>
      <c r="F61" s="210">
        <f t="array" ref="F61">IF($A61="","",SUM(($G$4:$G$20="Oaks")*($I$4:$P$20=$B61))+SUM(($G$4:$G$20="Gold Diggers")*($I$4:$P$20=$B61))+SUM(($G$4:$G$20="Towers")*($I$4:$P$20=$B61)))</f>
        <v>3</v>
      </c>
      <c r="G61" s="230">
        <f t="shared" si="2"/>
        <v>3</v>
      </c>
      <c r="H61" s="209">
        <f t="array" ref="H61">IF($A61="","",SUM(($A$21:$A$27="NL")*($I$21:$P$27=$B61)))</f>
        <v>2</v>
      </c>
      <c r="I61" s="232">
        <f t="array" ref="I61">IF($A61="","",SUM(($A$2:$A$27="NL")*($I$2:$P$27=$B61)))</f>
        <v>5</v>
      </c>
      <c r="J61" s="232">
        <f t="shared" si="7"/>
        <v>5</v>
      </c>
      <c r="K61" s="122"/>
      <c r="L61" s="122"/>
      <c r="M61" s="122"/>
      <c r="N61" s="122"/>
      <c r="O61" s="98"/>
      <c r="P61" s="122"/>
      <c r="Q61" s="122"/>
      <c r="R61" s="122"/>
      <c r="S61" s="122"/>
      <c r="T61" s="122"/>
      <c r="U61" s="122"/>
      <c r="V61" s="122"/>
      <c r="W61" s="122"/>
      <c r="X61" s="206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</row>
    <row r="62">
      <c r="A62" s="283" t="s">
        <v>299</v>
      </c>
      <c r="B62" s="283" t="s">
        <v>104</v>
      </c>
      <c r="C62" s="209">
        <f t="array" ref="C62">IF($A62="","",SUM(($A$2:$A$31="Vedligeholdende")*($I$2:$P$31=$B62)))</f>
        <v>0</v>
      </c>
      <c r="D62" s="209">
        <f t="array" ref="D62">IF($A62="","",SUM(($A$2:$A$20="NL")*($I$2:$P$20=$B62)))</f>
        <v>7</v>
      </c>
      <c r="E62" s="210">
        <f t="array" ref="E62">IF($A62="","",SUM(($G$4:$G$20="Razorbacks")*($I$4:$P$20=$B62))+SUM(($G$4:$G$20="Tigers")*($I$4:$P$20=$B62))+SUM(($G$4:$G$20="89ers")*($I$4:$P$20=$B62)))</f>
        <v>6</v>
      </c>
      <c r="F62" s="210">
        <f t="array" ref="F62">IF($A62="","",SUM(($G$4:$G$20="Oaks")*($I$4:$P$20=$B62))+SUM(($G$4:$G$20="Gold Diggers")*($I$4:$P$20=$B62))+SUM(($G$4:$G$20="Towers")*($I$4:$P$20=$B62)))</f>
        <v>1</v>
      </c>
      <c r="G62" s="230">
        <f t="shared" si="2"/>
        <v>7</v>
      </c>
      <c r="H62" s="209">
        <f t="array" ref="H62">IF($A62="","",SUM(($A$21:$A$27="NL")*($I$21:$P$27=$B62)))</f>
        <v>2</v>
      </c>
      <c r="I62" s="232">
        <f t="array" ref="I62">IF($A62="","",SUM(($A$2:$A$27="NL")*($I$2:$P$27=$B62)))</f>
        <v>9</v>
      </c>
      <c r="J62" s="232">
        <f t="shared" si="7"/>
        <v>9</v>
      </c>
      <c r="K62" s="122"/>
      <c r="L62" s="122"/>
      <c r="M62" s="122"/>
      <c r="N62" s="122"/>
      <c r="O62" s="98"/>
      <c r="P62" s="122"/>
      <c r="Q62" s="233"/>
      <c r="R62" s="122"/>
      <c r="S62" s="122"/>
      <c r="T62" s="122"/>
      <c r="U62" s="122"/>
      <c r="V62" s="122"/>
      <c r="W62" s="122"/>
      <c r="X62" s="206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</row>
    <row r="63">
      <c r="A63" s="12" t="s">
        <v>444</v>
      </c>
      <c r="B63" s="12" t="s">
        <v>445</v>
      </c>
      <c r="C63" s="209">
        <f t="array" ref="C63">IF($A63="","",SUM(($A$2:$A$31="Vedligeholdende")*($I$2:$P$31=$B63)))</f>
        <v>0</v>
      </c>
      <c r="D63" s="209">
        <f t="array" ref="D63">IF($A63="","",SUM(($A$2:$A$20="NL")*($I$2:$P$20=$B63)))</f>
        <v>0</v>
      </c>
      <c r="E63" s="210">
        <f t="array" ref="E63">IF($A63="","",SUM(($G$4:$G$20="Razorbacks")*($I$4:$P$20=$B63))+SUM(($G$4:$G$20="Tigers")*($I$4:$P$20=$B63))+SUM(($G$4:$G$20="89ers")*($I$4:$P$20=$B63)))</f>
        <v>0</v>
      </c>
      <c r="F63" s="210">
        <f t="array" ref="F63">IF($A63="","",SUM(($G$4:$G$20="Oaks")*($I$4:$P$20=$B63))+SUM(($G$4:$G$20="Gold Diggers")*($I$4:$P$20=$B63))+SUM(($G$4:$G$20="Towers")*($I$4:$P$20=$B63)))</f>
        <v>0</v>
      </c>
      <c r="G63" s="230">
        <f t="shared" si="2"/>
        <v>0</v>
      </c>
      <c r="H63" s="209">
        <f t="array" ref="H63">IF($A63="","",SUM(($A$21:$A$27="NL")*($I$21:$P$27=$B63)))</f>
        <v>0</v>
      </c>
      <c r="I63" s="232">
        <f t="array" ref="I63">IF($A63="","",SUM(($A$2:$A$27="NL")*($I$2:$P$27=$B63)))</f>
        <v>0</v>
      </c>
      <c r="J63" s="232">
        <f t="shared" si="7"/>
        <v>0</v>
      </c>
      <c r="K63" s="122"/>
      <c r="L63" s="122"/>
      <c r="M63" s="122"/>
      <c r="N63" s="122"/>
      <c r="O63" s="12"/>
      <c r="P63" s="122"/>
      <c r="Q63" s="233"/>
      <c r="R63" s="122"/>
      <c r="S63" s="122"/>
      <c r="T63" s="122"/>
      <c r="U63" s="122"/>
      <c r="V63" s="122"/>
      <c r="W63" s="122"/>
      <c r="X63" s="206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</row>
    <row r="64">
      <c r="A64" s="12"/>
      <c r="B64" s="12"/>
      <c r="C64" s="209"/>
      <c r="D64" s="209"/>
      <c r="E64" s="210"/>
      <c r="F64" s="210"/>
      <c r="G64" s="230"/>
      <c r="H64" s="209"/>
      <c r="I64" s="232"/>
      <c r="J64" s="232"/>
      <c r="K64" s="122"/>
      <c r="L64" s="122"/>
      <c r="M64" s="122"/>
      <c r="N64" s="122"/>
      <c r="O64" s="12"/>
      <c r="P64" s="122"/>
      <c r="Q64" s="233"/>
      <c r="R64" s="122"/>
      <c r="S64" s="122"/>
      <c r="T64" s="122"/>
      <c r="U64" s="122"/>
      <c r="V64" s="122"/>
      <c r="W64" s="122"/>
      <c r="X64" s="206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</row>
    <row r="65">
      <c r="A65" s="12" t="s">
        <v>446</v>
      </c>
      <c r="B65" s="12" t="s">
        <v>109</v>
      </c>
      <c r="C65" s="209">
        <f t="array" ref="C65">IF($A65="","",SUM(($A$2:$A$31="Vedligeholdende")*($I$2:$P$31=$B65)))</f>
        <v>0</v>
      </c>
      <c r="D65" s="209">
        <f t="array" ref="D65">IF($A65="","",SUM(($A$2:$A$20="NL")*($I$2:$P$20=$B65)))</f>
        <v>1</v>
      </c>
      <c r="E65" s="210">
        <f t="array" ref="E65">IF($A65="","",SUM(($G$4:$G$20="Razorbacks")*($I$4:$P$20=$B65))+SUM(($G$4:$G$20="Tigers")*($I$4:$P$20=$B65))+SUM(($G$4:$G$20="89ers")*($I$4:$P$20=$B65)))</f>
        <v>0</v>
      </c>
      <c r="F65" s="210">
        <f t="array" ref="F65">IF($A65="","",SUM(($G$4:$G$20="Oaks")*($I$4:$P$20=$B65))+SUM(($G$4:$G$20="Gold Diggers")*($I$4:$P$20=$B65))+SUM(($G$4:$G$20="Towers")*($I$4:$P$20=$B65)))</f>
        <v>1</v>
      </c>
      <c r="G65" s="230">
        <f t="shared" ref="G65:G68" si="8">IF($A65="","",C65+D65)</f>
        <v>1</v>
      </c>
      <c r="H65" s="209">
        <f t="array" ref="H65">IF($A65="","",SUM(($A$21:$A$27="NL")*($I$21:$P$27=$B65)))</f>
        <v>0</v>
      </c>
      <c r="I65" s="232">
        <f t="array" ref="I65">IF($A65="","",SUM(($A$2:$A$27="NL")*($I$2:$P$27=$B65)))</f>
        <v>1</v>
      </c>
      <c r="J65" s="232">
        <f t="shared" ref="J65:J68" si="9">IF($A65="","",COUNTIF($I$2:$P$27,$B65)-C65)</f>
        <v>1</v>
      </c>
      <c r="K65" s="122"/>
      <c r="L65" s="122"/>
      <c r="M65" s="122"/>
      <c r="N65" s="122"/>
      <c r="O65" s="12"/>
      <c r="P65" s="122"/>
      <c r="Q65" s="233"/>
      <c r="R65" s="122"/>
      <c r="S65" s="122"/>
      <c r="T65" s="122"/>
      <c r="U65" s="122"/>
      <c r="V65" s="122"/>
      <c r="W65" s="122"/>
      <c r="X65" s="206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</row>
    <row r="66">
      <c r="A66" s="12" t="s">
        <v>295</v>
      </c>
      <c r="B66" s="12" t="s">
        <v>83</v>
      </c>
      <c r="C66" s="209">
        <f t="array" ref="C66">IF($A66="","",SUM(($A$2:$A$31="Vedligeholdende")*($I$2:$P$31=$B66)))</f>
        <v>1</v>
      </c>
      <c r="D66" s="209">
        <f t="array" ref="D66">IF($A66="","",SUM(($A$2:$A$20="NL")*($I$2:$P$20=$B66)))</f>
        <v>3</v>
      </c>
      <c r="E66" s="210">
        <f t="array" ref="E66">IF($A66="","",SUM(($G$4:$G$20="Razorbacks")*($I$4:$P$20=$B66))+SUM(($G$4:$G$20="Tigers")*($I$4:$P$20=$B66))+SUM(($G$4:$G$20="89ers")*($I$4:$P$20=$B66)))</f>
        <v>2</v>
      </c>
      <c r="F66" s="210">
        <f t="array" ref="F66">IF($A66="","",SUM(($G$4:$G$20="Oaks")*($I$4:$P$20=$B66))+SUM(($G$4:$G$20="Gold Diggers")*($I$4:$P$20=$B66))+SUM(($G$4:$G$20="Towers")*($I$4:$P$20=$B66)))</f>
        <v>1</v>
      </c>
      <c r="G66" s="230">
        <f t="shared" si="8"/>
        <v>4</v>
      </c>
      <c r="H66" s="209">
        <f t="array" ref="H66">IF($A66="","",SUM(($A$21:$A$27="NL")*($I$21:$P$27=$B66)))</f>
        <v>2</v>
      </c>
      <c r="I66" s="232">
        <f t="array" ref="I66">IF($A66="","",SUM(($A$2:$A$27="NL")*($I$2:$P$27=$B66)))</f>
        <v>5</v>
      </c>
      <c r="J66" s="232">
        <f t="shared" si="9"/>
        <v>5</v>
      </c>
      <c r="K66" s="122"/>
      <c r="L66" s="122"/>
      <c r="M66" s="122"/>
      <c r="N66" s="12"/>
      <c r="O66" s="122"/>
      <c r="P66" s="233"/>
      <c r="Q66" s="122"/>
      <c r="R66" s="122"/>
      <c r="S66" s="122"/>
      <c r="T66" s="122"/>
      <c r="U66" s="122"/>
      <c r="V66" s="122"/>
      <c r="W66" s="206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</row>
    <row r="67">
      <c r="A67" s="12" t="s">
        <v>447</v>
      </c>
      <c r="B67" s="12" t="s">
        <v>108</v>
      </c>
      <c r="C67" s="209">
        <f t="array" ref="C67">IF($A67="","",SUM(($A$2:$A$31="Vedligeholdende")*($I$2:$P$31=$B67)))</f>
        <v>0</v>
      </c>
      <c r="D67" s="209">
        <f t="array" ref="D67">IF($A67="","",SUM(($A$2:$A$20="NL")*($I$2:$P$20=$B67)))</f>
        <v>4</v>
      </c>
      <c r="E67" s="210">
        <f t="array" ref="E67">IF($A67="","",SUM(($G$4:$G$20="Razorbacks")*($I$4:$P$20=$B67))+SUM(($G$4:$G$20="Tigers")*($I$4:$P$20=$B67))+SUM(($G$4:$G$20="89ers")*($I$4:$P$20=$B67)))</f>
        <v>0</v>
      </c>
      <c r="F67" s="210">
        <f t="array" ref="F67">IF($A67="","",SUM(($G$4:$G$20="Oaks")*($I$4:$P$20=$B67))+SUM(($G$4:$G$20="Gold Diggers")*($I$4:$P$20=$B67))+SUM(($G$4:$G$20="Towers")*($I$4:$P$20=$B67)))</f>
        <v>4</v>
      </c>
      <c r="G67" s="230">
        <f t="shared" si="8"/>
        <v>4</v>
      </c>
      <c r="H67" s="209">
        <f t="array" ref="H67">IF($A67="","",SUM(($A$21:$A$27="NL")*($I$21:$P$27=$B67)))</f>
        <v>3</v>
      </c>
      <c r="I67" s="232">
        <f t="array" ref="I67">IF($A67="","",SUM(($A$2:$A$27="NL")*($I$2:$P$27=$B67)))</f>
        <v>7</v>
      </c>
      <c r="J67" s="232">
        <f t="shared" si="9"/>
        <v>7</v>
      </c>
      <c r="K67" s="122"/>
      <c r="L67" s="122"/>
      <c r="M67" s="122"/>
      <c r="N67" s="12"/>
      <c r="O67" s="122"/>
      <c r="P67" s="233"/>
      <c r="Q67" s="122"/>
      <c r="R67" s="122"/>
      <c r="S67" s="122"/>
      <c r="T67" s="122"/>
      <c r="U67" s="122"/>
      <c r="V67" s="122"/>
      <c r="W67" s="206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</row>
    <row r="68">
      <c r="A68" s="12" t="s">
        <v>448</v>
      </c>
      <c r="B68" s="12" t="s">
        <v>97</v>
      </c>
      <c r="C68" s="209">
        <f t="array" ref="C68">IF($A68="","",SUM(($A$2:$A$31="Vedligeholdende")*($I$2:$P$31=$B68)))</f>
        <v>0</v>
      </c>
      <c r="D68" s="209">
        <f t="array" ref="D68">IF($A68="","",SUM(($A$2:$A$20="NL")*($I$2:$P$20=$B68)))</f>
        <v>2</v>
      </c>
      <c r="E68" s="210">
        <f t="array" ref="E68">IF($A68="","",SUM(($G$4:$G$20="Razorbacks")*($I$4:$P$20=$B68))+SUM(($G$4:$G$20="Tigers")*($I$4:$P$20=$B68))+SUM(($G$4:$G$20="89ers")*($I$4:$P$20=$B68)))</f>
        <v>0</v>
      </c>
      <c r="F68" s="210">
        <f t="array" ref="F68">IF($A68="","",SUM(($G$4:$G$20="Oaks")*($I$4:$P$20=$B68))+SUM(($G$4:$G$20="Gold Diggers")*($I$4:$P$20=$B68))+SUM(($G$4:$G$20="Towers")*($I$4:$P$20=$B68)))</f>
        <v>2</v>
      </c>
      <c r="G68" s="230">
        <f t="shared" si="8"/>
        <v>2</v>
      </c>
      <c r="H68" s="209">
        <f t="array" ref="H68">IF($A68="","",SUM(($A$21:$A$27="NL")*($I$21:$P$27=$B68)))</f>
        <v>2</v>
      </c>
      <c r="I68" s="232">
        <f t="array" ref="I68">IF($A68="","",SUM(($A$2:$A$27="NL")*($I$2:$P$27=$B68)))</f>
        <v>4</v>
      </c>
      <c r="J68" s="232">
        <f t="shared" si="9"/>
        <v>4</v>
      </c>
      <c r="K68" s="122"/>
      <c r="L68" s="122"/>
      <c r="M68" s="122"/>
      <c r="N68" s="12"/>
      <c r="O68" s="122"/>
      <c r="P68" s="233"/>
      <c r="Q68" s="122"/>
      <c r="R68" s="122"/>
      <c r="S68" s="122"/>
      <c r="T68" s="122"/>
      <c r="U68" s="122"/>
      <c r="V68" s="122"/>
      <c r="W68" s="206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"/>
      <c r="O69" s="122"/>
      <c r="P69" s="233"/>
      <c r="Q69" s="122"/>
      <c r="R69" s="122"/>
      <c r="S69" s="122"/>
      <c r="T69" s="122"/>
      <c r="U69" s="122"/>
      <c r="V69" s="122"/>
      <c r="W69" s="206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</row>
    <row r="70">
      <c r="A70" s="303" t="s">
        <v>319</v>
      </c>
      <c r="B70" s="303" t="s">
        <v>320</v>
      </c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98"/>
      <c r="O70" s="122" t="str">
        <f>DATA!I64</f>
        <v/>
      </c>
      <c r="P70" s="233"/>
      <c r="Q70" s="122"/>
      <c r="R70" s="122"/>
      <c r="S70" s="122"/>
      <c r="T70" s="122"/>
      <c r="U70" s="122"/>
      <c r="V70" s="122"/>
      <c r="W70" s="206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</row>
    <row r="71">
      <c r="A71" s="304" t="s">
        <v>145</v>
      </c>
      <c r="B71" s="303" t="s">
        <v>144</v>
      </c>
      <c r="C71" s="122"/>
      <c r="D71" s="122"/>
      <c r="E71" s="122"/>
      <c r="F71" s="122"/>
      <c r="G71" s="122"/>
      <c r="H71" s="13"/>
      <c r="I71" s="122"/>
      <c r="J71" s="122"/>
      <c r="K71" s="122"/>
      <c r="L71" s="122"/>
      <c r="M71" s="122"/>
      <c r="N71" s="98"/>
      <c r="O71" s="122"/>
      <c r="P71" s="122"/>
      <c r="Q71" s="122"/>
      <c r="R71" s="122"/>
      <c r="S71" s="122"/>
      <c r="T71" s="122"/>
      <c r="U71" s="122"/>
      <c r="V71" s="122"/>
      <c r="W71" s="206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</row>
    <row r="72">
      <c r="A72" s="304" t="s">
        <v>339</v>
      </c>
      <c r="B72" s="304" t="s">
        <v>340</v>
      </c>
      <c r="C72" s="122"/>
      <c r="D72" s="122"/>
      <c r="E72" s="122"/>
      <c r="F72" s="122"/>
      <c r="G72" s="122"/>
      <c r="H72" s="13"/>
      <c r="I72" s="122"/>
      <c r="J72" s="122"/>
      <c r="K72" s="122"/>
      <c r="L72" s="122"/>
      <c r="M72" s="122"/>
      <c r="N72" s="98"/>
      <c r="O72" s="122"/>
      <c r="P72" s="122"/>
      <c r="Q72" s="122"/>
      <c r="R72" s="233"/>
      <c r="S72" s="233"/>
      <c r="T72" s="233"/>
      <c r="U72" s="233"/>
      <c r="V72" s="233"/>
      <c r="W72" s="235"/>
      <c r="X72" s="1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</row>
    <row r="73">
      <c r="A73" s="304" t="s">
        <v>119</v>
      </c>
      <c r="B73" s="303" t="s">
        <v>118</v>
      </c>
      <c r="C73" s="122"/>
      <c r="D73" s="122"/>
      <c r="E73" s="122"/>
      <c r="F73" s="122"/>
      <c r="G73" s="122"/>
      <c r="H73" s="13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206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</row>
    <row r="74">
      <c r="A74" s="303" t="s">
        <v>329</v>
      </c>
      <c r="B74" s="303" t="s">
        <v>330</v>
      </c>
      <c r="C74" s="122"/>
      <c r="D74" s="122"/>
      <c r="E74" s="122"/>
      <c r="F74" s="122"/>
      <c r="G74" s="122"/>
      <c r="H74" s="13"/>
      <c r="I74" s="122"/>
      <c r="J74" s="122"/>
      <c r="K74" s="122"/>
      <c r="L74" s="122"/>
      <c r="M74" s="122"/>
      <c r="N74" s="122"/>
      <c r="O74" s="98"/>
      <c r="P74" s="122"/>
      <c r="Q74" s="122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</row>
    <row r="75">
      <c r="A75" s="303" t="s">
        <v>321</v>
      </c>
      <c r="B75" s="303" t="s">
        <v>322</v>
      </c>
      <c r="C75" s="122"/>
      <c r="D75" s="122"/>
      <c r="E75" s="122"/>
      <c r="F75" s="122"/>
      <c r="G75" s="122"/>
      <c r="H75" s="13"/>
      <c r="I75" s="122"/>
      <c r="J75" s="122"/>
      <c r="K75" s="122"/>
      <c r="L75" s="122"/>
      <c r="M75" s="122"/>
      <c r="N75" s="122"/>
      <c r="O75" s="98"/>
      <c r="P75" s="122"/>
      <c r="Q75" s="122"/>
      <c r="R75" s="122"/>
      <c r="S75" s="122"/>
      <c r="T75" s="122"/>
      <c r="U75" s="122"/>
      <c r="V75" s="122"/>
      <c r="W75" s="206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</row>
    <row r="76">
      <c r="A76" s="303" t="s">
        <v>323</v>
      </c>
      <c r="B76" s="303" t="s">
        <v>324</v>
      </c>
      <c r="C76" s="122"/>
      <c r="D76" s="122"/>
      <c r="E76" s="122"/>
      <c r="F76" s="122"/>
      <c r="G76" s="122"/>
      <c r="H76" s="13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206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</row>
    <row r="77">
      <c r="A77" s="304" t="s">
        <v>325</v>
      </c>
      <c r="B77" s="304" t="s">
        <v>326</v>
      </c>
      <c r="C77" s="122"/>
      <c r="D77" s="122"/>
      <c r="E77" s="122"/>
      <c r="F77" s="122"/>
      <c r="G77" s="122"/>
      <c r="H77" s="13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>
        <f>SUMIF(G$9:G$31,#REF!,Y$9:Y$26)</f>
        <v>0</v>
      </c>
      <c r="T77" s="122" t="str">
        <f>S77/#REF!</f>
        <v>#REF!</v>
      </c>
      <c r="U77" s="122"/>
      <c r="V77" s="122"/>
      <c r="W77" s="206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</row>
    <row r="78">
      <c r="A78" s="303" t="s">
        <v>88</v>
      </c>
      <c r="B78" s="303" t="s">
        <v>86</v>
      </c>
      <c r="C78" s="122"/>
      <c r="D78" s="122"/>
      <c r="E78" s="122"/>
      <c r="F78" s="122"/>
      <c r="G78" s="122"/>
      <c r="H78" s="122"/>
      <c r="I78" s="13"/>
      <c r="J78" s="122"/>
      <c r="K78" s="122"/>
      <c r="L78" s="122"/>
      <c r="M78" s="122"/>
      <c r="N78" s="122"/>
      <c r="O78" s="122"/>
      <c r="P78" s="122"/>
      <c r="Q78" s="122"/>
      <c r="R78" s="122"/>
      <c r="S78" s="122">
        <f>SUMIF(G$9:G$31,O75,Y$9:Y$26)</f>
        <v>0</v>
      </c>
      <c r="T78" s="122" t="str">
        <f>S78/P75</f>
        <v>#DIV/0!</v>
      </c>
      <c r="U78" s="122"/>
      <c r="V78" s="122"/>
      <c r="W78" s="206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</row>
    <row r="79">
      <c r="A79" s="305" t="s">
        <v>129</v>
      </c>
      <c r="B79" s="305" t="s">
        <v>128</v>
      </c>
      <c r="C79" s="122"/>
      <c r="D79" s="122"/>
      <c r="E79" s="122"/>
      <c r="F79" s="122"/>
      <c r="G79" s="122"/>
      <c r="H79" s="122"/>
      <c r="I79" s="13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206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</row>
    <row r="80">
      <c r="A80" s="303" t="s">
        <v>229</v>
      </c>
      <c r="B80" s="303" t="s">
        <v>105</v>
      </c>
      <c r="C80" s="122"/>
      <c r="D80" s="122"/>
      <c r="E80" s="122"/>
      <c r="F80" s="122"/>
      <c r="G80" s="122"/>
      <c r="H80" s="122"/>
      <c r="I80" s="13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206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</row>
    <row r="81">
      <c r="A81" s="305" t="s">
        <v>449</v>
      </c>
      <c r="B81" s="305" t="s">
        <v>450</v>
      </c>
      <c r="C81" s="122"/>
      <c r="D81" s="122"/>
      <c r="E81" s="122"/>
      <c r="F81" s="122"/>
      <c r="G81" s="122"/>
      <c r="H81" s="122"/>
      <c r="I81" s="13"/>
      <c r="J81" s="122"/>
      <c r="K81" s="122"/>
      <c r="L81" s="122"/>
      <c r="M81" s="122"/>
      <c r="N81" s="122"/>
      <c r="O81" s="122"/>
      <c r="P81" s="122"/>
      <c r="Q81" s="122"/>
      <c r="R81" s="122"/>
      <c r="S81" s="122">
        <f>SUMIF(G$9:G$31,#REF!,Y$9:Y$26)</f>
        <v>0</v>
      </c>
      <c r="T81" s="122" t="str">
        <f>S81/#REF!</f>
        <v>#REF!</v>
      </c>
      <c r="U81" s="122"/>
      <c r="V81" s="122"/>
      <c r="W81" s="206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</row>
    <row r="82">
      <c r="A82" s="303" t="s">
        <v>227</v>
      </c>
      <c r="B82" s="304" t="s">
        <v>228</v>
      </c>
      <c r="C82" s="122"/>
      <c r="D82" s="122"/>
      <c r="E82" s="122"/>
      <c r="F82" s="122"/>
      <c r="G82" s="122"/>
      <c r="H82" s="122"/>
      <c r="I82" s="13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206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</row>
    <row r="83">
      <c r="A83" s="208" t="s">
        <v>215</v>
      </c>
      <c r="B83" s="208" t="s">
        <v>216</v>
      </c>
      <c r="C83" s="122"/>
      <c r="D83" s="122"/>
      <c r="E83" s="122"/>
      <c r="F83" s="122"/>
      <c r="G83" s="122"/>
      <c r="H83" s="122"/>
      <c r="I83" s="13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206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</row>
    <row r="84">
      <c r="A84" s="208" t="s">
        <v>337</v>
      </c>
      <c r="B84" s="208" t="s">
        <v>225</v>
      </c>
      <c r="C84" s="209"/>
      <c r="D84" s="209"/>
      <c r="E84" s="210"/>
      <c r="F84" s="210"/>
      <c r="G84" s="230"/>
      <c r="H84" s="209"/>
      <c r="I84" s="306"/>
      <c r="J84" s="232"/>
      <c r="K84" s="23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206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</row>
    <row r="85">
      <c r="A85" s="208" t="s">
        <v>210</v>
      </c>
      <c r="B85" s="208" t="s">
        <v>157</v>
      </c>
      <c r="C85" s="209"/>
      <c r="D85" s="209"/>
      <c r="E85" s="210"/>
      <c r="F85" s="210"/>
      <c r="G85" s="230"/>
      <c r="H85" s="209"/>
      <c r="I85" s="306"/>
      <c r="J85" s="232"/>
      <c r="K85" s="23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206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</row>
    <row r="86">
      <c r="A86" s="204" t="s">
        <v>223</v>
      </c>
      <c r="B86" s="204" t="s">
        <v>123</v>
      </c>
      <c r="C86" s="209"/>
      <c r="D86" s="209"/>
      <c r="E86" s="210"/>
      <c r="F86" s="210"/>
      <c r="G86" s="230"/>
      <c r="H86" s="209"/>
      <c r="I86" s="306"/>
      <c r="J86" s="232"/>
      <c r="K86" s="232"/>
      <c r="L86" s="204"/>
      <c r="M86" s="122"/>
      <c r="N86" s="122"/>
      <c r="O86" s="122"/>
      <c r="P86" s="122"/>
      <c r="Q86" s="98"/>
      <c r="R86" s="122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P86" s="204"/>
    </row>
    <row r="87">
      <c r="A87" s="204" t="s">
        <v>132</v>
      </c>
      <c r="B87" s="204" t="s">
        <v>131</v>
      </c>
      <c r="C87" s="209"/>
      <c r="D87" s="209"/>
      <c r="E87" s="210"/>
      <c r="F87" s="210"/>
      <c r="G87" s="230"/>
      <c r="H87" s="209"/>
      <c r="I87" s="306"/>
      <c r="J87" s="232"/>
      <c r="K87" s="232"/>
      <c r="L87" s="204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206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</row>
    <row r="88">
      <c r="A88" s="204" t="s">
        <v>451</v>
      </c>
      <c r="B88" s="204" t="s">
        <v>452</v>
      </c>
      <c r="C88" s="209"/>
      <c r="D88" s="209"/>
      <c r="E88" s="210"/>
      <c r="F88" s="210"/>
      <c r="G88" s="230"/>
      <c r="H88" s="209"/>
      <c r="I88" s="306"/>
      <c r="J88" s="232"/>
      <c r="K88" s="232"/>
      <c r="L88" s="122"/>
      <c r="M88" s="122"/>
      <c r="N88" s="122"/>
      <c r="O88" s="122"/>
      <c r="P88" s="98"/>
      <c r="Q88" s="122"/>
      <c r="R88" s="122"/>
      <c r="S88" s="122"/>
      <c r="T88" s="122"/>
      <c r="U88" s="122"/>
      <c r="V88" s="122"/>
      <c r="W88" s="122"/>
      <c r="X88" s="122"/>
      <c r="Y88" s="206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</row>
    <row r="89">
      <c r="A89" s="204" t="s">
        <v>221</v>
      </c>
      <c r="B89" s="204" t="s">
        <v>176</v>
      </c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122"/>
      <c r="S89" s="122"/>
      <c r="T89" s="122"/>
      <c r="U89" s="122"/>
      <c r="V89" s="122"/>
      <c r="W89" s="122"/>
      <c r="X89" s="206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</row>
    <row r="90">
      <c r="A90" s="208" t="s">
        <v>307</v>
      </c>
      <c r="B90" s="208" t="s">
        <v>113</v>
      </c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122"/>
      <c r="S90" s="122"/>
      <c r="T90" s="122"/>
      <c r="U90" s="122"/>
      <c r="V90" s="122"/>
      <c r="W90" s="122"/>
      <c r="X90" s="206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122"/>
      <c r="S91" s="122"/>
      <c r="T91" s="122"/>
      <c r="U91" s="122"/>
      <c r="V91" s="122"/>
      <c r="W91" s="122"/>
      <c r="X91" s="206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122"/>
      <c r="S92" s="122"/>
      <c r="T92" s="122"/>
      <c r="U92" s="122"/>
      <c r="V92" s="122"/>
      <c r="W92" s="122"/>
      <c r="X92" s="206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122"/>
      <c r="S93" s="122"/>
      <c r="T93" s="122"/>
      <c r="U93" s="122"/>
      <c r="V93" s="122"/>
      <c r="W93" s="122"/>
      <c r="X93" s="206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122"/>
      <c r="S94" s="122"/>
      <c r="T94" s="122"/>
      <c r="U94" s="122"/>
      <c r="V94" s="122"/>
      <c r="W94" s="122"/>
      <c r="X94" s="206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122"/>
      <c r="S95" s="122"/>
      <c r="T95" s="122"/>
      <c r="U95" s="122"/>
      <c r="V95" s="122"/>
      <c r="W95" s="122"/>
      <c r="X95" s="206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122"/>
      <c r="S96" s="122"/>
      <c r="T96" s="122"/>
      <c r="U96" s="122"/>
      <c r="V96" s="122"/>
      <c r="W96" s="122"/>
      <c r="X96" s="206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122"/>
      <c r="S97" s="122"/>
      <c r="T97" s="122"/>
      <c r="U97" s="122"/>
      <c r="V97" s="122"/>
      <c r="W97" s="122"/>
      <c r="X97" s="206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122"/>
      <c r="S98" s="122"/>
      <c r="T98" s="122"/>
      <c r="U98" s="122"/>
      <c r="V98" s="122"/>
      <c r="W98" s="122"/>
      <c r="X98" s="206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122"/>
      <c r="S99" s="122"/>
      <c r="T99" s="122"/>
      <c r="U99" s="122"/>
      <c r="V99" s="122"/>
      <c r="W99" s="122"/>
      <c r="X99" s="206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122"/>
      <c r="S100" s="122"/>
      <c r="T100" s="122"/>
      <c r="U100" s="122"/>
      <c r="V100" s="122"/>
      <c r="W100" s="122"/>
      <c r="X100" s="206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122"/>
      <c r="S101" s="122"/>
      <c r="T101" s="122"/>
      <c r="U101" s="122"/>
      <c r="V101" s="122"/>
      <c r="W101" s="122"/>
      <c r="X101" s="206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</row>
  </sheetData>
  <conditionalFormatting sqref="I2:P31">
    <cfRule type="containsBlanks" dxfId="0" priority="1">
      <formula>LEN(TRIM(I2))=0</formula>
    </cfRule>
  </conditionalFormatting>
  <conditionalFormatting sqref="I2:P31">
    <cfRule type="notContainsText" dxfId="1" priority="2" operator="notContains" text="(">
      <formula>ISERROR(SEARCH(("("),(I2)))</formula>
    </cfRule>
  </conditionalFormatting>
  <conditionalFormatting sqref="I2:P31">
    <cfRule type="containsText" dxfId="2" priority="3" operator="containsText" text="(">
      <formula>NOT(ISERROR(SEARCH(("("),(I2))))</formula>
    </cfRule>
  </conditionalFormatting>
  <conditionalFormatting sqref="F2:F31">
    <cfRule type="notContainsText" dxfId="3" priority="4" operator="notContains" text="14.00">
      <formula>ISERROR(SEARCH(("14.00"),(F2)))</formula>
    </cfRule>
  </conditionalFormatting>
  <conditionalFormatting sqref="C33">
    <cfRule type="notContainsBlanks" dxfId="10" priority="5">
      <formula>LEN(TRIM(C33))&gt;0</formula>
    </cfRule>
  </conditionalFormatting>
  <printOptions gridLines="1" horizontalCentered="1"/>
  <pageMargins bottom="0.75" footer="0.0" header="0.0" left="0.7" right="0.7" top="0.75"/>
  <pageSetup paperSize="9" scale="7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6.75"/>
    <col customWidth="1" min="2" max="2" width="21.0"/>
    <col customWidth="1" min="3" max="3" width="12.5"/>
    <col customWidth="1" min="4" max="5" width="9.88"/>
    <col customWidth="1" min="6" max="6" width="14.25"/>
    <col customWidth="1" min="7" max="8" width="8.63"/>
    <col customWidth="1" min="9" max="9" width="10.63"/>
    <col customWidth="1" min="10" max="10" width="9.63"/>
    <col customWidth="1" min="11" max="11" width="6.75"/>
    <col customWidth="1" min="12" max="12" width="9.13"/>
    <col customWidth="1" min="13" max="13" width="16.63"/>
    <col customWidth="1" min="14" max="14" width="7.25"/>
    <col customWidth="1" min="15" max="15" width="9.88"/>
    <col customWidth="1" min="16" max="16" width="21.38"/>
    <col customWidth="1" min="17" max="17" width="16.0"/>
  </cols>
  <sheetData>
    <row r="1">
      <c r="A1" s="1"/>
      <c r="B1" s="1"/>
      <c r="C1" s="3"/>
      <c r="D1" s="3"/>
      <c r="E1" s="3"/>
      <c r="F1" s="3"/>
      <c r="G1" s="1"/>
      <c r="H1" s="1"/>
      <c r="I1" s="3"/>
      <c r="J1" s="3"/>
      <c r="K1" s="3"/>
      <c r="L1" s="1"/>
      <c r="M1" s="1"/>
      <c r="N1" s="9" t="s">
        <v>8</v>
      </c>
      <c r="R1" s="10"/>
      <c r="S1" s="1"/>
      <c r="T1" s="11"/>
      <c r="U1" s="11"/>
      <c r="V1" s="11"/>
    </row>
    <row r="2">
      <c r="A2" s="1" t="s">
        <v>29</v>
      </c>
      <c r="B2" s="1" t="s">
        <v>30</v>
      </c>
      <c r="C2" s="3" t="s">
        <v>31</v>
      </c>
      <c r="D2" s="3" t="s">
        <v>32</v>
      </c>
      <c r="E2" s="3" t="s">
        <v>34</v>
      </c>
      <c r="F2" s="3" t="s">
        <v>36</v>
      </c>
      <c r="G2" s="1" t="s">
        <v>37</v>
      </c>
      <c r="H2" s="1" t="s">
        <v>39</v>
      </c>
      <c r="I2" s="3" t="s">
        <v>40</v>
      </c>
      <c r="J2" s="3" t="s">
        <v>42</v>
      </c>
      <c r="K2" s="3" t="s">
        <v>44</v>
      </c>
      <c r="L2" s="1" t="s">
        <v>46</v>
      </c>
      <c r="M2" s="14" t="s">
        <v>48</v>
      </c>
      <c r="N2" s="15" t="s">
        <v>52</v>
      </c>
      <c r="O2" s="17" t="s">
        <v>54</v>
      </c>
      <c r="P2" s="17" t="s">
        <v>55</v>
      </c>
      <c r="Q2" s="17" t="s">
        <v>56</v>
      </c>
      <c r="R2" s="10"/>
      <c r="S2" s="1"/>
      <c r="T2" s="11"/>
      <c r="U2" s="11"/>
      <c r="V2" s="11"/>
    </row>
    <row r="3">
      <c r="A3" s="1" t="s">
        <v>64</v>
      </c>
      <c r="B3" s="1" t="s">
        <v>66</v>
      </c>
      <c r="C3" s="3" t="s">
        <v>67</v>
      </c>
      <c r="D3" s="3"/>
      <c r="E3" s="3" t="s">
        <v>13</v>
      </c>
      <c r="F3" s="3"/>
      <c r="G3" s="24" t="s">
        <v>67</v>
      </c>
      <c r="I3" s="3" t="s">
        <v>73</v>
      </c>
      <c r="J3" s="3" t="s">
        <v>74</v>
      </c>
      <c r="K3" s="3"/>
      <c r="M3" s="26" t="s">
        <v>76</v>
      </c>
      <c r="N3" s="32">
        <f>CountIF('Plan - NL'!$I$8:$P$31,$A3)</f>
        <v>4</v>
      </c>
      <c r="O3" s="32">
        <f>COUNTIFS('Plan - NL'!$M$8:$M$31,$A3)</f>
        <v>3</v>
      </c>
      <c r="P3" s="32">
        <f>COUNTIFS('Plan - NL'!$N$8:$O$31,$A3)</f>
        <v>1</v>
      </c>
      <c r="Q3" s="32">
        <f>COUNTIFS('Plan - NL'!$I$8:$L$31,$A3)+COUNTIFS('Plan - NL'!$P$8:$P$31,$A3)</f>
        <v>0</v>
      </c>
      <c r="R3" s="32"/>
      <c r="S3" s="11"/>
      <c r="T3" s="11"/>
      <c r="U3" s="11"/>
      <c r="V3" s="11"/>
    </row>
    <row r="4">
      <c r="A4" s="1" t="s">
        <v>85</v>
      </c>
      <c r="B4" s="3" t="s">
        <v>87</v>
      </c>
      <c r="C4" s="3" t="s">
        <v>67</v>
      </c>
      <c r="D4" s="3" t="s">
        <v>89</v>
      </c>
      <c r="E4" s="3" t="s">
        <v>13</v>
      </c>
      <c r="F4" s="3" t="s">
        <v>90</v>
      </c>
      <c r="G4" s="24" t="s">
        <v>92</v>
      </c>
      <c r="H4" s="1">
        <v>6406.0</v>
      </c>
      <c r="I4" s="3" t="s">
        <v>73</v>
      </c>
      <c r="J4" s="3" t="s">
        <v>74</v>
      </c>
      <c r="K4" s="3"/>
      <c r="L4" s="3">
        <v>2.871107E7</v>
      </c>
      <c r="M4" s="67" t="s">
        <v>93</v>
      </c>
      <c r="N4" s="32">
        <f>CountIF('Plan - NL'!$I$8:$P$31,$A4)</f>
        <v>6</v>
      </c>
      <c r="O4" s="32">
        <f>COUNTIFS('Plan - NL'!$N$8:$N$31,$A4)</f>
        <v>0</v>
      </c>
      <c r="P4" s="32">
        <f>COUNTIFS('Plan - NL'!$M$8:$M$31,$A4) + COUNTIFS('Plan - NL'!$O$8:$O$31,$A4)</f>
        <v>5</v>
      </c>
      <c r="Q4" s="32">
        <f>COUNTIFS('Plan - NL'!$I$8:$L$31,$A4)+COUNTIFS('Plan - NL'!$P$8:$P$31,$A4)</f>
        <v>1</v>
      </c>
      <c r="R4" s="32"/>
      <c r="S4" s="11"/>
      <c r="T4" s="11"/>
      <c r="U4" s="11"/>
      <c r="V4" s="11"/>
    </row>
    <row r="5">
      <c r="A5" s="3" t="s">
        <v>113</v>
      </c>
      <c r="B5" s="3" t="s">
        <v>114</v>
      </c>
      <c r="C5" s="3" t="s">
        <v>115</v>
      </c>
      <c r="D5" s="3" t="s">
        <v>62</v>
      </c>
      <c r="E5" s="3" t="s">
        <v>13</v>
      </c>
      <c r="F5" s="3" t="s">
        <v>116</v>
      </c>
      <c r="G5" s="3" t="s">
        <v>67</v>
      </c>
      <c r="I5" s="3" t="s">
        <v>63</v>
      </c>
      <c r="J5" s="3" t="s">
        <v>117</v>
      </c>
      <c r="M5" s="21"/>
      <c r="N5" s="32">
        <f>CountIF('Plan - NL'!$I$8:$P$31,$A5)</f>
        <v>0</v>
      </c>
      <c r="O5" s="32">
        <f>COUNTIFS('Plan - NL'!$M$8:$M$31,$A5)</f>
        <v>0</v>
      </c>
      <c r="P5" s="32">
        <f>COUNTIFS('Plan - NL'!$N$8:$O$31,$A5)</f>
        <v>0</v>
      </c>
      <c r="Q5" s="32">
        <f>COUNTIFS('Plan - NL'!$I$8:$L$31,$A5)+COUNTIFS('Plan - NL'!$P$8:$P$31,$A5)</f>
        <v>0</v>
      </c>
      <c r="R5" s="32"/>
      <c r="S5" s="11"/>
      <c r="T5" s="11"/>
      <c r="U5" s="11"/>
      <c r="V5" s="11"/>
    </row>
    <row r="6">
      <c r="A6" s="1" t="s">
        <v>123</v>
      </c>
      <c r="B6" s="1" t="s">
        <v>124</v>
      </c>
      <c r="C6" s="3" t="s">
        <v>125</v>
      </c>
      <c r="D6" s="3" t="s">
        <v>62</v>
      </c>
      <c r="E6" s="3" t="s">
        <v>15</v>
      </c>
      <c r="F6" s="3" t="s">
        <v>13</v>
      </c>
      <c r="G6" s="3" t="s">
        <v>67</v>
      </c>
      <c r="H6" s="1">
        <v>3539.0</v>
      </c>
      <c r="I6" s="3" t="s">
        <v>63</v>
      </c>
      <c r="J6" s="3" t="s">
        <v>74</v>
      </c>
      <c r="K6" s="3"/>
      <c r="L6" s="1">
        <v>4.1817432E7</v>
      </c>
      <c r="M6" s="67" t="s">
        <v>127</v>
      </c>
      <c r="N6" s="32">
        <f>CountIF('Plan - NL'!$I$8:$P$31,$A6)</f>
        <v>0</v>
      </c>
      <c r="O6" s="32">
        <f>COUNTIFS('Plan - NL'!$O$8:$O$31,$A6)</f>
        <v>0</v>
      </c>
      <c r="P6" s="32">
        <f>COUNTIFS('Plan - NL'!$M$8:$N$31,$A6)</f>
        <v>0</v>
      </c>
      <c r="Q6" s="32">
        <f>COUNTIFS('Plan - NL'!$I$8:$L$31,$A6)+COUNTIFS('Plan - NL'!$P$8:$P$31,$A6)</f>
        <v>0</v>
      </c>
      <c r="R6" s="32"/>
      <c r="S6" s="11"/>
      <c r="T6" s="11"/>
      <c r="U6" s="11"/>
      <c r="V6" s="11"/>
    </row>
    <row r="7">
      <c r="A7" s="1" t="s">
        <v>131</v>
      </c>
      <c r="B7" s="1" t="s">
        <v>132</v>
      </c>
      <c r="C7" s="3" t="s">
        <v>133</v>
      </c>
      <c r="D7" s="3" t="s">
        <v>62</v>
      </c>
      <c r="E7" s="3" t="s">
        <v>13</v>
      </c>
      <c r="F7" s="3"/>
      <c r="G7" s="1" t="s">
        <v>16</v>
      </c>
      <c r="I7" s="3" t="s">
        <v>73</v>
      </c>
      <c r="J7" s="3" t="s">
        <v>74</v>
      </c>
      <c r="K7" s="3"/>
      <c r="L7" s="1">
        <v>3.0481382E7</v>
      </c>
      <c r="M7" s="67" t="s">
        <v>134</v>
      </c>
      <c r="N7" s="32">
        <f>CountIF('Plan - NL'!$I$8:$P$31,$A7)</f>
        <v>0</v>
      </c>
      <c r="O7" s="32">
        <f>COUNTIFS('Plan - NL'!$M$8:$M$31,$A7)</f>
        <v>0</v>
      </c>
      <c r="P7" s="32">
        <f>COUNTIFS('Plan - NL'!$N$8:$O$31,$A7)</f>
        <v>0</v>
      </c>
      <c r="Q7" s="32">
        <f>COUNTIFS('Plan - NL'!$I$8:$L$31,$A7)+COUNTIFS('Plan - NL'!$P$8:$P$31,$A7)</f>
        <v>0</v>
      </c>
      <c r="R7" s="32"/>
      <c r="S7" s="11"/>
      <c r="T7" s="11"/>
      <c r="U7" s="11"/>
      <c r="V7" s="11"/>
    </row>
    <row r="8">
      <c r="A8" s="1" t="s">
        <v>98</v>
      </c>
      <c r="B8" s="1" t="s">
        <v>141</v>
      </c>
      <c r="C8" s="3" t="s">
        <v>67</v>
      </c>
      <c r="D8" s="3" t="s">
        <v>89</v>
      </c>
      <c r="E8" s="3" t="s">
        <v>14</v>
      </c>
      <c r="F8" s="3" t="s">
        <v>142</v>
      </c>
      <c r="G8" s="24" t="s">
        <v>67</v>
      </c>
      <c r="H8" s="1">
        <v>711.0</v>
      </c>
      <c r="I8" s="3" t="s">
        <v>73</v>
      </c>
      <c r="J8" s="3" t="s">
        <v>74</v>
      </c>
      <c r="K8" s="3"/>
      <c r="L8" s="1">
        <v>4.0824426E7</v>
      </c>
      <c r="M8" s="67" t="s">
        <v>143</v>
      </c>
      <c r="N8" s="32">
        <f>CountIF('Plan - NL'!$I$8:$P$31,$A8)</f>
        <v>9</v>
      </c>
      <c r="O8" s="32">
        <f>COUNTIFS('Plan - NL'!$N$8:$N$31,$A8)</f>
        <v>5</v>
      </c>
      <c r="P8" s="32">
        <f>COUNTIFS('Plan - NL'!$M$8:$M$31,$A8) + COUNTIFS('Plan - NL'!$O$8:$O$31,$A8)</f>
        <v>3</v>
      </c>
      <c r="Q8" s="32">
        <f>COUNTIFS('Plan - NL'!$I$8:$L$31,$A8)+COUNTIFS('Plan - NL'!$P$8:$P$31,$A8)</f>
        <v>1</v>
      </c>
      <c r="R8" s="32"/>
      <c r="S8" s="11"/>
      <c r="T8" s="11"/>
      <c r="U8" s="11"/>
      <c r="V8" s="11"/>
    </row>
    <row r="9">
      <c r="A9" s="1" t="s">
        <v>69</v>
      </c>
      <c r="B9" s="1" t="s">
        <v>151</v>
      </c>
      <c r="C9" s="3" t="s">
        <v>152</v>
      </c>
      <c r="D9" s="3" t="s">
        <v>89</v>
      </c>
      <c r="E9" s="3" t="s">
        <v>13</v>
      </c>
      <c r="F9" s="3"/>
      <c r="G9" s="1" t="s">
        <v>92</v>
      </c>
      <c r="H9" s="1">
        <v>5.0</v>
      </c>
      <c r="I9" s="3" t="s">
        <v>73</v>
      </c>
      <c r="J9" s="3" t="s">
        <v>74</v>
      </c>
      <c r="K9" s="3"/>
      <c r="L9" s="1">
        <v>6.060724E7</v>
      </c>
      <c r="M9" s="67" t="s">
        <v>153</v>
      </c>
      <c r="N9" s="32">
        <f>CountIF('Plan - NL'!$I$8:$P$31,$A9)</f>
        <v>1</v>
      </c>
      <c r="O9" s="32">
        <f>COUNTIFS('Plan - NL'!$M$8:$M$31,$A9)</f>
        <v>0</v>
      </c>
      <c r="P9" s="32">
        <f>COUNTIFS('Plan - NL'!$N$8:$O$31,$A9)</f>
        <v>0</v>
      </c>
      <c r="Q9" s="32">
        <f>COUNTIFS('Plan - NL'!$I$8:$L$31,$A9)+COUNTIFS('Plan - NL'!$P$8:$P$31,$A9)</f>
        <v>1</v>
      </c>
      <c r="R9" s="11"/>
      <c r="S9" s="11"/>
      <c r="T9" s="11"/>
      <c r="U9" s="11"/>
      <c r="V9" s="11"/>
    </row>
    <row r="10">
      <c r="A10" s="1" t="s">
        <v>81</v>
      </c>
      <c r="B10" s="1" t="s">
        <v>164</v>
      </c>
      <c r="C10" s="3" t="s">
        <v>67</v>
      </c>
      <c r="D10" s="3" t="s">
        <v>89</v>
      </c>
      <c r="E10" s="3" t="s">
        <v>14</v>
      </c>
      <c r="F10" s="3" t="s">
        <v>15</v>
      </c>
      <c r="G10" s="119" t="s">
        <v>92</v>
      </c>
      <c r="H10" s="1">
        <v>3274.0</v>
      </c>
      <c r="I10" s="3" t="s">
        <v>63</v>
      </c>
      <c r="J10" s="3" t="s">
        <v>74</v>
      </c>
      <c r="K10" s="3"/>
      <c r="L10" s="1">
        <v>2.3255155E7</v>
      </c>
      <c r="M10" s="67" t="s">
        <v>168</v>
      </c>
      <c r="N10" s="32">
        <f>CountIF('Plan - NL'!$I$8:$P$31,$A10)</f>
        <v>10</v>
      </c>
      <c r="O10" s="32">
        <f>COUNTIFS('Plan - NL'!$N$8:$N$31,$A10)</f>
        <v>9</v>
      </c>
      <c r="P10" s="32">
        <f>COUNTIFS('Plan - NL'!$M$8:$M$31,$A10) + COUNTIFS('Plan - NL'!$O$8:$O$31,$A10)</f>
        <v>1</v>
      </c>
      <c r="Q10" s="32">
        <f>COUNTIFS('Plan - NL'!$I$8:$L$31,$A10)+COUNTIFS('Plan - NL'!$P$8:$P$31,$A10)</f>
        <v>0</v>
      </c>
      <c r="R10" s="32"/>
      <c r="S10" s="11"/>
      <c r="T10" s="11"/>
      <c r="U10" s="11"/>
      <c r="V10" s="11"/>
    </row>
    <row r="11">
      <c r="A11" s="1" t="s">
        <v>110</v>
      </c>
      <c r="B11" s="1" t="s">
        <v>185</v>
      </c>
      <c r="C11" s="3" t="s">
        <v>67</v>
      </c>
      <c r="D11" s="3" t="s">
        <v>89</v>
      </c>
      <c r="E11" s="3" t="s">
        <v>214</v>
      </c>
      <c r="F11" s="3" t="s">
        <v>12</v>
      </c>
      <c r="G11" s="24" t="s">
        <v>92</v>
      </c>
      <c r="H11" s="1">
        <v>2269.0</v>
      </c>
      <c r="I11" s="3" t="s">
        <v>73</v>
      </c>
      <c r="J11" s="3" t="s">
        <v>74</v>
      </c>
      <c r="K11" s="3"/>
      <c r="L11" s="1">
        <v>2.2754529E7</v>
      </c>
      <c r="M11" s="67" t="s">
        <v>217</v>
      </c>
      <c r="N11" s="32">
        <f>CountIF('Plan - NL'!$I$8:$P$31,$A11)</f>
        <v>8</v>
      </c>
      <c r="O11" s="32">
        <f>COUNTIFS('Plan - NL'!$N$8:$N$31,$A11)</f>
        <v>6</v>
      </c>
      <c r="P11" s="32">
        <f>COUNTIFS('Plan - NL'!$M$8:$M$31,$A11) + COUNTIFS('Plan - NL'!$O$8:$O$31,$A11)</f>
        <v>2</v>
      </c>
      <c r="Q11" s="32">
        <f>COUNTIFS('Plan - NL'!$I$8:$L$31,$A11)+COUNTIFS('Plan - NL'!$P$8:$P$31,$A11)</f>
        <v>0</v>
      </c>
      <c r="R11" s="32"/>
      <c r="S11" s="11"/>
      <c r="T11" s="11"/>
      <c r="U11" s="11"/>
      <c r="V11" s="11"/>
    </row>
    <row r="12">
      <c r="A12" s="1" t="s">
        <v>72</v>
      </c>
      <c r="B12" s="1" t="s">
        <v>218</v>
      </c>
      <c r="C12" s="3" t="s">
        <v>67</v>
      </c>
      <c r="D12" s="3" t="s">
        <v>62</v>
      </c>
      <c r="E12" s="3" t="s">
        <v>236</v>
      </c>
      <c r="F12" s="3" t="s">
        <v>237</v>
      </c>
      <c r="G12" s="24" t="s">
        <v>67</v>
      </c>
      <c r="H12" s="1">
        <v>628.0</v>
      </c>
      <c r="I12" s="3" t="s">
        <v>73</v>
      </c>
      <c r="J12" s="3" t="s">
        <v>74</v>
      </c>
      <c r="K12" s="3"/>
      <c r="L12" s="1">
        <v>2.6807765E7</v>
      </c>
      <c r="M12" s="67" t="s">
        <v>238</v>
      </c>
      <c r="N12" s="32">
        <f>CountIF('Plan - NL'!$I$8:$P$31,$A12)</f>
        <v>6</v>
      </c>
      <c r="O12" s="32">
        <f>COUNTIFS('Plan - NL'!$K$8:$K$31,$A12)</f>
        <v>6</v>
      </c>
      <c r="P12" s="32">
        <f>COUNTIFS('Plan - NL'!$L$8:$L$31,$A12)</f>
        <v>0</v>
      </c>
      <c r="Q12" s="32">
        <f>COUNTIFS('Plan - NL'!$I$8:$J$31,$A12)+COUNTIFS('Plan - NL'!$M$8:$P$31,$A12)</f>
        <v>0</v>
      </c>
      <c r="R12" s="32"/>
      <c r="S12" s="11"/>
      <c r="T12" s="11"/>
      <c r="U12" s="11"/>
      <c r="V12" s="11"/>
    </row>
    <row r="13">
      <c r="A13" s="1" t="s">
        <v>82</v>
      </c>
      <c r="B13" s="1" t="s">
        <v>211</v>
      </c>
      <c r="C13" s="3" t="s">
        <v>67</v>
      </c>
      <c r="D13" s="3" t="s">
        <v>89</v>
      </c>
      <c r="E13" s="3" t="s">
        <v>12</v>
      </c>
      <c r="F13" s="3" t="s">
        <v>239</v>
      </c>
      <c r="G13" s="24" t="s">
        <v>67</v>
      </c>
      <c r="H13" s="1">
        <v>16327.0</v>
      </c>
      <c r="I13" s="3" t="s">
        <v>63</v>
      </c>
      <c r="J13" s="3" t="s">
        <v>74</v>
      </c>
      <c r="K13" s="3"/>
      <c r="L13" s="1">
        <v>2.2614222E7</v>
      </c>
      <c r="M13" s="26" t="s">
        <v>241</v>
      </c>
      <c r="N13" s="32">
        <f>CountIF('Plan - NL'!$I$8:$P$31,$A13)</f>
        <v>6</v>
      </c>
      <c r="O13" s="32">
        <f>COUNTIFS('Plan - NL'!$L$8:$L$31,$A13)</f>
        <v>4</v>
      </c>
      <c r="P13" s="32">
        <f>COUNTIFS('Plan - NL'!$K$8:$K$31,$A13)</f>
        <v>2</v>
      </c>
      <c r="Q13" s="32">
        <f>COUNTIFS('Plan - NL'!$I$8:$J$31,$A13)+COUNTIFS('Plan - NL'!$M$8:$P$31,$A13)</f>
        <v>0</v>
      </c>
      <c r="R13" s="32"/>
      <c r="S13" s="11"/>
      <c r="T13" s="11"/>
      <c r="U13" s="11"/>
      <c r="V13" s="11"/>
    </row>
    <row r="14">
      <c r="A14" s="1" t="s">
        <v>157</v>
      </c>
      <c r="B14" s="1" t="s">
        <v>210</v>
      </c>
      <c r="C14" s="3" t="s">
        <v>67</v>
      </c>
      <c r="D14" s="3" t="s">
        <v>62</v>
      </c>
      <c r="E14" s="3" t="s">
        <v>12</v>
      </c>
      <c r="F14" s="3"/>
      <c r="G14" s="24" t="s">
        <v>67</v>
      </c>
      <c r="H14" s="1">
        <v>3536.0</v>
      </c>
      <c r="I14" s="3" t="s">
        <v>73</v>
      </c>
      <c r="J14" s="3" t="s">
        <v>74</v>
      </c>
      <c r="K14" s="3"/>
      <c r="L14" s="1">
        <v>5.3390568E7</v>
      </c>
      <c r="M14" s="67" t="s">
        <v>246</v>
      </c>
      <c r="N14" s="32">
        <f>CountIF('Plan - NL'!$I$8:$P$31,$A14)</f>
        <v>0</v>
      </c>
      <c r="O14" s="32">
        <f>COUNTIFS('Plan - NL'!$L$8:$L$31,$A14)</f>
        <v>0</v>
      </c>
      <c r="P14" s="32">
        <f>COUNTIFS('Plan - NL'!$K$8:$K$31,$A14)</f>
        <v>0</v>
      </c>
      <c r="Q14" s="32">
        <f>COUNTIFS('Plan - NL'!$I$8:$J$31,$A14)+COUNTIFS('Plan - NL'!$M$8:$P$31,$A14)</f>
        <v>0</v>
      </c>
      <c r="R14" s="11"/>
      <c r="S14" s="11"/>
      <c r="T14" s="11"/>
      <c r="U14" s="11"/>
      <c r="V14" s="11"/>
    </row>
    <row r="15">
      <c r="A15" s="3" t="s">
        <v>96</v>
      </c>
      <c r="B15" s="105" t="s">
        <v>260</v>
      </c>
      <c r="C15" s="3" t="s">
        <v>67</v>
      </c>
      <c r="D15" s="3" t="s">
        <v>89</v>
      </c>
      <c r="E15" s="3" t="s">
        <v>12</v>
      </c>
      <c r="G15" s="24" t="s">
        <v>67</v>
      </c>
      <c r="H15" s="133"/>
      <c r="M15" s="21"/>
      <c r="N15" s="128"/>
      <c r="O15" s="11"/>
      <c r="P15" s="11"/>
      <c r="Q15" s="11"/>
      <c r="R15" s="32"/>
      <c r="S15" s="11"/>
      <c r="T15" s="11"/>
      <c r="U15" s="11"/>
      <c r="V15" s="11"/>
    </row>
    <row r="16">
      <c r="A16" s="1" t="s">
        <v>176</v>
      </c>
      <c r="B16" s="1" t="s">
        <v>221</v>
      </c>
      <c r="C16" s="3" t="s">
        <v>152</v>
      </c>
      <c r="D16" s="3" t="s">
        <v>62</v>
      </c>
      <c r="E16" s="3" t="s">
        <v>15</v>
      </c>
      <c r="F16" s="3" t="s">
        <v>9</v>
      </c>
      <c r="G16" s="24" t="s">
        <v>67</v>
      </c>
      <c r="H16" s="1">
        <v>10257.0</v>
      </c>
      <c r="I16" s="3" t="s">
        <v>73</v>
      </c>
      <c r="J16" s="3" t="s">
        <v>74</v>
      </c>
      <c r="L16" s="1">
        <v>5.1844821E7</v>
      </c>
      <c r="M16" s="67" t="s">
        <v>264</v>
      </c>
      <c r="N16" s="32">
        <f>CountIF('Plan - NL'!$I$8:$P$31,$A16)</f>
        <v>0</v>
      </c>
      <c r="O16" s="32">
        <f>COUNTIFS('Plan - NL'!$O$8:$O$31,$A16)</f>
        <v>0</v>
      </c>
      <c r="P16" s="32">
        <f>COUNTIFS('Plan - NL'!$M$8:$N$31,$A16)</f>
        <v>0</v>
      </c>
      <c r="Q16" s="32">
        <f>COUNTIFS('Plan - NL'!$I$8:$L$31,$A16)+COUNTIFS('Plan - NL'!$P$8:$P$31,$A16)</f>
        <v>0</v>
      </c>
      <c r="R16" s="32"/>
      <c r="S16" s="11"/>
      <c r="T16" s="11"/>
      <c r="U16" s="11"/>
      <c r="V16" s="11"/>
    </row>
    <row r="17">
      <c r="A17" s="1" t="s">
        <v>103</v>
      </c>
      <c r="B17" s="1" t="s">
        <v>222</v>
      </c>
      <c r="C17" s="3" t="s">
        <v>67</v>
      </c>
      <c r="D17" s="3" t="s">
        <v>62</v>
      </c>
      <c r="E17" s="3" t="s">
        <v>267</v>
      </c>
      <c r="F17" s="3" t="s">
        <v>10</v>
      </c>
      <c r="G17" s="119" t="s">
        <v>92</v>
      </c>
      <c r="H17" s="1">
        <v>1133.0</v>
      </c>
      <c r="I17" s="3" t="s">
        <v>63</v>
      </c>
      <c r="J17" s="3" t="s">
        <v>74</v>
      </c>
      <c r="K17" s="3"/>
      <c r="L17" s="1">
        <v>2.987071E7</v>
      </c>
      <c r="M17" s="67" t="s">
        <v>268</v>
      </c>
      <c r="N17" s="32">
        <f>CountIF('Plan - NL'!$I$8:$P$31,$A17)</f>
        <v>4</v>
      </c>
      <c r="O17" s="32">
        <f>COUNTIFS('Plan - NL'!$L$8:$L$31,$A17)</f>
        <v>2</v>
      </c>
      <c r="P17" s="32">
        <f>COUNTIFS('Plan - NL'!$K$8:$K$31,$A17)</f>
        <v>2</v>
      </c>
      <c r="Q17" s="32">
        <f>COUNTIFS('Plan - NL'!$I$8:$J$31,$A17)+COUNTIFS('Plan - NL'!$M$8:$P$31,$A17)</f>
        <v>0</v>
      </c>
      <c r="R17" s="32"/>
      <c r="S17" s="11"/>
      <c r="T17" s="11"/>
      <c r="U17" s="11"/>
      <c r="V17" s="11"/>
    </row>
    <row r="18">
      <c r="A18" s="1" t="s">
        <v>95</v>
      </c>
      <c r="B18" s="1" t="s">
        <v>207</v>
      </c>
      <c r="C18" s="3" t="s">
        <v>67</v>
      </c>
      <c r="D18" s="3" t="s">
        <v>62</v>
      </c>
      <c r="E18" s="3" t="s">
        <v>9</v>
      </c>
      <c r="F18" s="3" t="s">
        <v>90</v>
      </c>
      <c r="G18" s="119" t="s">
        <v>92</v>
      </c>
      <c r="H18" s="1">
        <v>484.0</v>
      </c>
      <c r="I18" s="3" t="s">
        <v>73</v>
      </c>
      <c r="J18" s="3" t="s">
        <v>74</v>
      </c>
      <c r="K18" s="3"/>
      <c r="L18" s="1">
        <v>2.0342617E7</v>
      </c>
      <c r="M18" s="67" t="s">
        <v>272</v>
      </c>
      <c r="N18" s="32">
        <f>CountIF('Plan - NL'!$I$8:$P$31,$A18)</f>
        <v>8</v>
      </c>
      <c r="O18" s="32">
        <f>COUNTIFS('Plan - NL'!$I$8:$I$31,$A18)</f>
        <v>8</v>
      </c>
      <c r="P18" s="32">
        <f>COUNTIFS('Plan - NL'!$J$8:$J$31,$A18)</f>
        <v>0</v>
      </c>
      <c r="Q18" s="32">
        <f>COUNTIFS('Plan - NL'!$K$8:$P$31,$A18)</f>
        <v>0</v>
      </c>
      <c r="R18" s="11"/>
      <c r="S18" s="11"/>
      <c r="T18" s="11"/>
      <c r="U18" s="11"/>
      <c r="V18" s="11"/>
    </row>
    <row r="19">
      <c r="A19" s="3" t="s">
        <v>216</v>
      </c>
      <c r="B19" s="3" t="s">
        <v>215</v>
      </c>
      <c r="C19" s="3" t="s">
        <v>7</v>
      </c>
      <c r="D19" s="3" t="s">
        <v>62</v>
      </c>
      <c r="E19" s="3" t="s">
        <v>10</v>
      </c>
      <c r="F19" s="3" t="s">
        <v>13</v>
      </c>
      <c r="G19" s="24" t="s">
        <v>67</v>
      </c>
      <c r="H19" s="1">
        <v>9074.0</v>
      </c>
      <c r="I19" s="3" t="s">
        <v>63</v>
      </c>
      <c r="J19" s="3" t="s">
        <v>79</v>
      </c>
      <c r="L19" s="3">
        <v>5.1542401E7</v>
      </c>
      <c r="M19" s="67" t="s">
        <v>273</v>
      </c>
      <c r="N19" s="32">
        <f>CountIF('Plan - NL'!$I$8:$P$31,$A19)</f>
        <v>0</v>
      </c>
      <c r="O19" s="32">
        <f>COUNTIFS('Plan - NL'!$M$8:$M$31,$A19)</f>
        <v>0</v>
      </c>
      <c r="P19" s="32">
        <f>COUNTIFS('Plan - NL'!$N$8:$O$31,$A19)</f>
        <v>0</v>
      </c>
      <c r="Q19" s="32">
        <f>COUNTIFS('Plan - NL'!$I$8:$L$31,$A19)+COUNTIFS('Plan - NL'!$P$8:$P$31,$A19)</f>
        <v>0</v>
      </c>
      <c r="R19" s="32"/>
      <c r="S19" s="11"/>
      <c r="T19" s="11"/>
      <c r="U19" s="11"/>
      <c r="V19" s="11"/>
    </row>
    <row r="20">
      <c r="A20" s="1" t="s">
        <v>101</v>
      </c>
      <c r="B20" s="1" t="s">
        <v>220</v>
      </c>
      <c r="C20" s="3" t="s">
        <v>67</v>
      </c>
      <c r="D20" s="3" t="s">
        <v>89</v>
      </c>
      <c r="E20" s="3" t="s">
        <v>9</v>
      </c>
      <c r="F20" s="3" t="s">
        <v>15</v>
      </c>
      <c r="G20" s="24" t="s">
        <v>92</v>
      </c>
      <c r="H20" s="1">
        <v>7255.0</v>
      </c>
      <c r="I20" s="3" t="s">
        <v>63</v>
      </c>
      <c r="J20" s="3" t="s">
        <v>74</v>
      </c>
      <c r="K20" s="3"/>
      <c r="L20" s="1">
        <v>6.0507214E7</v>
      </c>
      <c r="M20" s="67" t="s">
        <v>277</v>
      </c>
      <c r="N20" s="32">
        <f>CountIF('Plan - NL'!$I$8:$P$31,$A20)</f>
        <v>7</v>
      </c>
      <c r="O20" s="32">
        <f>COUNTIFS('Plan - NL'!$I$8:$I$31,$A20)</f>
        <v>6</v>
      </c>
      <c r="P20" s="32">
        <f>COUNTIFS('Plan - NL'!$J$8:$J$31,$A20)</f>
        <v>0</v>
      </c>
      <c r="Q20" s="32">
        <f>COUNTIFS('Plan - NL'!$K$8:$P$31,$A20)</f>
        <v>1</v>
      </c>
      <c r="R20" s="32"/>
      <c r="S20" s="11"/>
      <c r="T20" s="11"/>
      <c r="U20" s="11"/>
      <c r="V20" s="11"/>
    </row>
    <row r="21">
      <c r="A21" s="1" t="s">
        <v>225</v>
      </c>
      <c r="B21" s="1" t="s">
        <v>279</v>
      </c>
      <c r="C21" s="3" t="s">
        <v>150</v>
      </c>
      <c r="D21" s="3" t="s">
        <v>62</v>
      </c>
      <c r="E21" s="3" t="s">
        <v>120</v>
      </c>
      <c r="F21" s="3" t="s">
        <v>12</v>
      </c>
      <c r="G21" s="182"/>
      <c r="H21" s="1">
        <v>10624.0</v>
      </c>
      <c r="I21" s="3" t="s">
        <v>73</v>
      </c>
      <c r="J21" s="3" t="s">
        <v>74</v>
      </c>
      <c r="L21" s="1">
        <v>5.1501389E7</v>
      </c>
      <c r="M21" s="26" t="s">
        <v>280</v>
      </c>
      <c r="N21" s="32">
        <f>CountIF('Plan - NL'!$I$8:$P$31,$A21)</f>
        <v>0</v>
      </c>
      <c r="O21" s="32">
        <f>COUNTIFS('Plan - NL'!$K$8:$K$31,$A21)</f>
        <v>0</v>
      </c>
      <c r="P21" s="32">
        <f>COUNTIFS('Plan - NL'!$L$8:$L$31,$A21)</f>
        <v>0</v>
      </c>
      <c r="Q21" s="32">
        <f>COUNTIFS('Plan - NL'!$I$8:$J$31,$A21)+COUNTIFS('Plan - NL'!$M$8:$P$31,$A21)</f>
        <v>0</v>
      </c>
      <c r="R21" s="32"/>
      <c r="S21" s="11"/>
      <c r="T21" s="11"/>
      <c r="U21" s="11"/>
      <c r="V21" s="11"/>
    </row>
    <row r="22">
      <c r="A22" s="1" t="s">
        <v>105</v>
      </c>
      <c r="B22" s="1" t="s">
        <v>229</v>
      </c>
      <c r="C22" s="3" t="s">
        <v>281</v>
      </c>
      <c r="D22" s="3" t="s">
        <v>89</v>
      </c>
      <c r="E22" s="3" t="s">
        <v>13</v>
      </c>
      <c r="F22" s="3" t="s">
        <v>214</v>
      </c>
      <c r="G22" s="24" t="s">
        <v>67</v>
      </c>
      <c r="H22" s="1">
        <v>9063.0</v>
      </c>
      <c r="I22" s="3" t="s">
        <v>63</v>
      </c>
      <c r="J22" s="3" t="s">
        <v>79</v>
      </c>
      <c r="K22" s="3"/>
      <c r="M22" s="231" t="s">
        <v>282</v>
      </c>
      <c r="N22" s="32">
        <f>CountIF('Plan - NL'!$I$8:$P$31,$A22)</f>
        <v>5</v>
      </c>
      <c r="O22" s="32">
        <f>COUNTIFS('Plan - NL'!$O$8:$O$31,$A22)</f>
        <v>5</v>
      </c>
      <c r="P22" s="32">
        <f>COUNTIFS('Plan - NL'!$M$8:$N$31,$A22)</f>
        <v>0</v>
      </c>
      <c r="Q22" s="32">
        <f>COUNTIFS('Plan - NL'!$I$8:$L$31,$A22)+COUNTIFS('Plan - NL'!$P$8:$P$31,$A22)</f>
        <v>0</v>
      </c>
      <c r="R22" s="32"/>
      <c r="S22" s="11"/>
      <c r="T22" s="11"/>
      <c r="U22" s="11"/>
      <c r="V22" s="11"/>
    </row>
    <row r="23">
      <c r="A23" s="1" t="s">
        <v>148</v>
      </c>
      <c r="B23" s="1" t="s">
        <v>231</v>
      </c>
      <c r="C23" s="3" t="s">
        <v>152</v>
      </c>
      <c r="D23" s="3" t="s">
        <v>89</v>
      </c>
      <c r="E23" s="3" t="s">
        <v>236</v>
      </c>
      <c r="F23" s="3" t="s">
        <v>10</v>
      </c>
      <c r="G23" s="119" t="s">
        <v>92</v>
      </c>
      <c r="H23" s="1">
        <v>41.0</v>
      </c>
      <c r="I23" s="3" t="s">
        <v>73</v>
      </c>
      <c r="J23" s="3" t="s">
        <v>74</v>
      </c>
      <c r="K23" s="3"/>
      <c r="L23" s="1">
        <v>5.161845E7</v>
      </c>
      <c r="M23" s="99" t="s">
        <v>283</v>
      </c>
      <c r="N23" s="32">
        <f>CountIF('Plan - NL'!$I$8:$P$31,$A23)</f>
        <v>5</v>
      </c>
      <c r="O23" s="32">
        <f>COUNTIFS('Plan - NL'!$K$8:$K$31,$A23)</f>
        <v>3</v>
      </c>
      <c r="P23" s="32">
        <f>COUNTIFS('Plan - NL'!$L$8:$L$31,$A23)</f>
        <v>0</v>
      </c>
      <c r="Q23" s="32">
        <f>COUNTIFS('Plan - NL'!$I$8:$J$31,$A23)+COUNTIFS('Plan - NL'!$M$8:$P$31,$A23)</f>
        <v>2</v>
      </c>
      <c r="R23" s="32"/>
      <c r="S23" s="11"/>
      <c r="T23" s="11"/>
      <c r="U23" s="11"/>
      <c r="V23" s="11"/>
    </row>
    <row r="24">
      <c r="A24" s="1" t="s">
        <v>71</v>
      </c>
      <c r="B24" s="1" t="s">
        <v>232</v>
      </c>
      <c r="C24" s="3" t="s">
        <v>152</v>
      </c>
      <c r="D24" s="3" t="s">
        <v>89</v>
      </c>
      <c r="E24" s="3" t="s">
        <v>10</v>
      </c>
      <c r="F24" s="3"/>
      <c r="G24" s="24" t="s">
        <v>67</v>
      </c>
      <c r="I24" s="3" t="s">
        <v>73</v>
      </c>
      <c r="J24" s="3" t="s">
        <v>74</v>
      </c>
      <c r="K24" s="3"/>
      <c r="L24" s="1">
        <v>6.0677402E7</v>
      </c>
      <c r="M24" s="99" t="s">
        <v>284</v>
      </c>
      <c r="N24" s="32">
        <f>CountIF('Plan - NL'!$I$8:$P$31,$A24)</f>
        <v>2</v>
      </c>
      <c r="O24" s="32">
        <f>COUNTIFS('Plan - NL'!$J$8:$J$31,$A24)</f>
        <v>0</v>
      </c>
      <c r="P24" s="32">
        <f>COUNTIFS('Plan - NL'!$I$8:$I$31,$A24)</f>
        <v>0</v>
      </c>
      <c r="Q24" s="32">
        <f>COUNTIFS('Plan - NL'!$K$8:$P$31,$A24)</f>
        <v>2</v>
      </c>
      <c r="R24" s="32"/>
      <c r="S24" s="11"/>
      <c r="T24" s="11"/>
      <c r="U24" s="11"/>
      <c r="V24" s="11"/>
    </row>
    <row r="25">
      <c r="A25" s="3" t="s">
        <v>102</v>
      </c>
      <c r="B25" s="3" t="s">
        <v>195</v>
      </c>
      <c r="C25" s="3" t="s">
        <v>67</v>
      </c>
      <c r="D25" s="3" t="s">
        <v>62</v>
      </c>
      <c r="E25" s="3" t="s">
        <v>10</v>
      </c>
      <c r="F25" s="3" t="s">
        <v>9</v>
      </c>
      <c r="G25" s="24" t="s">
        <v>67</v>
      </c>
      <c r="I25" s="3" t="s">
        <v>63</v>
      </c>
      <c r="J25" s="3" t="s">
        <v>79</v>
      </c>
      <c r="N25" s="32">
        <f>CountIF('Plan - NL'!$I$8:$P$31,$A25)</f>
        <v>6</v>
      </c>
      <c r="O25" s="32">
        <f>COUNTIFS('Plan - NL'!$L$8:$L$31,$A25)</f>
        <v>0</v>
      </c>
      <c r="P25" s="32">
        <f>COUNTIFS('Plan - NL'!$K$8:$K$31,$A25)</f>
        <v>0</v>
      </c>
      <c r="Q25" s="32">
        <f>COUNTIFS('Plan - NL'!$I$8:$J$31,$A25)+COUNTIFS('Plan - NL'!$M$8:$P$31,$A25)</f>
        <v>6</v>
      </c>
      <c r="R25" s="11"/>
      <c r="S25" s="11"/>
      <c r="T25" s="11"/>
      <c r="U25" s="11"/>
      <c r="V25" s="11"/>
    </row>
    <row r="26">
      <c r="A26" s="3" t="s">
        <v>228</v>
      </c>
      <c r="B26" s="236" t="s">
        <v>227</v>
      </c>
      <c r="C26" s="3" t="s">
        <v>150</v>
      </c>
      <c r="G26" s="237"/>
      <c r="H26" s="133"/>
      <c r="N26" s="87"/>
      <c r="O26" s="11"/>
      <c r="P26" s="11"/>
      <c r="Q26" s="11"/>
      <c r="R26" s="11"/>
      <c r="S26" s="11"/>
      <c r="T26" s="11"/>
      <c r="U26" s="11"/>
      <c r="V26" s="11"/>
    </row>
    <row r="27">
      <c r="A27" s="3" t="s">
        <v>70</v>
      </c>
      <c r="B27" s="3" t="s">
        <v>286</v>
      </c>
      <c r="C27" s="3" t="s">
        <v>67</v>
      </c>
      <c r="D27" s="3" t="s">
        <v>89</v>
      </c>
      <c r="E27" s="3" t="s">
        <v>10</v>
      </c>
      <c r="G27" s="24" t="s">
        <v>67</v>
      </c>
      <c r="N27" s="128"/>
      <c r="O27" s="11"/>
      <c r="P27" s="11"/>
      <c r="Q27" s="11"/>
      <c r="R27" s="11"/>
      <c r="S27" s="11"/>
      <c r="T27" s="11"/>
      <c r="U27" s="11"/>
      <c r="V27" s="11"/>
    </row>
    <row r="28">
      <c r="A28" s="238" t="s">
        <v>99</v>
      </c>
      <c r="B28" s="105" t="s">
        <v>287</v>
      </c>
      <c r="C28" s="3" t="s">
        <v>288</v>
      </c>
      <c r="D28" s="3" t="s">
        <v>89</v>
      </c>
      <c r="G28" s="238" t="s">
        <v>16</v>
      </c>
      <c r="H28" s="133"/>
      <c r="N28" s="86"/>
      <c r="O28" s="11"/>
      <c r="P28" s="11"/>
      <c r="Q28" s="11"/>
      <c r="R28" s="11"/>
      <c r="S28" s="11"/>
      <c r="T28" s="11"/>
      <c r="U28" s="11"/>
      <c r="V28" s="11"/>
    </row>
    <row r="29">
      <c r="A29" s="3" t="s">
        <v>289</v>
      </c>
      <c r="B29" s="105" t="s">
        <v>290</v>
      </c>
      <c r="C29" s="3" t="s">
        <v>150</v>
      </c>
      <c r="D29" s="3"/>
      <c r="E29" s="3" t="s">
        <v>13</v>
      </c>
      <c r="G29" s="237"/>
      <c r="H29" s="133"/>
      <c r="N29" s="86"/>
      <c r="O29" s="11"/>
      <c r="P29" s="11"/>
      <c r="Q29" s="11"/>
      <c r="R29" s="11"/>
      <c r="S29" s="11"/>
      <c r="T29" s="11"/>
      <c r="U29" s="11"/>
      <c r="V29" s="11"/>
    </row>
    <row r="30">
      <c r="A30" s="3" t="s">
        <v>179</v>
      </c>
      <c r="B30" s="105" t="s">
        <v>291</v>
      </c>
      <c r="C30" s="3" t="s">
        <v>183</v>
      </c>
      <c r="D30" s="3" t="s">
        <v>62</v>
      </c>
      <c r="E30" s="3" t="s">
        <v>292</v>
      </c>
      <c r="G30" s="238" t="s">
        <v>16</v>
      </c>
      <c r="H30" s="133"/>
      <c r="N30" s="86"/>
      <c r="O30" s="11"/>
      <c r="P30" s="11"/>
      <c r="Q30" s="11"/>
      <c r="R30" s="11"/>
      <c r="S30" s="11"/>
      <c r="T30" s="11"/>
      <c r="U30" s="11"/>
      <c r="V30" s="11"/>
    </row>
    <row r="31">
      <c r="A31" s="238" t="s">
        <v>109</v>
      </c>
      <c r="B31" s="105" t="s">
        <v>293</v>
      </c>
      <c r="C31" s="3" t="s">
        <v>180</v>
      </c>
      <c r="D31" s="3" t="s">
        <v>89</v>
      </c>
      <c r="E31" s="3" t="s">
        <v>292</v>
      </c>
      <c r="G31" s="238" t="s">
        <v>16</v>
      </c>
      <c r="H31" s="133"/>
      <c r="N31" s="86"/>
      <c r="O31" s="11"/>
      <c r="P31" s="11"/>
      <c r="Q31" s="11"/>
      <c r="R31" s="11"/>
      <c r="S31" s="11"/>
      <c r="T31" s="11"/>
      <c r="U31" s="11"/>
      <c r="V31" s="11"/>
    </row>
    <row r="32">
      <c r="A32" s="238" t="s">
        <v>196</v>
      </c>
      <c r="B32" s="105" t="s">
        <v>294</v>
      </c>
      <c r="C32" s="3" t="s">
        <v>180</v>
      </c>
      <c r="D32" s="3" t="s">
        <v>89</v>
      </c>
      <c r="E32" s="3" t="s">
        <v>292</v>
      </c>
      <c r="G32" s="238" t="s">
        <v>16</v>
      </c>
      <c r="H32" s="133"/>
      <c r="N32" s="86"/>
      <c r="O32" s="11"/>
      <c r="P32" s="11"/>
      <c r="Q32" s="11"/>
      <c r="R32" s="11"/>
      <c r="S32" s="11"/>
      <c r="T32" s="11"/>
      <c r="U32" s="11"/>
      <c r="V32" s="11"/>
    </row>
    <row r="33">
      <c r="A33" s="238" t="s">
        <v>83</v>
      </c>
      <c r="B33" s="105" t="s">
        <v>295</v>
      </c>
      <c r="C33" s="3"/>
      <c r="D33" s="3" t="s">
        <v>62</v>
      </c>
      <c r="E33" s="3" t="s">
        <v>292</v>
      </c>
      <c r="G33" s="238" t="s">
        <v>16</v>
      </c>
      <c r="H33" s="133"/>
      <c r="N33" s="86"/>
      <c r="O33" s="11"/>
      <c r="P33" s="11"/>
      <c r="Q33" s="11"/>
      <c r="R33" s="11"/>
      <c r="S33" s="11"/>
      <c r="T33" s="11"/>
      <c r="U33" s="11"/>
      <c r="V33" s="11"/>
    </row>
    <row r="34">
      <c r="A34" s="238" t="s">
        <v>297</v>
      </c>
      <c r="B34" s="105" t="s">
        <v>298</v>
      </c>
      <c r="C34" s="3" t="s">
        <v>180</v>
      </c>
      <c r="D34" s="3" t="s">
        <v>62</v>
      </c>
      <c r="E34" s="3" t="s">
        <v>292</v>
      </c>
      <c r="G34" s="238"/>
      <c r="H34" s="133"/>
      <c r="N34" s="86"/>
      <c r="O34" s="11"/>
      <c r="P34" s="11"/>
      <c r="Q34" s="11"/>
      <c r="R34" s="11"/>
      <c r="S34" s="11"/>
      <c r="T34" s="11"/>
      <c r="U34" s="11"/>
      <c r="V34" s="11"/>
    </row>
    <row r="35">
      <c r="A35" s="238" t="s">
        <v>104</v>
      </c>
      <c r="B35" s="105" t="s">
        <v>299</v>
      </c>
      <c r="C35" s="3" t="s">
        <v>67</v>
      </c>
      <c r="D35" s="3" t="s">
        <v>89</v>
      </c>
      <c r="G35" s="238" t="s">
        <v>67</v>
      </c>
      <c r="H35" s="133"/>
      <c r="N35" s="86"/>
      <c r="O35" s="11"/>
      <c r="P35" s="11"/>
      <c r="Q35" s="11"/>
      <c r="R35" s="11"/>
      <c r="S35" s="11"/>
      <c r="T35" s="11"/>
      <c r="U35" s="11"/>
      <c r="V35" s="11"/>
    </row>
    <row r="36">
      <c r="A36" s="238" t="s">
        <v>149</v>
      </c>
      <c r="B36" s="105" t="s">
        <v>300</v>
      </c>
      <c r="C36" s="3" t="s">
        <v>180</v>
      </c>
      <c r="D36" s="3" t="s">
        <v>89</v>
      </c>
      <c r="E36" s="3" t="s">
        <v>292</v>
      </c>
      <c r="G36" s="106"/>
      <c r="H36" s="105"/>
      <c r="N36" s="87"/>
      <c r="O36" s="11"/>
      <c r="P36" s="11"/>
      <c r="Q36" s="11"/>
      <c r="R36" s="11"/>
      <c r="S36" s="11"/>
      <c r="T36" s="11"/>
      <c r="U36" s="11"/>
      <c r="V36" s="11"/>
    </row>
    <row r="37">
      <c r="A37" s="104"/>
      <c r="B37" s="105"/>
      <c r="G37" s="106" t="s">
        <v>34</v>
      </c>
      <c r="H37" s="105" t="s">
        <v>36</v>
      </c>
      <c r="N37" s="87"/>
      <c r="O37" s="11"/>
      <c r="P37" s="11"/>
      <c r="Q37" s="11"/>
      <c r="R37" s="11"/>
      <c r="S37" s="11"/>
      <c r="T37" s="11"/>
      <c r="U37" s="11"/>
      <c r="V37" s="11"/>
    </row>
    <row r="38">
      <c r="A38" s="104"/>
      <c r="B38" s="110" t="s">
        <v>150</v>
      </c>
      <c r="C38">
        <f t="shared" ref="C38:C45" si="1">COUNTIF($C$3:$C$35,B38)</f>
        <v>3</v>
      </c>
      <c r="D38">
        <f>COUNTIF($D$3:$D$35,"Ja")</f>
        <v>16</v>
      </c>
      <c r="F38" s="3" t="s">
        <v>155</v>
      </c>
      <c r="G38" s="114">
        <f t="shared" ref="G38:G42" si="2">COUNTIF($E$3:$E$35,$F38)</f>
        <v>2</v>
      </c>
      <c r="H38" s="114">
        <f t="shared" ref="H38:H42" si="3">COUNTIF($F$3:$F$35,$F38)</f>
        <v>2</v>
      </c>
      <c r="N38" s="87"/>
      <c r="O38" s="11"/>
      <c r="P38" s="11"/>
      <c r="Q38" s="11"/>
      <c r="R38" s="11"/>
      <c r="S38" s="11"/>
      <c r="T38" s="11"/>
      <c r="U38" s="11"/>
      <c r="V38" s="11"/>
    </row>
    <row r="39">
      <c r="A39" s="104"/>
      <c r="B39" s="110" t="s">
        <v>67</v>
      </c>
      <c r="C39">
        <f t="shared" si="1"/>
        <v>15</v>
      </c>
      <c r="D39">
        <f>COUNTIF($D$3:$D$35,"Nej")</f>
        <v>14</v>
      </c>
      <c r="F39" s="3" t="s">
        <v>162</v>
      </c>
      <c r="G39" s="114">
        <f t="shared" si="2"/>
        <v>4</v>
      </c>
      <c r="H39" s="114">
        <f t="shared" si="3"/>
        <v>2</v>
      </c>
      <c r="N39" s="87"/>
      <c r="O39" s="11"/>
      <c r="P39" s="11"/>
      <c r="Q39" s="11"/>
      <c r="R39" s="11"/>
      <c r="S39" s="11"/>
      <c r="T39" s="11"/>
      <c r="U39" s="11"/>
      <c r="V39" s="11"/>
    </row>
    <row r="40">
      <c r="A40" s="104"/>
      <c r="B40" s="105" t="s">
        <v>169</v>
      </c>
      <c r="C40">
        <f t="shared" si="1"/>
        <v>2</v>
      </c>
      <c r="F40" s="3" t="s">
        <v>170</v>
      </c>
      <c r="G40" s="114">
        <f t="shared" si="2"/>
        <v>3</v>
      </c>
      <c r="H40" s="114">
        <f t="shared" si="3"/>
        <v>1</v>
      </c>
      <c r="N40" s="87"/>
      <c r="O40" s="11"/>
      <c r="P40" s="11"/>
      <c r="Q40" s="11"/>
      <c r="R40" s="11"/>
      <c r="S40" s="11"/>
      <c r="T40" s="11"/>
      <c r="U40" s="11"/>
      <c r="V40" s="11"/>
    </row>
    <row r="41">
      <c r="A41" s="104"/>
      <c r="B41" s="110" t="s">
        <v>173</v>
      </c>
      <c r="C41">
        <f t="shared" si="1"/>
        <v>0</v>
      </c>
      <c r="F41" s="3" t="s">
        <v>175</v>
      </c>
      <c r="G41" s="114">
        <f t="shared" si="2"/>
        <v>2</v>
      </c>
      <c r="H41" s="114">
        <f t="shared" si="3"/>
        <v>3</v>
      </c>
      <c r="N41" s="128"/>
      <c r="O41" s="11"/>
      <c r="P41" s="11"/>
      <c r="Q41" s="11"/>
      <c r="R41" s="11"/>
      <c r="S41" s="11"/>
      <c r="T41" s="11"/>
      <c r="U41" s="11"/>
      <c r="V41" s="11"/>
    </row>
    <row r="42">
      <c r="A42" s="104"/>
      <c r="B42" s="110" t="s">
        <v>133</v>
      </c>
      <c r="C42">
        <f t="shared" si="1"/>
        <v>1</v>
      </c>
      <c r="F42" s="3" t="s">
        <v>178</v>
      </c>
      <c r="G42" s="114">
        <f t="shared" si="2"/>
        <v>7</v>
      </c>
      <c r="H42" s="114">
        <f t="shared" si="3"/>
        <v>2</v>
      </c>
      <c r="N42" s="87"/>
      <c r="O42" s="11"/>
      <c r="P42" s="11"/>
      <c r="Q42" s="11"/>
      <c r="R42" s="11"/>
      <c r="S42" s="11"/>
      <c r="T42" s="11"/>
      <c r="U42" s="11"/>
      <c r="V42" s="11"/>
    </row>
    <row r="43">
      <c r="A43" s="104"/>
      <c r="B43" s="110" t="s">
        <v>180</v>
      </c>
      <c r="C43">
        <f t="shared" si="1"/>
        <v>3</v>
      </c>
      <c r="G43" s="114"/>
      <c r="H43" s="133"/>
      <c r="N43" s="128"/>
      <c r="O43" s="11"/>
      <c r="P43" s="11"/>
      <c r="Q43" s="11"/>
      <c r="R43" s="11"/>
      <c r="S43" s="11"/>
      <c r="T43" s="11"/>
      <c r="U43" s="11"/>
      <c r="V43" s="11"/>
    </row>
    <row r="44">
      <c r="A44" s="104"/>
      <c r="B44" s="105" t="s">
        <v>181</v>
      </c>
      <c r="C44">
        <f t="shared" si="1"/>
        <v>7</v>
      </c>
      <c r="F44" s="3" t="s">
        <v>182</v>
      </c>
      <c r="G44" s="114"/>
      <c r="H44" s="133"/>
      <c r="N44" s="87"/>
      <c r="O44" s="11"/>
      <c r="P44" s="11"/>
      <c r="Q44" s="11"/>
      <c r="R44" s="11"/>
      <c r="S44" s="11"/>
      <c r="T44" s="11"/>
      <c r="U44" s="11"/>
      <c r="V44" s="11"/>
    </row>
    <row r="45">
      <c r="A45" s="104"/>
      <c r="B45" s="105" t="s">
        <v>183</v>
      </c>
      <c r="C45">
        <f t="shared" si="1"/>
        <v>1</v>
      </c>
      <c r="F45" s="136" t="s">
        <v>184</v>
      </c>
      <c r="G45" s="114"/>
      <c r="H45" s="133"/>
      <c r="N45" s="86"/>
      <c r="O45" s="11"/>
      <c r="P45" s="11"/>
      <c r="Q45" s="11"/>
      <c r="R45" s="11"/>
      <c r="S45" s="11"/>
      <c r="T45" s="11"/>
      <c r="U45" s="11"/>
      <c r="V45" s="11"/>
    </row>
    <row r="46">
      <c r="A46" s="104"/>
      <c r="G46" s="114"/>
      <c r="H46" s="133"/>
      <c r="N46" s="87"/>
      <c r="O46" s="11"/>
      <c r="P46" s="11"/>
      <c r="Q46" s="11"/>
      <c r="R46" s="11"/>
      <c r="S46" s="11"/>
      <c r="T46" s="11"/>
      <c r="U46" s="11"/>
      <c r="V46" s="11"/>
    </row>
    <row r="47">
      <c r="A47" s="104"/>
      <c r="G47" s="114"/>
      <c r="H47" s="133"/>
      <c r="N47" s="87"/>
      <c r="O47" s="11"/>
      <c r="P47" s="11"/>
      <c r="Q47" s="11"/>
      <c r="R47" s="11"/>
      <c r="S47" s="11"/>
      <c r="T47" s="11"/>
      <c r="U47" s="11"/>
      <c r="V47" s="11"/>
    </row>
    <row r="48">
      <c r="A48" s="104"/>
      <c r="F48" s="3" t="s">
        <v>16</v>
      </c>
      <c r="G48" s="114">
        <f t="shared" ref="G48:G50" si="4">COUNTIF($G$3:$G$35,$F48)</f>
        <v>6</v>
      </c>
      <c r="H48" s="133"/>
      <c r="N48" s="87"/>
      <c r="O48" s="11"/>
      <c r="P48" s="11"/>
      <c r="Q48" s="11"/>
      <c r="R48" s="11"/>
      <c r="S48" s="11"/>
      <c r="T48" s="11"/>
      <c r="U48" s="11"/>
      <c r="V48" s="11"/>
    </row>
    <row r="49">
      <c r="A49" s="104"/>
      <c r="F49" s="3" t="s">
        <v>92</v>
      </c>
      <c r="G49" s="114">
        <f t="shared" si="4"/>
        <v>8</v>
      </c>
      <c r="H49" s="133"/>
      <c r="N49" s="128"/>
      <c r="O49" s="11"/>
      <c r="P49" s="11"/>
      <c r="Q49" s="11"/>
      <c r="R49" s="11"/>
      <c r="S49" s="11"/>
      <c r="T49" s="11"/>
      <c r="U49" s="11"/>
      <c r="V49" s="11"/>
    </row>
    <row r="50">
      <c r="A50" s="104"/>
      <c r="F50" s="3" t="s">
        <v>67</v>
      </c>
      <c r="G50" s="114">
        <f t="shared" si="4"/>
        <v>15</v>
      </c>
      <c r="H50" s="133"/>
      <c r="N50" s="128"/>
      <c r="O50" s="11"/>
      <c r="P50" s="11"/>
      <c r="Q50" s="11"/>
      <c r="R50" s="11"/>
      <c r="S50" s="11"/>
      <c r="T50" s="11"/>
      <c r="U50" s="11"/>
      <c r="V50" s="11"/>
    </row>
    <row r="51">
      <c r="A51" s="104"/>
      <c r="G51" s="260">
        <f>SUM(G48:G50)</f>
        <v>29</v>
      </c>
      <c r="H51" s="133"/>
      <c r="N51" s="3"/>
      <c r="O51" s="11"/>
      <c r="P51" s="11"/>
      <c r="Q51" s="11"/>
      <c r="R51" s="11"/>
      <c r="S51" s="11"/>
      <c r="T51" s="11"/>
      <c r="U51" s="11"/>
      <c r="V51" s="11"/>
    </row>
    <row r="52">
      <c r="A52" s="104"/>
      <c r="G52" s="114"/>
      <c r="H52" s="133"/>
      <c r="N52" s="86"/>
      <c r="O52" s="11"/>
      <c r="P52" s="11"/>
      <c r="Q52" s="11"/>
      <c r="R52" s="11"/>
      <c r="S52" s="11"/>
      <c r="T52" s="11"/>
      <c r="U52" s="11"/>
      <c r="V52" s="11"/>
    </row>
    <row r="53">
      <c r="A53" s="104"/>
      <c r="G53" s="114"/>
      <c r="H53" s="133"/>
      <c r="N53" s="87"/>
      <c r="O53" s="11"/>
      <c r="P53" s="11"/>
      <c r="Q53" s="11"/>
      <c r="R53" s="11"/>
      <c r="S53" s="11"/>
      <c r="T53" s="11"/>
      <c r="U53" s="11"/>
      <c r="V53" s="11"/>
    </row>
    <row r="54">
      <c r="A54" s="104"/>
      <c r="G54" s="114"/>
      <c r="H54" s="133"/>
      <c r="N54" s="86"/>
      <c r="O54" s="11"/>
      <c r="P54" s="11"/>
      <c r="Q54" s="11"/>
      <c r="R54" s="11"/>
      <c r="S54" s="11"/>
      <c r="T54" s="11"/>
      <c r="U54" s="11"/>
      <c r="V54" s="11"/>
    </row>
    <row r="55">
      <c r="A55" s="104"/>
      <c r="G55" s="114"/>
      <c r="H55" s="133"/>
      <c r="N55" s="86"/>
      <c r="O55" s="11"/>
      <c r="P55" s="11"/>
      <c r="Q55" s="11"/>
      <c r="R55" s="11"/>
      <c r="S55" s="11"/>
      <c r="T55" s="11"/>
      <c r="U55" s="11"/>
      <c r="V55" s="11"/>
    </row>
    <row r="56">
      <c r="A56" s="104"/>
      <c r="G56" s="114"/>
      <c r="H56" s="133"/>
      <c r="N56" s="3"/>
      <c r="O56" s="11"/>
      <c r="P56" s="11"/>
      <c r="Q56" s="11"/>
      <c r="R56" s="11"/>
      <c r="S56" s="11"/>
      <c r="T56" s="11"/>
      <c r="U56" s="11"/>
      <c r="V56" s="11"/>
    </row>
    <row r="57">
      <c r="A57" s="104"/>
      <c r="G57" s="114"/>
      <c r="H57" s="133"/>
      <c r="N57" s="86"/>
      <c r="O57" s="11"/>
      <c r="P57" s="11"/>
      <c r="Q57" s="11"/>
      <c r="R57" s="11"/>
      <c r="S57" s="11"/>
      <c r="T57" s="11"/>
      <c r="U57" s="11"/>
      <c r="V57" s="11"/>
    </row>
    <row r="58">
      <c r="A58" s="104"/>
      <c r="G58" s="114"/>
      <c r="H58" s="133"/>
      <c r="N58" s="87"/>
      <c r="O58" s="11"/>
      <c r="P58" s="11"/>
      <c r="Q58" s="11"/>
      <c r="R58" s="11"/>
      <c r="S58" s="11"/>
      <c r="T58" s="11"/>
      <c r="U58" s="11"/>
      <c r="V58" s="11"/>
    </row>
    <row r="59">
      <c r="A59" s="104"/>
      <c r="G59" s="114"/>
      <c r="H59" s="133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104"/>
      <c r="G60" s="114"/>
      <c r="H60" s="133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04"/>
      <c r="G61" s="114"/>
      <c r="H61" s="133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04"/>
      <c r="G62" s="114"/>
      <c r="H62" s="133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04"/>
      <c r="G63" s="114"/>
      <c r="H63" s="133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04"/>
      <c r="G64" s="114"/>
      <c r="H64" s="133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04"/>
      <c r="G65" s="114"/>
      <c r="H65" s="133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04"/>
      <c r="G66" s="114"/>
      <c r="H66" s="133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04"/>
      <c r="B67" s="133"/>
      <c r="G67" s="114"/>
      <c r="H67" s="133"/>
      <c r="N67" s="11"/>
      <c r="O67" s="11"/>
      <c r="P67" s="11"/>
      <c r="Q67" s="11"/>
      <c r="R67" s="11"/>
      <c r="S67" s="11"/>
      <c r="T67" s="11"/>
      <c r="U67" s="11"/>
      <c r="V67" s="11"/>
    </row>
    <row r="68">
      <c r="N68" s="11"/>
      <c r="O68" s="11"/>
      <c r="P68" s="11"/>
      <c r="Q68" s="11"/>
      <c r="R68" s="11"/>
      <c r="S68" s="11"/>
      <c r="T68" s="11"/>
      <c r="U68" s="11"/>
      <c r="V68" s="11"/>
    </row>
    <row r="69">
      <c r="N69" s="11"/>
      <c r="O69" s="11"/>
      <c r="P69" s="11"/>
      <c r="Q69" s="11"/>
      <c r="R69" s="11"/>
      <c r="S69" s="11"/>
      <c r="T69" s="11"/>
      <c r="U69" s="11"/>
      <c r="V69" s="11"/>
    </row>
    <row r="70">
      <c r="N70" s="11"/>
      <c r="O70" s="11"/>
      <c r="P70" s="11"/>
      <c r="Q70" s="11"/>
      <c r="R70" s="11"/>
      <c r="S70" s="11"/>
      <c r="T70" s="11"/>
      <c r="U70" s="11"/>
      <c r="V70" s="11"/>
    </row>
    <row r="71">
      <c r="N71" s="11"/>
      <c r="O71" s="11"/>
      <c r="P71" s="11"/>
      <c r="Q71" s="11"/>
      <c r="R71" s="11"/>
      <c r="S71" s="11"/>
      <c r="T71" s="11"/>
      <c r="U71" s="11"/>
      <c r="V71" s="11"/>
    </row>
    <row r="72">
      <c r="N72" s="11"/>
      <c r="O72" s="11"/>
      <c r="P72" s="11"/>
      <c r="Q72" s="11"/>
      <c r="R72" s="11"/>
      <c r="S72" s="11"/>
      <c r="T72" s="11"/>
      <c r="U72" s="11"/>
      <c r="V72" s="11"/>
    </row>
    <row r="73">
      <c r="N73" s="11"/>
      <c r="O73" s="11"/>
      <c r="P73" s="11"/>
      <c r="Q73" s="11"/>
      <c r="R73" s="11"/>
      <c r="S73" s="11"/>
      <c r="T73" s="11"/>
      <c r="U73" s="11"/>
      <c r="V73" s="11"/>
    </row>
    <row r="74">
      <c r="N74" s="11"/>
      <c r="O74" s="11"/>
      <c r="P74" s="11"/>
      <c r="Q74" s="11"/>
      <c r="R74" s="11"/>
      <c r="S74" s="11"/>
      <c r="T74" s="11"/>
      <c r="U74" s="11"/>
      <c r="V74" s="11"/>
    </row>
    <row r="75">
      <c r="N75" s="11"/>
      <c r="O75" s="11"/>
      <c r="P75" s="11"/>
      <c r="Q75" s="11"/>
      <c r="R75" s="11"/>
      <c r="S75" s="11"/>
      <c r="T75" s="11"/>
      <c r="U75" s="11"/>
      <c r="V75" s="11"/>
    </row>
    <row r="76">
      <c r="N76" s="11"/>
      <c r="O76" s="11"/>
      <c r="P76" s="11"/>
      <c r="Q76" s="11"/>
      <c r="R76" s="11"/>
      <c r="S76" s="11"/>
      <c r="T76" s="11"/>
      <c r="U76" s="11"/>
      <c r="V76" s="11"/>
    </row>
    <row r="77">
      <c r="N77" s="11"/>
      <c r="O77" s="11"/>
      <c r="P77" s="11"/>
      <c r="Q77" s="11"/>
      <c r="R77" s="11"/>
      <c r="S77" s="11"/>
      <c r="T77" s="11"/>
      <c r="U77" s="11"/>
      <c r="V77" s="11"/>
    </row>
    <row r="78">
      <c r="N78" s="11"/>
      <c r="O78" s="11"/>
      <c r="P78" s="11"/>
      <c r="Q78" s="11"/>
      <c r="R78" s="11"/>
      <c r="S78" s="11"/>
      <c r="T78" s="11"/>
      <c r="U78" s="11"/>
      <c r="V78" s="11"/>
    </row>
    <row r="79">
      <c r="N79" s="11"/>
      <c r="O79" s="11"/>
      <c r="P79" s="11"/>
      <c r="Q79" s="11"/>
      <c r="R79" s="11"/>
      <c r="S79" s="11"/>
      <c r="T79" s="11"/>
      <c r="U79" s="11"/>
      <c r="V79" s="11"/>
    </row>
    <row r="80">
      <c r="O80" s="11"/>
      <c r="P80" s="11"/>
      <c r="Q80" s="11"/>
      <c r="R80" s="11"/>
      <c r="S80" s="11"/>
      <c r="T80" s="11"/>
      <c r="U80" s="11"/>
      <c r="V80" s="11"/>
    </row>
    <row r="81">
      <c r="O81" s="11"/>
      <c r="P81" s="11"/>
      <c r="Q81" s="11"/>
      <c r="R81" s="11"/>
      <c r="S81" s="11"/>
      <c r="T81" s="11"/>
      <c r="U81" s="11"/>
      <c r="V81" s="11"/>
    </row>
  </sheetData>
  <autoFilter ref="$A$2:$Q$36">
    <sortState ref="A2:Q36">
      <sortCondition ref="E2:E36"/>
      <sortCondition ref="B2:B36"/>
      <sortCondition descending="1" ref="N2:N36"/>
      <sortCondition ref="G2:G36"/>
      <sortCondition descending="1" ref="O2:O36"/>
      <sortCondition descending="1" ref="I2:I36"/>
      <sortCondition ref="A2:A36"/>
      <sortCondition descending="1" ref="Q2:Q36"/>
    </sortState>
  </autoFilter>
  <mergeCells count="1">
    <mergeCell ref="N1:Q1"/>
  </mergeCells>
  <hyperlinks>
    <hyperlink r:id="rId1" ref="M4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4"/>
    <hyperlink r:id="rId10" ref="M16"/>
    <hyperlink r:id="rId11" ref="M17"/>
    <hyperlink r:id="rId12" ref="M18"/>
    <hyperlink r:id="rId13" ref="M19"/>
    <hyperlink r:id="rId14" ref="M20"/>
    <hyperlink r:id="rId15" ref="M23"/>
    <hyperlink r:id="rId16" ref="M24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6.75"/>
    <col customWidth="1" min="2" max="2" width="21.0"/>
    <col customWidth="1" min="3" max="3" width="12.5"/>
    <col customWidth="1" min="4" max="5" width="9.88"/>
    <col customWidth="1" min="6" max="6" width="14.25"/>
    <col customWidth="1" min="7" max="8" width="8.63"/>
    <col customWidth="1" min="9" max="9" width="10.63"/>
    <col customWidth="1" min="10" max="10" width="9.63"/>
    <col customWidth="1" min="11" max="11" width="6.75"/>
    <col customWidth="1" min="12" max="12" width="9.13"/>
    <col customWidth="1" min="13" max="13" width="24.25"/>
    <col customWidth="1" min="14" max="14" width="7.25"/>
    <col customWidth="1" min="15" max="15" width="9.88"/>
    <col customWidth="1" min="16" max="16" width="21.38"/>
    <col customWidth="1" min="17" max="17" width="16.0"/>
  </cols>
  <sheetData>
    <row r="1">
      <c r="A1" s="1"/>
      <c r="B1" s="1"/>
      <c r="C1" s="3"/>
      <c r="D1" s="3"/>
      <c r="E1" s="3"/>
      <c r="F1" s="3"/>
      <c r="G1" s="1"/>
      <c r="H1" s="1"/>
      <c r="I1" s="3"/>
      <c r="J1" s="3"/>
      <c r="K1" s="3"/>
      <c r="L1" s="1"/>
      <c r="M1" s="1"/>
      <c r="N1" s="9" t="s">
        <v>8</v>
      </c>
      <c r="R1" s="10"/>
      <c r="S1" s="1"/>
      <c r="T1" s="11"/>
      <c r="U1" s="11"/>
      <c r="V1" s="11"/>
    </row>
    <row r="2">
      <c r="A2" s="1" t="s">
        <v>29</v>
      </c>
      <c r="B2" s="1" t="s">
        <v>30</v>
      </c>
      <c r="C2" s="3" t="s">
        <v>31</v>
      </c>
      <c r="D2" s="3" t="s">
        <v>32</v>
      </c>
      <c r="E2" s="3" t="s">
        <v>34</v>
      </c>
      <c r="F2" s="3" t="s">
        <v>36</v>
      </c>
      <c r="G2" s="1" t="s">
        <v>37</v>
      </c>
      <c r="H2" s="1" t="s">
        <v>39</v>
      </c>
      <c r="I2" s="3" t="s">
        <v>40</v>
      </c>
      <c r="J2" s="3" t="s">
        <v>42</v>
      </c>
      <c r="K2" s="3" t="s">
        <v>44</v>
      </c>
      <c r="L2" s="1" t="s">
        <v>46</v>
      </c>
      <c r="M2" s="14" t="s">
        <v>48</v>
      </c>
      <c r="N2" s="15" t="s">
        <v>52</v>
      </c>
      <c r="O2" s="17" t="s">
        <v>54</v>
      </c>
      <c r="P2" s="17" t="s">
        <v>55</v>
      </c>
      <c r="Q2" s="17" t="s">
        <v>56</v>
      </c>
      <c r="R2" s="10"/>
      <c r="S2" s="1"/>
      <c r="T2" s="11"/>
      <c r="U2" s="11"/>
      <c r="V2" s="11"/>
    </row>
    <row r="3">
      <c r="A3" s="3" t="s">
        <v>58</v>
      </c>
      <c r="B3" s="3" t="s">
        <v>59</v>
      </c>
      <c r="C3" s="3" t="s">
        <v>60</v>
      </c>
      <c r="D3" s="3" t="s">
        <v>62</v>
      </c>
      <c r="E3" s="3" t="s">
        <v>12</v>
      </c>
      <c r="I3" s="3" t="s">
        <v>63</v>
      </c>
      <c r="M3" s="21"/>
      <c r="N3" s="32">
        <f>CountIF('Plan - NL'!$I$8:$P$31,$A3)</f>
        <v>0</v>
      </c>
      <c r="O3" s="32">
        <f>COUNTIFS('Plan - NL'!$L$8:$L$31,$A3)</f>
        <v>0</v>
      </c>
      <c r="P3" s="32">
        <f>COUNTIFS('Plan - NL'!$K$8:$K$31,$A3)</f>
        <v>0</v>
      </c>
      <c r="Q3" s="32">
        <f>COUNTIFS('Plan - NL'!$I$8:$J$31,$A3)+COUNTIFS('Plan - NL'!$M$8:$P$31,$A3)</f>
        <v>0</v>
      </c>
      <c r="R3" s="32"/>
      <c r="S3" s="11"/>
      <c r="T3" s="11"/>
      <c r="U3" s="11"/>
      <c r="V3" s="11"/>
    </row>
    <row r="4">
      <c r="A4" s="1" t="s">
        <v>86</v>
      </c>
      <c r="B4" s="1" t="s">
        <v>88</v>
      </c>
      <c r="C4" s="3" t="s">
        <v>60</v>
      </c>
      <c r="D4" s="3" t="s">
        <v>62</v>
      </c>
      <c r="E4" s="3" t="s">
        <v>10</v>
      </c>
      <c r="F4" s="3" t="s">
        <v>9</v>
      </c>
      <c r="G4" s="1" t="s">
        <v>92</v>
      </c>
      <c r="H4" s="1">
        <v>7246.0</v>
      </c>
      <c r="I4" s="3" t="s">
        <v>73</v>
      </c>
      <c r="J4" s="3" t="s">
        <v>74</v>
      </c>
      <c r="K4" s="3"/>
      <c r="L4" s="1">
        <v>5.1248482E7</v>
      </c>
      <c r="M4" s="67" t="s">
        <v>94</v>
      </c>
      <c r="N4" s="32">
        <f>CountIF('Plan - NL'!$I$8:$P$31,$A4)</f>
        <v>0</v>
      </c>
      <c r="O4" s="32">
        <f>COUNTIFS('Plan - NL'!$J$8:$J$31,$A4)</f>
        <v>0</v>
      </c>
      <c r="P4" s="32">
        <f>COUNTIFS('Plan - NL'!$I$8:$I$31,$A4)</f>
        <v>0</v>
      </c>
      <c r="Q4" s="32">
        <f>COUNTIFS('Plan - NL'!$K$8:$P$31,$A4)</f>
        <v>0</v>
      </c>
      <c r="R4" s="32"/>
      <c r="S4" s="11"/>
      <c r="T4" s="11"/>
      <c r="U4" s="11"/>
      <c r="V4" s="11"/>
    </row>
    <row r="5">
      <c r="A5" s="3" t="s">
        <v>111</v>
      </c>
      <c r="B5" s="3" t="s">
        <v>112</v>
      </c>
      <c r="C5" s="3" t="s">
        <v>60</v>
      </c>
      <c r="D5" s="3" t="s">
        <v>62</v>
      </c>
      <c r="E5" s="3" t="s">
        <v>10</v>
      </c>
      <c r="F5" s="3"/>
      <c r="G5" s="3" t="s">
        <v>16</v>
      </c>
      <c r="H5" s="3">
        <v>15447.0</v>
      </c>
      <c r="I5" s="3" t="s">
        <v>63</v>
      </c>
      <c r="J5" s="3" t="s">
        <v>100</v>
      </c>
      <c r="M5" s="14"/>
      <c r="N5" s="32">
        <f>CountIF('Plan - NL'!$I$8:$P$31,$A5)</f>
        <v>0</v>
      </c>
      <c r="O5" s="32">
        <f>COUNTIFS('Plan - NL'!$J$8:$J$31,$A5)</f>
        <v>0</v>
      </c>
      <c r="P5" s="32">
        <f>COUNTIFS('Plan - NL'!$I$8:$I$31,$A5)</f>
        <v>0</v>
      </c>
      <c r="Q5" s="32">
        <f>COUNTIFS('Plan - NL'!$K$8:$P$31,$A5)</f>
        <v>0</v>
      </c>
      <c r="R5" s="32"/>
      <c r="S5" s="11"/>
      <c r="T5" s="11"/>
      <c r="U5" s="11"/>
      <c r="V5" s="11"/>
    </row>
    <row r="6">
      <c r="A6" s="1" t="s">
        <v>118</v>
      </c>
      <c r="B6" s="1" t="s">
        <v>119</v>
      </c>
      <c r="C6" s="3" t="s">
        <v>60</v>
      </c>
      <c r="D6" s="3" t="s">
        <v>62</v>
      </c>
      <c r="E6" s="3" t="s">
        <v>120</v>
      </c>
      <c r="F6" s="3"/>
      <c r="G6" s="1" t="s">
        <v>16</v>
      </c>
      <c r="I6" s="3" t="s">
        <v>63</v>
      </c>
      <c r="J6" s="3" t="s">
        <v>121</v>
      </c>
      <c r="K6" s="3"/>
      <c r="M6" s="67" t="s">
        <v>122</v>
      </c>
      <c r="N6" s="32">
        <f>CountIF('Plan - NL'!$I$8:$P$31,$A6)</f>
        <v>0</v>
      </c>
      <c r="O6" s="32">
        <f>COUNTIFS('Plan - NL'!$K$8:$K$31,$A6)</f>
        <v>0</v>
      </c>
      <c r="P6" s="32">
        <f>COUNTIFS('Plan - NL'!$L$8:$L$31,$A6)</f>
        <v>0</v>
      </c>
      <c r="Q6" s="32">
        <f>COUNTIFS('Plan - NL'!$I$8:$J$31,$A6)+COUNTIFS('Plan - NL'!$M$8:$P$31,$A6)</f>
        <v>0</v>
      </c>
      <c r="R6" s="32"/>
      <c r="S6" s="11"/>
      <c r="T6" s="11"/>
      <c r="U6" s="11"/>
      <c r="V6" s="11"/>
    </row>
    <row r="7">
      <c r="A7" s="3" t="s">
        <v>128</v>
      </c>
      <c r="B7" s="3" t="s">
        <v>129</v>
      </c>
      <c r="C7" s="3" t="s">
        <v>60</v>
      </c>
      <c r="D7" s="3" t="s">
        <v>62</v>
      </c>
      <c r="E7" s="3" t="s">
        <v>13</v>
      </c>
      <c r="M7" s="21"/>
      <c r="N7" s="32">
        <f>CountIF('Plan - NL'!$I$8:$P$31,$A7)</f>
        <v>0</v>
      </c>
      <c r="O7" s="32">
        <f>COUNTIFS('Plan - NL'!$M$8:$M$31,$A7)</f>
        <v>0</v>
      </c>
      <c r="P7" s="32">
        <f>COUNTIFS('Plan - NL'!$N$8:$O$31,$A7)</f>
        <v>0</v>
      </c>
      <c r="Q7" s="32">
        <f>COUNTIFS('Plan - NL'!$I$8:$L$31,$A7)+COUNTIFS('Plan - NL'!$P$8:$P$31,$A7)</f>
        <v>0</v>
      </c>
      <c r="R7" s="32"/>
      <c r="S7" s="84"/>
      <c r="T7" s="11"/>
      <c r="U7" s="11"/>
      <c r="V7" s="11"/>
    </row>
    <row r="8">
      <c r="A8" s="3" t="s">
        <v>135</v>
      </c>
      <c r="B8" s="3" t="s">
        <v>136</v>
      </c>
      <c r="C8" s="3" t="s">
        <v>60</v>
      </c>
      <c r="D8" s="3" t="s">
        <v>62</v>
      </c>
      <c r="E8" s="3" t="s">
        <v>12</v>
      </c>
      <c r="F8" s="3"/>
      <c r="G8" s="3" t="s">
        <v>16</v>
      </c>
      <c r="H8" s="3">
        <v>10548.0</v>
      </c>
      <c r="I8" s="3" t="s">
        <v>63</v>
      </c>
      <c r="J8" s="3"/>
      <c r="L8" s="1"/>
      <c r="M8" s="26" t="s">
        <v>137</v>
      </c>
      <c r="N8" s="32">
        <f>CountIF('Plan - NL'!$I$8:$P$31,$A8)</f>
        <v>0</v>
      </c>
      <c r="O8" s="32">
        <f>COUNTIFS('Plan - NL'!$L$8:$L$31,$A8)</f>
        <v>0</v>
      </c>
      <c r="P8" s="32">
        <f>COUNTIFS('Plan - NL'!$K$8:$K$31,$A8)</f>
        <v>0</v>
      </c>
      <c r="Q8" s="32">
        <f>COUNTIFS('Plan - NL'!$I$8:$J$31,$A8)+COUNTIFS('Plan - NL'!$M$8:$P$31,$A8)</f>
        <v>0</v>
      </c>
      <c r="R8" s="32"/>
      <c r="S8" s="11"/>
      <c r="T8" s="11"/>
      <c r="U8" s="11"/>
      <c r="V8" s="11"/>
    </row>
    <row r="9">
      <c r="A9" s="1" t="s">
        <v>144</v>
      </c>
      <c r="B9" s="1" t="s">
        <v>145</v>
      </c>
      <c r="C9" s="3" t="s">
        <v>60</v>
      </c>
      <c r="D9" s="3" t="s">
        <v>62</v>
      </c>
      <c r="E9" s="3" t="s">
        <v>10</v>
      </c>
      <c r="F9" s="3"/>
      <c r="G9" s="1" t="s">
        <v>16</v>
      </c>
      <c r="H9" s="1">
        <v>274.0</v>
      </c>
      <c r="I9" s="3" t="s">
        <v>63</v>
      </c>
      <c r="J9" s="3" t="s">
        <v>74</v>
      </c>
      <c r="K9" s="3"/>
      <c r="L9" s="1">
        <v>2.7205364E7</v>
      </c>
      <c r="M9" s="99" t="s">
        <v>147</v>
      </c>
      <c r="N9" s="32">
        <f>CountIF('Plan - NL'!$I$8:$P$31,$A9)</f>
        <v>0</v>
      </c>
      <c r="O9" s="32">
        <f>COUNTIFS('Plan - NL'!$J$8:$J$31,$A9)</f>
        <v>0</v>
      </c>
      <c r="P9" s="32">
        <f>COUNTIFS('Plan - NL'!$I$8:$I$31,$A9)</f>
        <v>0</v>
      </c>
      <c r="Q9" s="32">
        <f>COUNTIFS('Plan - NL'!$K$8:$P$31,$A9)</f>
        <v>0</v>
      </c>
      <c r="R9" s="11"/>
      <c r="S9" s="11"/>
      <c r="T9" s="11"/>
      <c r="U9" s="11"/>
      <c r="V9" s="11"/>
    </row>
    <row r="10">
      <c r="A10" s="104"/>
      <c r="B10" s="105"/>
      <c r="G10" s="106" t="s">
        <v>34</v>
      </c>
      <c r="H10" s="105" t="s">
        <v>36</v>
      </c>
      <c r="N10" s="87"/>
      <c r="O10" s="11"/>
      <c r="P10" s="11"/>
      <c r="Q10" s="11"/>
      <c r="R10" s="11"/>
      <c r="S10" s="11"/>
      <c r="T10" s="11"/>
      <c r="U10" s="11"/>
      <c r="V10" s="11"/>
    </row>
    <row r="11">
      <c r="A11" s="104"/>
      <c r="B11" s="110" t="s">
        <v>150</v>
      </c>
      <c r="C11">
        <f t="shared" ref="C11:C20" si="1">COUNTIF($C$3:$C$9,B11)</f>
        <v>0</v>
      </c>
      <c r="D11">
        <f>COUNTIF($D$3:$D$9,"Ja")</f>
        <v>0</v>
      </c>
      <c r="F11" s="3" t="s">
        <v>155</v>
      </c>
      <c r="G11" s="114">
        <f t="shared" ref="G11:G17" si="2">COUNTIF($E$4:$E$9,$F11)</f>
        <v>0</v>
      </c>
      <c r="H11" s="114">
        <f t="shared" ref="H11:H17" si="3">COUNTIF($F$4:$F$9,$F11)</f>
        <v>1</v>
      </c>
      <c r="N11" s="87"/>
      <c r="O11" s="11"/>
      <c r="P11" s="11"/>
      <c r="Q11" s="11"/>
      <c r="R11" s="11"/>
      <c r="S11" s="11"/>
      <c r="T11" s="11"/>
      <c r="U11" s="11"/>
      <c r="V11" s="11"/>
    </row>
    <row r="12">
      <c r="A12" s="104"/>
      <c r="B12" s="110" t="s">
        <v>67</v>
      </c>
      <c r="C12">
        <f t="shared" si="1"/>
        <v>0</v>
      </c>
      <c r="D12">
        <f>COUNTIF($D$3:$D$9,"Nej")</f>
        <v>7</v>
      </c>
      <c r="F12" s="3" t="s">
        <v>162</v>
      </c>
      <c r="G12" s="114">
        <f t="shared" si="2"/>
        <v>3</v>
      </c>
      <c r="H12" s="114">
        <f t="shared" si="3"/>
        <v>0</v>
      </c>
      <c r="N12" s="87"/>
      <c r="O12" s="11"/>
      <c r="P12" s="11"/>
      <c r="Q12" s="11"/>
      <c r="R12" s="11"/>
      <c r="S12" s="11"/>
      <c r="T12" s="11"/>
      <c r="U12" s="11"/>
      <c r="V12" s="11"/>
    </row>
    <row r="13">
      <c r="A13" s="104"/>
      <c r="B13" s="110" t="s">
        <v>163</v>
      </c>
      <c r="C13">
        <f t="shared" si="1"/>
        <v>0</v>
      </c>
      <c r="F13" s="3" t="s">
        <v>165</v>
      </c>
      <c r="G13" s="114">
        <f t="shared" si="2"/>
        <v>1</v>
      </c>
      <c r="H13" s="114">
        <f t="shared" si="3"/>
        <v>0</v>
      </c>
      <c r="N13" s="87"/>
      <c r="O13" s="11"/>
      <c r="P13" s="11"/>
      <c r="Q13" s="11"/>
      <c r="R13" s="11"/>
      <c r="S13" s="11"/>
      <c r="T13" s="11"/>
      <c r="U13" s="11"/>
      <c r="V13" s="11"/>
    </row>
    <row r="14">
      <c r="A14" s="104"/>
      <c r="B14" s="110" t="s">
        <v>166</v>
      </c>
      <c r="C14">
        <f t="shared" si="1"/>
        <v>0</v>
      </c>
      <c r="F14" s="3" t="s">
        <v>167</v>
      </c>
      <c r="G14" s="114">
        <f t="shared" si="2"/>
        <v>1</v>
      </c>
      <c r="H14" s="114">
        <f t="shared" si="3"/>
        <v>0</v>
      </c>
      <c r="N14" s="87"/>
      <c r="O14" s="11"/>
      <c r="P14" s="11"/>
      <c r="Q14" s="11"/>
      <c r="R14" s="11"/>
      <c r="S14" s="11"/>
      <c r="T14" s="11"/>
      <c r="U14" s="11"/>
      <c r="V14" s="11"/>
    </row>
    <row r="15">
      <c r="A15" s="104"/>
      <c r="B15" s="105" t="s">
        <v>169</v>
      </c>
      <c r="C15">
        <f t="shared" si="1"/>
        <v>0</v>
      </c>
      <c r="F15" s="3" t="s">
        <v>170</v>
      </c>
      <c r="G15" s="114">
        <f t="shared" si="2"/>
        <v>0</v>
      </c>
      <c r="H15" s="114">
        <f t="shared" si="3"/>
        <v>0</v>
      </c>
      <c r="N15" s="87"/>
      <c r="O15" s="11"/>
      <c r="P15" s="11"/>
      <c r="Q15" s="11"/>
      <c r="R15" s="11"/>
      <c r="S15" s="11"/>
      <c r="T15" s="11"/>
      <c r="U15" s="11"/>
      <c r="V15" s="11"/>
    </row>
    <row r="16">
      <c r="A16" s="104"/>
      <c r="B16" s="110" t="s">
        <v>173</v>
      </c>
      <c r="C16">
        <f t="shared" si="1"/>
        <v>0</v>
      </c>
      <c r="F16" s="3" t="s">
        <v>175</v>
      </c>
      <c r="G16" s="114">
        <f t="shared" si="2"/>
        <v>0</v>
      </c>
      <c r="H16" s="114">
        <f t="shared" si="3"/>
        <v>0</v>
      </c>
      <c r="N16" s="128"/>
      <c r="O16" s="11"/>
      <c r="P16" s="11"/>
      <c r="Q16" s="11"/>
      <c r="R16" s="11"/>
      <c r="S16" s="11"/>
      <c r="T16" s="11"/>
      <c r="U16" s="11"/>
      <c r="V16" s="11"/>
    </row>
    <row r="17">
      <c r="A17" s="104"/>
      <c r="B17" s="110" t="s">
        <v>133</v>
      </c>
      <c r="C17">
        <f t="shared" si="1"/>
        <v>0</v>
      </c>
      <c r="F17" s="3" t="s">
        <v>178</v>
      </c>
      <c r="G17" s="114">
        <f t="shared" si="2"/>
        <v>1</v>
      </c>
      <c r="H17" s="114">
        <f t="shared" si="3"/>
        <v>0</v>
      </c>
      <c r="N17" s="87"/>
      <c r="O17" s="11"/>
      <c r="P17" s="11"/>
      <c r="Q17" s="11"/>
      <c r="R17" s="11"/>
      <c r="S17" s="11"/>
      <c r="T17" s="11"/>
      <c r="U17" s="11"/>
      <c r="V17" s="11"/>
    </row>
    <row r="18">
      <c r="A18" s="104"/>
      <c r="B18" s="110" t="s">
        <v>180</v>
      </c>
      <c r="C18">
        <f t="shared" si="1"/>
        <v>0</v>
      </c>
      <c r="G18" s="114"/>
      <c r="H18" s="133"/>
      <c r="N18" s="128"/>
      <c r="O18" s="11"/>
      <c r="P18" s="11"/>
      <c r="Q18" s="11"/>
      <c r="R18" s="11"/>
      <c r="S18" s="11"/>
      <c r="T18" s="11"/>
      <c r="U18" s="11"/>
      <c r="V18" s="11"/>
    </row>
    <row r="19">
      <c r="A19" s="104"/>
      <c r="B19" s="105" t="s">
        <v>181</v>
      </c>
      <c r="C19">
        <f t="shared" si="1"/>
        <v>0</v>
      </c>
      <c r="F19" s="3" t="s">
        <v>182</v>
      </c>
      <c r="G19" s="114"/>
      <c r="H19" s="133"/>
      <c r="N19" s="87"/>
      <c r="O19" s="11"/>
      <c r="P19" s="11"/>
      <c r="Q19" s="11"/>
      <c r="R19" s="11"/>
      <c r="S19" s="11"/>
      <c r="T19" s="11"/>
      <c r="U19" s="11"/>
      <c r="V19" s="11"/>
    </row>
    <row r="20">
      <c r="A20" s="104"/>
      <c r="B20" s="105" t="s">
        <v>183</v>
      </c>
      <c r="C20">
        <f t="shared" si="1"/>
        <v>0</v>
      </c>
      <c r="F20" s="136" t="s">
        <v>184</v>
      </c>
      <c r="G20" s="114"/>
      <c r="H20" s="133"/>
      <c r="N20" s="86"/>
      <c r="O20" s="11"/>
      <c r="P20" s="11"/>
      <c r="Q20" s="11"/>
      <c r="R20" s="11"/>
      <c r="S20" s="11"/>
      <c r="T20" s="11"/>
      <c r="U20" s="11"/>
      <c r="V20" s="11"/>
    </row>
    <row r="21">
      <c r="A21" s="104"/>
      <c r="G21" s="114"/>
      <c r="H21" s="133"/>
      <c r="N21" s="87"/>
      <c r="O21" s="11"/>
      <c r="P21" s="11"/>
      <c r="Q21" s="11"/>
      <c r="R21" s="11"/>
      <c r="S21" s="11"/>
      <c r="T21" s="11"/>
      <c r="U21" s="11"/>
      <c r="V21" s="11"/>
    </row>
    <row r="22">
      <c r="A22" s="104"/>
      <c r="G22" s="114"/>
      <c r="H22" s="133"/>
      <c r="N22" s="87"/>
      <c r="O22" s="11"/>
      <c r="P22" s="11"/>
      <c r="Q22" s="11"/>
      <c r="R22" s="11"/>
      <c r="S22" s="11"/>
      <c r="T22" s="11"/>
      <c r="U22" s="11"/>
      <c r="V22" s="11"/>
    </row>
    <row r="23">
      <c r="A23" s="104"/>
      <c r="G23" s="114"/>
      <c r="H23" s="133"/>
      <c r="N23" s="87"/>
      <c r="O23" s="11"/>
      <c r="P23" s="11"/>
      <c r="Q23" s="11"/>
      <c r="R23" s="11"/>
      <c r="S23" s="11"/>
      <c r="T23" s="11"/>
      <c r="U23" s="11"/>
      <c r="V23" s="11"/>
    </row>
    <row r="24">
      <c r="A24" s="104"/>
      <c r="G24" s="114"/>
      <c r="H24" s="133"/>
      <c r="N24" s="128"/>
      <c r="O24" s="11"/>
      <c r="P24" s="11"/>
      <c r="Q24" s="11"/>
      <c r="R24" s="11"/>
      <c r="S24" s="11"/>
      <c r="T24" s="11"/>
      <c r="U24" s="11"/>
      <c r="V24" s="11"/>
    </row>
    <row r="25">
      <c r="A25" s="104"/>
      <c r="G25" s="114"/>
      <c r="H25" s="133"/>
      <c r="N25" s="128"/>
      <c r="O25" s="11"/>
      <c r="P25" s="11"/>
      <c r="Q25" s="11"/>
      <c r="R25" s="11"/>
      <c r="S25" s="11"/>
      <c r="T25" s="11"/>
      <c r="U25" s="11"/>
      <c r="V25" s="11"/>
    </row>
    <row r="26">
      <c r="A26" s="104"/>
      <c r="G26" s="114"/>
      <c r="H26" s="133"/>
      <c r="N26" s="3"/>
      <c r="O26" s="11"/>
      <c r="P26" s="11"/>
      <c r="Q26" s="11"/>
      <c r="R26" s="11"/>
      <c r="S26" s="11"/>
      <c r="T26" s="11"/>
      <c r="U26" s="11"/>
      <c r="V26" s="11"/>
    </row>
    <row r="27">
      <c r="A27" s="104"/>
      <c r="G27" s="114"/>
      <c r="H27" s="133"/>
      <c r="N27" s="86"/>
      <c r="O27" s="11"/>
      <c r="P27" s="11"/>
      <c r="Q27" s="11"/>
      <c r="R27" s="11"/>
      <c r="S27" s="11"/>
      <c r="T27" s="11"/>
      <c r="U27" s="11"/>
      <c r="V27" s="11"/>
    </row>
    <row r="28">
      <c r="A28" s="104"/>
      <c r="G28" s="114"/>
      <c r="H28" s="133"/>
      <c r="N28" s="87"/>
      <c r="O28" s="11"/>
      <c r="P28" s="11"/>
      <c r="Q28" s="11"/>
      <c r="R28" s="11"/>
      <c r="S28" s="11"/>
      <c r="T28" s="11"/>
      <c r="U28" s="11"/>
      <c r="V28" s="11"/>
    </row>
    <row r="29">
      <c r="A29" s="104"/>
      <c r="G29" s="114"/>
      <c r="H29" s="133"/>
      <c r="N29" s="86"/>
      <c r="O29" s="11"/>
      <c r="P29" s="11"/>
      <c r="Q29" s="11"/>
      <c r="R29" s="11"/>
      <c r="S29" s="11"/>
      <c r="T29" s="11"/>
      <c r="U29" s="11"/>
      <c r="V29" s="11"/>
    </row>
    <row r="30">
      <c r="A30" s="104"/>
      <c r="G30" s="114"/>
      <c r="H30" s="133"/>
      <c r="N30" s="86"/>
      <c r="O30" s="11"/>
      <c r="P30" s="11"/>
      <c r="Q30" s="11"/>
      <c r="R30" s="11"/>
      <c r="S30" s="11"/>
      <c r="T30" s="11"/>
      <c r="U30" s="11"/>
      <c r="V30" s="11"/>
    </row>
    <row r="31">
      <c r="A31" s="104"/>
      <c r="G31" s="114"/>
      <c r="H31" s="133"/>
      <c r="N31" s="3"/>
      <c r="O31" s="11"/>
      <c r="P31" s="11"/>
      <c r="Q31" s="11"/>
      <c r="R31" s="11"/>
      <c r="S31" s="11"/>
      <c r="T31" s="11"/>
      <c r="U31" s="11"/>
      <c r="V31" s="11"/>
    </row>
    <row r="32">
      <c r="A32" s="104"/>
      <c r="G32" s="114"/>
      <c r="H32" s="133"/>
      <c r="N32" s="86"/>
      <c r="O32" s="11"/>
      <c r="P32" s="11"/>
      <c r="Q32" s="11"/>
      <c r="R32" s="11"/>
      <c r="S32" s="11"/>
      <c r="T32" s="11"/>
      <c r="U32" s="11"/>
      <c r="V32" s="11"/>
    </row>
    <row r="33">
      <c r="A33" s="104"/>
      <c r="G33" s="114"/>
      <c r="H33" s="133"/>
      <c r="N33" s="87"/>
      <c r="O33" s="11"/>
      <c r="P33" s="11"/>
      <c r="Q33" s="11"/>
      <c r="R33" s="11"/>
      <c r="S33" s="11"/>
      <c r="T33" s="11"/>
      <c r="U33" s="11"/>
      <c r="V33" s="11"/>
    </row>
    <row r="34">
      <c r="A34" s="104"/>
      <c r="G34" s="114"/>
      <c r="H34" s="133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104"/>
      <c r="G35" s="114"/>
      <c r="H35" s="133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104"/>
      <c r="G36" s="114"/>
      <c r="H36" s="133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104"/>
      <c r="G37" s="114"/>
      <c r="H37" s="133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104"/>
      <c r="G38" s="114"/>
      <c r="H38" s="133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104"/>
      <c r="G39" s="114"/>
      <c r="H39" s="133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104"/>
      <c r="G40" s="114"/>
      <c r="H40" s="133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104"/>
      <c r="G41" s="114"/>
      <c r="H41" s="133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104"/>
      <c r="B42" s="133"/>
      <c r="G42" s="114"/>
      <c r="H42" s="133"/>
      <c r="N42" s="11"/>
      <c r="O42" s="11"/>
      <c r="P42" s="11"/>
      <c r="Q42" s="11"/>
      <c r="R42" s="11"/>
      <c r="S42" s="11"/>
      <c r="T42" s="11"/>
      <c r="U42" s="11"/>
      <c r="V42" s="11"/>
    </row>
    <row r="43">
      <c r="N43" s="11"/>
      <c r="O43" s="11"/>
      <c r="P43" s="11"/>
      <c r="Q43" s="11"/>
      <c r="R43" s="11"/>
      <c r="S43" s="11"/>
      <c r="T43" s="11"/>
      <c r="U43" s="11"/>
      <c r="V43" s="11"/>
    </row>
    <row r="44">
      <c r="N44" s="11"/>
      <c r="O44" s="11"/>
      <c r="P44" s="11"/>
      <c r="Q44" s="11"/>
      <c r="R44" s="11"/>
      <c r="S44" s="11"/>
      <c r="T44" s="11"/>
      <c r="U44" s="11"/>
      <c r="V44" s="11"/>
    </row>
    <row r="45">
      <c r="N45" s="11"/>
      <c r="O45" s="11"/>
      <c r="P45" s="11"/>
      <c r="Q45" s="11"/>
      <c r="R45" s="11"/>
      <c r="S45" s="11"/>
      <c r="T45" s="11"/>
      <c r="U45" s="11"/>
      <c r="V45" s="11"/>
    </row>
    <row r="46">
      <c r="N46" s="11"/>
      <c r="O46" s="11"/>
      <c r="P46" s="11"/>
      <c r="Q46" s="11"/>
      <c r="R46" s="11"/>
      <c r="S46" s="11"/>
      <c r="T46" s="11"/>
      <c r="U46" s="11"/>
      <c r="V46" s="11"/>
    </row>
    <row r="47">
      <c r="N47" s="11"/>
      <c r="O47" s="11"/>
      <c r="P47" s="11"/>
      <c r="Q47" s="11"/>
      <c r="R47" s="11"/>
      <c r="S47" s="11"/>
      <c r="T47" s="11"/>
      <c r="U47" s="11"/>
      <c r="V47" s="11"/>
    </row>
    <row r="48">
      <c r="N48" s="11"/>
      <c r="O48" s="11"/>
      <c r="P48" s="11"/>
      <c r="Q48" s="11"/>
      <c r="R48" s="11"/>
      <c r="S48" s="11"/>
      <c r="T48" s="11"/>
      <c r="U48" s="11"/>
      <c r="V48" s="11"/>
    </row>
    <row r="49">
      <c r="N49" s="11"/>
      <c r="O49" s="11"/>
      <c r="P49" s="11"/>
      <c r="Q49" s="11"/>
      <c r="R49" s="11"/>
      <c r="S49" s="11"/>
      <c r="T49" s="11"/>
      <c r="U49" s="11"/>
      <c r="V49" s="11"/>
    </row>
    <row r="50">
      <c r="N50" s="11"/>
      <c r="O50" s="11"/>
      <c r="P50" s="11"/>
      <c r="Q50" s="11"/>
      <c r="R50" s="11"/>
      <c r="S50" s="11"/>
      <c r="T50" s="11"/>
      <c r="U50" s="11"/>
      <c r="V50" s="11"/>
    </row>
    <row r="51">
      <c r="N51" s="11"/>
      <c r="O51" s="11"/>
      <c r="P51" s="11"/>
      <c r="Q51" s="11"/>
      <c r="R51" s="11"/>
      <c r="S51" s="11"/>
      <c r="T51" s="11"/>
      <c r="U51" s="11"/>
      <c r="V51" s="11"/>
    </row>
    <row r="52">
      <c r="N52" s="11"/>
      <c r="O52" s="11"/>
      <c r="P52" s="11"/>
      <c r="Q52" s="11"/>
      <c r="R52" s="11"/>
      <c r="S52" s="11"/>
      <c r="T52" s="11"/>
      <c r="U52" s="11"/>
      <c r="V52" s="11"/>
    </row>
    <row r="53">
      <c r="N53" s="11"/>
      <c r="O53" s="11"/>
      <c r="P53" s="11"/>
      <c r="Q53" s="11"/>
      <c r="R53" s="11"/>
      <c r="S53" s="11"/>
      <c r="T53" s="11"/>
      <c r="U53" s="11"/>
      <c r="V53" s="11"/>
    </row>
    <row r="54">
      <c r="N54" s="11"/>
      <c r="O54" s="11"/>
      <c r="P54" s="11"/>
      <c r="Q54" s="11"/>
      <c r="R54" s="11"/>
      <c r="S54" s="11"/>
      <c r="T54" s="11"/>
      <c r="U54" s="11"/>
      <c r="V54" s="11"/>
    </row>
    <row r="55">
      <c r="O55" s="11"/>
      <c r="P55" s="11"/>
      <c r="Q55" s="11"/>
      <c r="R55" s="11"/>
      <c r="S55" s="11"/>
      <c r="T55" s="11"/>
      <c r="U55" s="11"/>
      <c r="V55" s="11"/>
    </row>
    <row r="56">
      <c r="O56" s="11"/>
      <c r="P56" s="11"/>
      <c r="Q56" s="11"/>
      <c r="R56" s="11"/>
      <c r="S56" s="11"/>
      <c r="T56" s="11"/>
      <c r="U56" s="11"/>
      <c r="V56" s="11"/>
    </row>
  </sheetData>
  <autoFilter ref="$A$2:$Q$9">
    <sortState ref="A2:Q9">
      <sortCondition ref="E2:E9"/>
      <sortCondition ref="B2:B9"/>
      <sortCondition descending="1" ref="N2:N9"/>
      <sortCondition ref="G2:G9"/>
      <sortCondition descending="1" ref="O2:O9"/>
      <sortCondition descending="1" ref="I2:I9"/>
      <sortCondition ref="A2:A9"/>
      <sortCondition descending="1" ref="Q2:Q9"/>
    </sortState>
  </autoFilter>
  <mergeCells count="1">
    <mergeCell ref="N1:Q1"/>
  </mergeCells>
  <hyperlinks>
    <hyperlink r:id="rId1" ref="M4"/>
    <hyperlink r:id="rId2" ref="M6"/>
    <hyperlink r:id="rId3" ref="M9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11.5"/>
    <col customWidth="1" min="2" max="2" width="8.5"/>
    <col customWidth="1" min="3" max="3" width="7.25"/>
    <col customWidth="1" min="4" max="4" width="7.13"/>
    <col customWidth="1" min="5" max="5" width="9.75"/>
    <col customWidth="1" min="6" max="6" width="11.25"/>
    <col customWidth="1" min="7" max="7" width="20.0"/>
    <col customWidth="1" min="8" max="8" width="17.63"/>
    <col customWidth="1" min="9" max="11" width="5.0"/>
    <col customWidth="1" min="12" max="12" width="4.5"/>
    <col customWidth="1" min="13" max="13" width="5.5"/>
    <col customWidth="1" min="14" max="14" width="4.5"/>
    <col customWidth="1" min="15" max="15" width="5.0"/>
    <col customWidth="1" min="16" max="16" width="4.75"/>
    <col customWidth="1" min="17" max="17" width="46.5"/>
    <col customWidth="1" min="18" max="18" width="24.0"/>
    <col customWidth="1" min="19" max="20" width="5.25"/>
    <col customWidth="1" min="21" max="21" width="9.0"/>
    <col customWidth="1" min="22" max="22" width="10.88"/>
    <col customWidth="1" min="24" max="24" width="12.25"/>
    <col customWidth="1" min="25" max="25" width="12.63"/>
    <col customWidth="1" min="27" max="29" width="16.88"/>
    <col customWidth="1" min="30" max="30" width="11.75"/>
    <col customWidth="1" min="31" max="31" width="13.25"/>
    <col customWidth="1" min="33" max="33" width="15.5"/>
    <col customWidth="1" min="35" max="35" width="11.13"/>
    <col customWidth="1" min="36" max="36" width="12.63"/>
  </cols>
  <sheetData>
    <row r="1">
      <c r="A1" s="76" t="s">
        <v>130</v>
      </c>
      <c r="B1" s="77" t="s">
        <v>1</v>
      </c>
      <c r="C1" s="78" t="s">
        <v>2</v>
      </c>
      <c r="D1" s="78" t="s">
        <v>3</v>
      </c>
      <c r="E1" s="79" t="s">
        <v>4</v>
      </c>
      <c r="F1" s="78" t="s">
        <v>5</v>
      </c>
      <c r="G1" s="78" t="s">
        <v>6</v>
      </c>
      <c r="H1" s="78" t="s">
        <v>7</v>
      </c>
      <c r="I1" s="78" t="s">
        <v>9</v>
      </c>
      <c r="J1" s="78" t="s">
        <v>10</v>
      </c>
      <c r="K1" s="78" t="s">
        <v>120</v>
      </c>
      <c r="L1" s="78" t="s">
        <v>12</v>
      </c>
      <c r="M1" s="79" t="s">
        <v>13</v>
      </c>
      <c r="N1" s="79" t="s">
        <v>14</v>
      </c>
      <c r="O1" s="79" t="s">
        <v>15</v>
      </c>
      <c r="P1" s="79" t="s">
        <v>16</v>
      </c>
      <c r="Q1" s="79" t="s">
        <v>17</v>
      </c>
      <c r="R1" s="83"/>
      <c r="S1" s="83" t="s">
        <v>19</v>
      </c>
      <c r="T1" s="83" t="s">
        <v>20</v>
      </c>
      <c r="U1" s="83" t="s">
        <v>21</v>
      </c>
      <c r="V1" s="83" t="s">
        <v>22</v>
      </c>
      <c r="W1" s="79" t="s">
        <v>23</v>
      </c>
      <c r="X1" s="79" t="s">
        <v>24</v>
      </c>
      <c r="Y1" s="78" t="s">
        <v>25</v>
      </c>
      <c r="Z1" s="85" t="s">
        <v>26</v>
      </c>
      <c r="AA1" s="79" t="s">
        <v>27</v>
      </c>
      <c r="AB1" s="11"/>
      <c r="AC1" s="86" t="s">
        <v>33</v>
      </c>
      <c r="AD1" s="86" t="s">
        <v>35</v>
      </c>
      <c r="AE1" s="87" t="s">
        <v>38</v>
      </c>
      <c r="AF1" s="86" t="s">
        <v>41</v>
      </c>
      <c r="AG1" s="86" t="s">
        <v>43</v>
      </c>
      <c r="AH1" s="86" t="s">
        <v>45</v>
      </c>
      <c r="AI1" s="86" t="s">
        <v>47</v>
      </c>
      <c r="AJ1" s="86"/>
      <c r="AK1" s="87" t="s">
        <v>49</v>
      </c>
      <c r="AL1" s="86" t="s">
        <v>50</v>
      </c>
      <c r="AM1" s="86" t="s">
        <v>51</v>
      </c>
      <c r="AN1" s="86"/>
    </row>
    <row r="2">
      <c r="A2" s="88"/>
      <c r="B2" s="89">
        <v>2.0</v>
      </c>
      <c r="C2" s="90" t="s">
        <v>91</v>
      </c>
      <c r="D2" s="90">
        <v>15.0</v>
      </c>
      <c r="E2" s="90" t="s">
        <v>138</v>
      </c>
      <c r="F2" s="91">
        <v>0.5833333333333334</v>
      </c>
      <c r="G2" s="90" t="s">
        <v>117</v>
      </c>
      <c r="H2" s="92" t="s">
        <v>140</v>
      </c>
      <c r="I2" s="93" t="s">
        <v>101</v>
      </c>
      <c r="J2" s="95" t="s">
        <v>111</v>
      </c>
      <c r="K2" s="95" t="s">
        <v>103</v>
      </c>
      <c r="L2" s="95" t="s">
        <v>82</v>
      </c>
      <c r="M2" s="95" t="s">
        <v>64</v>
      </c>
      <c r="N2" s="95" t="s">
        <v>81</v>
      </c>
      <c r="O2" s="95" t="s">
        <v>123</v>
      </c>
      <c r="P2" s="95"/>
      <c r="Q2" s="95"/>
      <c r="R2" s="96" t="s">
        <v>146</v>
      </c>
      <c r="S2" s="95">
        <f>COUNTIF('Status data'!$A2:$H2,"1")</f>
        <v>1</v>
      </c>
      <c r="T2" s="95">
        <f>COUNTIF('Status data'!$A2:$H2,"2")</f>
        <v>2</v>
      </c>
      <c r="U2" s="95">
        <f>COUNTIF('Status data'!$A2:$H2,"3")</f>
        <v>0</v>
      </c>
      <c r="V2" s="96"/>
      <c r="W2" s="96"/>
      <c r="X2" s="100"/>
      <c r="Y2" s="101"/>
      <c r="Z2" s="100"/>
      <c r="AA2" s="100"/>
      <c r="AB2" s="102"/>
      <c r="AC2" s="103"/>
      <c r="AD2" s="103"/>
      <c r="AE2" s="103"/>
      <c r="AF2" s="107" t="str">
        <f t="shared" ref="AF2:AF5" si="1">HOUR(AD2-AC2)&amp;"h"&amp;minute(AD2-AC2)&amp;"m"</f>
        <v>0h0m</v>
      </c>
      <c r="AG2" s="108"/>
      <c r="AH2" s="109"/>
      <c r="AI2" s="109"/>
      <c r="AJ2" s="108"/>
      <c r="AK2" s="111" t="str">
        <f>AE2-#REF!</f>
        <v>#REF!</v>
      </c>
      <c r="AL2" s="112" t="str">
        <f>AH2-#REF!</f>
        <v>#REF!</v>
      </c>
      <c r="AM2" s="113" t="str">
        <f>#REF!-AC2</f>
        <v>#REF!</v>
      </c>
      <c r="AN2" s="113"/>
    </row>
    <row r="3">
      <c r="A3" s="88"/>
      <c r="B3" s="89">
        <v>2.0</v>
      </c>
      <c r="C3" s="90" t="s">
        <v>91</v>
      </c>
      <c r="D3" s="90">
        <v>15.0</v>
      </c>
      <c r="E3" s="90" t="s">
        <v>138</v>
      </c>
      <c r="F3" s="91">
        <v>0.5833333333333334</v>
      </c>
      <c r="G3" s="90" t="s">
        <v>106</v>
      </c>
      <c r="H3" s="92" t="s">
        <v>156</v>
      </c>
      <c r="I3" s="93" t="s">
        <v>86</v>
      </c>
      <c r="J3" s="95" t="s">
        <v>71</v>
      </c>
      <c r="K3" s="95"/>
      <c r="L3" s="95" t="s">
        <v>157</v>
      </c>
      <c r="M3" s="95" t="s">
        <v>131</v>
      </c>
      <c r="N3" s="95" t="s">
        <v>85</v>
      </c>
      <c r="O3" s="95" t="s">
        <v>110</v>
      </c>
      <c r="P3" s="95"/>
      <c r="Q3" s="115" t="s">
        <v>158</v>
      </c>
      <c r="R3" s="96" t="s">
        <v>159</v>
      </c>
      <c r="S3" s="95">
        <f>COUNTIF('Status data'!$A3:$H3,"1")</f>
        <v>0</v>
      </c>
      <c r="T3" s="95">
        <f>COUNTIF('Status data'!$A3:$H3,"2")</f>
        <v>0</v>
      </c>
      <c r="U3" s="95">
        <f>COUNTIF('Status data'!$A3:$H3,"3")</f>
        <v>0</v>
      </c>
      <c r="V3" s="96"/>
      <c r="W3" s="96"/>
      <c r="X3" s="100"/>
      <c r="Y3" s="101"/>
      <c r="Z3" s="100"/>
      <c r="AA3" s="100"/>
      <c r="AB3" s="102"/>
      <c r="AC3" s="117">
        <v>44059.58472222222</v>
      </c>
      <c r="AD3" s="103">
        <v>44059.680555555555</v>
      </c>
      <c r="AE3" s="103">
        <v>44060.032638888886</v>
      </c>
      <c r="AF3" s="107" t="str">
        <f t="shared" si="1"/>
        <v>2h18m</v>
      </c>
      <c r="AG3" s="108"/>
      <c r="AH3" s="118"/>
      <c r="AI3" s="109"/>
      <c r="AJ3" s="108"/>
      <c r="AK3" s="111">
        <f t="shared" ref="AK3:AK4" si="2">AE3-AD3</f>
        <v>0.3520833333</v>
      </c>
      <c r="AL3" s="112">
        <f t="shared" ref="AL3:AL5" si="3">AH3-AD3</f>
        <v>-44059.68056</v>
      </c>
      <c r="AM3" s="113">
        <f t="shared" ref="AM3:AM5" si="4">AD3-AC3</f>
        <v>0.09583333333</v>
      </c>
      <c r="AN3" s="113"/>
    </row>
    <row r="4">
      <c r="A4" s="88"/>
      <c r="B4" s="89">
        <v>2.0</v>
      </c>
      <c r="C4" s="90" t="s">
        <v>57</v>
      </c>
      <c r="D4" s="90">
        <v>16.0</v>
      </c>
      <c r="E4" s="90" t="s">
        <v>138</v>
      </c>
      <c r="F4" s="91">
        <v>0.5833333333333334</v>
      </c>
      <c r="G4" s="90" t="s">
        <v>171</v>
      </c>
      <c r="H4" s="92" t="s">
        <v>172</v>
      </c>
      <c r="I4" s="121" t="s">
        <v>95</v>
      </c>
      <c r="J4" s="95" t="s">
        <v>86</v>
      </c>
      <c r="K4" s="95" t="s">
        <v>148</v>
      </c>
      <c r="L4" s="123" t="s">
        <v>174</v>
      </c>
      <c r="M4" s="95" t="s">
        <v>69</v>
      </c>
      <c r="N4" s="95" t="s">
        <v>85</v>
      </c>
      <c r="O4" s="95" t="s">
        <v>176</v>
      </c>
      <c r="P4" s="95"/>
      <c r="Q4" s="10" t="s">
        <v>158</v>
      </c>
      <c r="R4" s="126" t="s">
        <v>177</v>
      </c>
      <c r="S4" s="95">
        <f>COUNTIF('Status data'!$A4:$H4,"1")</f>
        <v>0</v>
      </c>
      <c r="T4" s="95">
        <f>COUNTIF('Status data'!$A4:$H4,"2")</f>
        <v>0</v>
      </c>
      <c r="U4" s="95">
        <f>COUNTIF('Status data'!$A4:$H4,"3")</f>
        <v>0</v>
      </c>
      <c r="V4" s="126"/>
      <c r="W4" s="96"/>
      <c r="X4" s="100"/>
      <c r="Y4" s="101"/>
      <c r="Z4" s="100"/>
      <c r="AA4" s="100"/>
      <c r="AB4" s="102"/>
      <c r="AC4" s="117"/>
      <c r="AD4" s="103"/>
      <c r="AE4" s="103"/>
      <c r="AF4" s="107" t="str">
        <f t="shared" si="1"/>
        <v>0h0m</v>
      </c>
      <c r="AG4" s="108"/>
      <c r="AH4" s="118"/>
      <c r="AI4" s="109"/>
      <c r="AJ4" s="108"/>
      <c r="AK4" s="111">
        <f t="shared" si="2"/>
        <v>0</v>
      </c>
      <c r="AL4" s="112">
        <f t="shared" si="3"/>
        <v>0</v>
      </c>
      <c r="AM4" s="113">
        <f t="shared" si="4"/>
        <v>0</v>
      </c>
      <c r="AN4" s="113"/>
    </row>
    <row r="5">
      <c r="A5" s="134"/>
      <c r="B5" s="135">
        <v>3.0</v>
      </c>
      <c r="C5" s="137" t="s">
        <v>91</v>
      </c>
      <c r="D5" s="137">
        <v>22.0</v>
      </c>
      <c r="E5" s="138" t="s">
        <v>138</v>
      </c>
      <c r="F5" s="139">
        <v>0.7916666666666666</v>
      </c>
      <c r="G5" s="137" t="s">
        <v>65</v>
      </c>
      <c r="H5" s="137" t="s">
        <v>100</v>
      </c>
      <c r="I5" s="140" t="s">
        <v>69</v>
      </c>
      <c r="J5" s="140" t="s">
        <v>86</v>
      </c>
      <c r="K5" s="198" t="s">
        <v>148</v>
      </c>
      <c r="L5" s="198" t="s">
        <v>157</v>
      </c>
      <c r="M5" s="198" t="s">
        <v>131</v>
      </c>
      <c r="N5" s="198" t="s">
        <v>110</v>
      </c>
      <c r="O5" s="198" t="s">
        <v>176</v>
      </c>
      <c r="P5" s="198" t="s">
        <v>95</v>
      </c>
      <c r="Q5" s="95"/>
      <c r="R5" s="126" t="s">
        <v>244</v>
      </c>
      <c r="S5" s="95">
        <f>COUNTIF('Status data'!$A5:$H5,"1")</f>
        <v>0</v>
      </c>
      <c r="T5" s="95">
        <f>COUNTIF('Status data'!$A5:$H5,"2")</f>
        <v>0</v>
      </c>
      <c r="U5" s="95">
        <f>COUNTIF('Status data'!$A5:$H5,"3")</f>
        <v>0</v>
      </c>
      <c r="V5" s="126"/>
      <c r="W5" s="126"/>
      <c r="X5" s="199"/>
      <c r="Y5" s="199"/>
      <c r="Z5" s="199"/>
      <c r="AA5" s="199"/>
      <c r="AB5" s="102"/>
      <c r="AC5" s="103"/>
      <c r="AD5" s="103"/>
      <c r="AE5" s="200"/>
      <c r="AF5" s="107" t="str">
        <f t="shared" si="1"/>
        <v>0h0m</v>
      </c>
      <c r="AG5" s="108"/>
      <c r="AH5" s="103"/>
      <c r="AI5" s="108"/>
      <c r="AJ5" s="108"/>
      <c r="AK5" s="111">
        <f>AH5-AD5</f>
        <v>0</v>
      </c>
      <c r="AL5" s="112">
        <f t="shared" si="3"/>
        <v>0</v>
      </c>
      <c r="AM5" s="113">
        <f t="shared" si="4"/>
        <v>0</v>
      </c>
      <c r="AN5" s="113"/>
    </row>
    <row r="6">
      <c r="A6" s="88"/>
      <c r="B6" s="89">
        <v>3.0</v>
      </c>
      <c r="C6" s="90" t="s">
        <v>57</v>
      </c>
      <c r="D6" s="90">
        <v>23.0</v>
      </c>
      <c r="E6" s="90" t="s">
        <v>138</v>
      </c>
      <c r="F6" s="91">
        <v>0.5833333333333334</v>
      </c>
      <c r="G6" s="90" t="s">
        <v>247</v>
      </c>
      <c r="H6" s="92" t="s">
        <v>79</v>
      </c>
      <c r="I6" s="140"/>
      <c r="J6" s="140" t="s">
        <v>102</v>
      </c>
      <c r="K6" s="198"/>
      <c r="L6" s="198" t="s">
        <v>82</v>
      </c>
      <c r="M6" s="198" t="s">
        <v>248</v>
      </c>
      <c r="N6" s="198" t="s">
        <v>81</v>
      </c>
      <c r="O6" s="198" t="s">
        <v>123</v>
      </c>
      <c r="P6" s="198"/>
      <c r="Q6" s="95" t="s">
        <v>249</v>
      </c>
      <c r="R6" s="126" t="s">
        <v>250</v>
      </c>
      <c r="S6" s="95">
        <f>COUNTIF('Status data'!$A6:$H6,"1")</f>
        <v>2</v>
      </c>
      <c r="T6" s="95">
        <f>COUNTIF('Status data'!$A6:$H6,"2")</f>
        <v>1</v>
      </c>
      <c r="U6" s="95">
        <f>COUNTIF('Status data'!$A6:$H6,"3")</f>
        <v>1</v>
      </c>
      <c r="V6" s="126"/>
      <c r="W6" s="126"/>
      <c r="X6" s="199"/>
      <c r="Y6" s="199"/>
      <c r="Z6" s="199"/>
      <c r="AA6" s="199"/>
      <c r="AB6" s="102"/>
      <c r="AC6" s="103"/>
      <c r="AD6" s="103"/>
      <c r="AE6" s="103"/>
      <c r="AF6" s="107"/>
      <c r="AG6" s="108"/>
      <c r="AH6" s="109"/>
      <c r="AI6" s="108"/>
      <c r="AJ6" s="108"/>
      <c r="AK6" s="111"/>
      <c r="AL6" s="112"/>
      <c r="AM6" s="113"/>
      <c r="AN6" s="113"/>
    </row>
    <row r="7">
      <c r="A7" s="88"/>
      <c r="B7" s="89">
        <v>3.0</v>
      </c>
      <c r="C7" s="90" t="s">
        <v>57</v>
      </c>
      <c r="D7" s="90">
        <v>23.0</v>
      </c>
      <c r="E7" s="90" t="s">
        <v>138</v>
      </c>
      <c r="F7" s="91">
        <v>0.5833333333333334</v>
      </c>
      <c r="G7" s="90" t="s">
        <v>156</v>
      </c>
      <c r="H7" s="92" t="s">
        <v>259</v>
      </c>
      <c r="I7" s="140" t="s">
        <v>86</v>
      </c>
      <c r="J7" s="140" t="s">
        <v>71</v>
      </c>
      <c r="K7" s="198"/>
      <c r="L7" s="198" t="s">
        <v>174</v>
      </c>
      <c r="M7" s="198" t="s">
        <v>64</v>
      </c>
      <c r="N7" s="198" t="s">
        <v>110</v>
      </c>
      <c r="O7" s="198" t="s">
        <v>176</v>
      </c>
      <c r="P7" s="198"/>
      <c r="Q7" s="10"/>
      <c r="R7" s="126"/>
      <c r="S7" s="95">
        <f>COUNTIF('Status data'!$A7:$H7,"1")</f>
        <v>0</v>
      </c>
      <c r="T7" s="95">
        <f>COUNTIF('Status data'!$A7:$H7,"2")</f>
        <v>0</v>
      </c>
      <c r="U7" s="95">
        <f>COUNTIF('Status data'!$A7:$H7,"3")</f>
        <v>0</v>
      </c>
      <c r="V7" s="126"/>
      <c r="W7" s="126"/>
      <c r="X7" s="199"/>
      <c r="Y7" s="199"/>
      <c r="Z7" s="199"/>
      <c r="AA7" s="199"/>
      <c r="AB7" s="102"/>
      <c r="AC7" s="103"/>
      <c r="AD7" s="103"/>
      <c r="AE7" s="103"/>
      <c r="AF7" s="107"/>
      <c r="AG7" s="108"/>
      <c r="AH7" s="109"/>
      <c r="AI7" s="108"/>
      <c r="AJ7" s="108"/>
      <c r="AK7" s="111"/>
      <c r="AL7" s="112"/>
      <c r="AM7" s="113"/>
      <c r="AN7" s="113"/>
    </row>
    <row r="8">
      <c r="A8" s="88"/>
      <c r="B8" s="89">
        <v>4.0</v>
      </c>
      <c r="C8" s="90" t="s">
        <v>91</v>
      </c>
      <c r="D8" s="90">
        <v>29.0</v>
      </c>
      <c r="E8" s="90" t="s">
        <v>138</v>
      </c>
      <c r="F8" s="91">
        <v>0.5833333333333334</v>
      </c>
      <c r="G8" s="90" t="s">
        <v>261</v>
      </c>
      <c r="H8" s="92" t="s">
        <v>171</v>
      </c>
      <c r="I8" s="140" t="s">
        <v>95</v>
      </c>
      <c r="J8" s="140" t="s">
        <v>86</v>
      </c>
      <c r="K8" s="198" t="s">
        <v>148</v>
      </c>
      <c r="L8" s="198" t="s">
        <v>157</v>
      </c>
      <c r="M8" s="198" t="s">
        <v>69</v>
      </c>
      <c r="N8" s="198" t="s">
        <v>110</v>
      </c>
      <c r="O8" s="198" t="s">
        <v>176</v>
      </c>
      <c r="P8" s="198" t="s">
        <v>262</v>
      </c>
      <c r="Q8" s="115" t="s">
        <v>263</v>
      </c>
      <c r="R8" s="126"/>
      <c r="S8" s="95">
        <f>COUNTIF('Status data'!$A8:$H8,"1")</f>
        <v>0</v>
      </c>
      <c r="T8" s="95">
        <f>COUNTIF('Status data'!$A8:$H8,"2")</f>
        <v>0</v>
      </c>
      <c r="U8" s="95">
        <f>COUNTIF('Status data'!$A8:$H8,"3")</f>
        <v>0</v>
      </c>
      <c r="V8" s="126"/>
      <c r="W8" s="126"/>
      <c r="X8" s="199"/>
      <c r="Y8" s="199"/>
      <c r="Z8" s="199"/>
      <c r="AA8" s="199"/>
      <c r="AB8" s="102"/>
      <c r="AC8" s="103"/>
      <c r="AD8" s="103"/>
      <c r="AE8" s="103"/>
      <c r="AF8" s="107"/>
      <c r="AG8" s="108"/>
      <c r="AH8" s="109"/>
      <c r="AI8" s="108"/>
      <c r="AJ8" s="108"/>
      <c r="AK8" s="111"/>
      <c r="AL8" s="112"/>
      <c r="AM8" s="113"/>
      <c r="AN8" s="113"/>
    </row>
    <row r="9">
      <c r="A9" s="134"/>
      <c r="B9" s="135">
        <v>4.0</v>
      </c>
      <c r="C9" s="137" t="s">
        <v>91</v>
      </c>
      <c r="D9" s="137">
        <v>29.0</v>
      </c>
      <c r="E9" s="138" t="s">
        <v>138</v>
      </c>
      <c r="F9" s="139">
        <v>0.7916666666666666</v>
      </c>
      <c r="G9" s="137" t="s">
        <v>80</v>
      </c>
      <c r="H9" s="137" t="s">
        <v>65</v>
      </c>
      <c r="I9" s="140" t="s">
        <v>101</v>
      </c>
      <c r="J9" s="140" t="s">
        <v>71</v>
      </c>
      <c r="K9" s="198" t="s">
        <v>103</v>
      </c>
      <c r="L9" s="198" t="s">
        <v>228</v>
      </c>
      <c r="M9" s="198" t="s">
        <v>69</v>
      </c>
      <c r="N9" s="198" t="s">
        <v>81</v>
      </c>
      <c r="O9" s="198" t="s">
        <v>85</v>
      </c>
      <c r="P9" s="198" t="s">
        <v>64</v>
      </c>
      <c r="Q9" s="95" t="s">
        <v>265</v>
      </c>
      <c r="R9" s="126"/>
      <c r="S9" s="95">
        <f>COUNTIF('Status data'!$A9:$H9,"1")</f>
        <v>0</v>
      </c>
      <c r="T9" s="95">
        <f>COUNTIF('Status data'!$A9:$H9,"2")</f>
        <v>0</v>
      </c>
      <c r="U9" s="95">
        <f>COUNTIF('Status data'!$A9:$H9,"3")</f>
        <v>0</v>
      </c>
      <c r="V9" s="126"/>
      <c r="W9" s="126"/>
      <c r="X9" s="199"/>
      <c r="Y9" s="199"/>
      <c r="Z9" s="199"/>
      <c r="AA9" s="199"/>
      <c r="AB9" s="102"/>
      <c r="AC9" s="103"/>
      <c r="AD9" s="103"/>
      <c r="AE9" s="103"/>
      <c r="AF9" s="107"/>
      <c r="AG9" s="108"/>
      <c r="AH9" s="109"/>
      <c r="AI9" s="108"/>
      <c r="AJ9" s="108"/>
      <c r="AK9" s="111"/>
      <c r="AL9" s="112"/>
      <c r="AM9" s="113"/>
      <c r="AN9" s="113"/>
    </row>
    <row r="10">
      <c r="A10" s="88"/>
      <c r="B10" s="89">
        <v>5.0</v>
      </c>
      <c r="C10" s="90" t="s">
        <v>91</v>
      </c>
      <c r="D10" s="90">
        <v>5.0</v>
      </c>
      <c r="E10" s="90" t="s">
        <v>266</v>
      </c>
      <c r="F10" s="91">
        <v>0.5833333333333334</v>
      </c>
      <c r="G10" s="90" t="s">
        <v>172</v>
      </c>
      <c r="H10" s="92" t="s">
        <v>106</v>
      </c>
      <c r="I10" s="140" t="s">
        <v>95</v>
      </c>
      <c r="J10" s="140" t="s">
        <v>86</v>
      </c>
      <c r="K10" s="198" t="s">
        <v>148</v>
      </c>
      <c r="L10" s="198" t="s">
        <v>157</v>
      </c>
      <c r="M10" s="198" t="s">
        <v>69</v>
      </c>
      <c r="N10" s="198" t="s">
        <v>110</v>
      </c>
      <c r="O10" s="198" t="s">
        <v>176</v>
      </c>
      <c r="P10" s="198"/>
      <c r="Q10" s="115" t="s">
        <v>158</v>
      </c>
      <c r="R10" s="126"/>
      <c r="S10" s="95">
        <f>COUNTIF('Status data'!$A10:$H10,"1")</f>
        <v>0</v>
      </c>
      <c r="T10" s="95">
        <f>COUNTIF('Status data'!$A10:$H10,"2")</f>
        <v>0</v>
      </c>
      <c r="U10" s="95">
        <f>COUNTIF('Status data'!$A10:$H10,"3")</f>
        <v>0</v>
      </c>
      <c r="V10" s="126"/>
      <c r="W10" s="126"/>
      <c r="X10" s="199"/>
      <c r="Y10" s="199"/>
      <c r="Z10" s="199"/>
      <c r="AA10" s="199"/>
      <c r="AB10" s="102"/>
      <c r="AC10" s="103"/>
      <c r="AD10" s="103"/>
      <c r="AE10" s="103"/>
      <c r="AF10" s="107"/>
      <c r="AG10" s="108"/>
      <c r="AH10" s="109"/>
      <c r="AI10" s="108"/>
      <c r="AJ10" s="108"/>
      <c r="AK10" s="111"/>
      <c r="AL10" s="112"/>
      <c r="AM10" s="113"/>
      <c r="AN10" s="113"/>
    </row>
    <row r="11">
      <c r="A11" s="134"/>
      <c r="B11" s="135">
        <v>5.0</v>
      </c>
      <c r="C11" s="137" t="s">
        <v>91</v>
      </c>
      <c r="D11" s="137">
        <v>5.0</v>
      </c>
      <c r="E11" s="137" t="s">
        <v>266</v>
      </c>
      <c r="F11" s="139">
        <v>0.7916666666666666</v>
      </c>
      <c r="G11" s="137" t="s">
        <v>100</v>
      </c>
      <c r="H11" s="137" t="s">
        <v>107</v>
      </c>
      <c r="I11" s="140" t="s">
        <v>101</v>
      </c>
      <c r="J11" s="140" t="s">
        <v>111</v>
      </c>
      <c r="K11" s="198" t="s">
        <v>103</v>
      </c>
      <c r="L11" s="198" t="s">
        <v>82</v>
      </c>
      <c r="M11" s="198" t="s">
        <v>64</v>
      </c>
      <c r="N11" s="198" t="s">
        <v>81</v>
      </c>
      <c r="O11" s="198" t="s">
        <v>123</v>
      </c>
      <c r="P11" s="198"/>
      <c r="Q11" s="95"/>
      <c r="R11" s="126"/>
      <c r="S11" s="95">
        <f>COUNTIF('Status data'!$A11:$H11,"1")</f>
        <v>0</v>
      </c>
      <c r="T11" s="95">
        <f>COUNTIF('Status data'!$A11:$H11,"2")</f>
        <v>0</v>
      </c>
      <c r="U11" s="95">
        <f>COUNTIF('Status data'!$A11:$H11,"3")</f>
        <v>0</v>
      </c>
      <c r="V11" s="126"/>
      <c r="W11" s="126"/>
      <c r="X11" s="199"/>
      <c r="Y11" s="199"/>
      <c r="Z11" s="199"/>
      <c r="AA11" s="199"/>
      <c r="AB11" s="102"/>
      <c r="AC11" s="103"/>
      <c r="AD11" s="103"/>
      <c r="AE11" s="103"/>
      <c r="AF11" s="107"/>
      <c r="AG11" s="108"/>
      <c r="AH11" s="109"/>
      <c r="AI11" s="108"/>
      <c r="AJ11" s="108"/>
      <c r="AK11" s="111"/>
      <c r="AL11" s="112"/>
      <c r="AM11" s="113"/>
      <c r="AN11" s="113"/>
    </row>
    <row r="12">
      <c r="A12" s="88"/>
      <c r="B12" s="89">
        <v>6.0</v>
      </c>
      <c r="C12" s="90" t="s">
        <v>91</v>
      </c>
      <c r="D12" s="90">
        <v>12.0</v>
      </c>
      <c r="E12" s="90" t="s">
        <v>266</v>
      </c>
      <c r="F12" s="91">
        <v>0.5833333333333334</v>
      </c>
      <c r="G12" s="90" t="s">
        <v>171</v>
      </c>
      <c r="H12" s="92" t="s">
        <v>259</v>
      </c>
      <c r="I12" s="140" t="s">
        <v>95</v>
      </c>
      <c r="J12" s="140" t="s">
        <v>71</v>
      </c>
      <c r="K12" s="198" t="s">
        <v>148</v>
      </c>
      <c r="L12" s="198" t="s">
        <v>157</v>
      </c>
      <c r="M12" s="198" t="s">
        <v>131</v>
      </c>
      <c r="N12" s="198" t="s">
        <v>85</v>
      </c>
      <c r="O12" s="198" t="s">
        <v>110</v>
      </c>
      <c r="P12" s="198"/>
      <c r="Q12" s="115" t="s">
        <v>269</v>
      </c>
      <c r="R12" s="126"/>
      <c r="S12" s="95">
        <f>COUNTIF('Status data'!$A12:$H12,"1")</f>
        <v>4</v>
      </c>
      <c r="T12" s="95">
        <f>COUNTIF('Status data'!$A12:$H12,"2")</f>
        <v>0</v>
      </c>
      <c r="U12" s="95">
        <f>COUNTIF('Status data'!$A12:$H12,"3")</f>
        <v>1</v>
      </c>
      <c r="V12" s="126"/>
      <c r="W12" s="126"/>
      <c r="X12" s="199"/>
      <c r="Y12" s="199"/>
      <c r="Z12" s="199"/>
      <c r="AA12" s="199"/>
      <c r="AB12" s="102"/>
      <c r="AC12" s="103"/>
      <c r="AD12" s="103"/>
      <c r="AE12" s="103"/>
      <c r="AF12" s="107"/>
      <c r="AG12" s="108"/>
      <c r="AH12" s="109"/>
      <c r="AI12" s="108"/>
      <c r="AJ12" s="108"/>
      <c r="AK12" s="111"/>
      <c r="AL12" s="112"/>
      <c r="AM12" s="113"/>
      <c r="AN12" s="113"/>
    </row>
    <row r="13">
      <c r="A13" s="134"/>
      <c r="B13" s="135">
        <v>6.0</v>
      </c>
      <c r="C13" s="137" t="s">
        <v>91</v>
      </c>
      <c r="D13" s="137">
        <v>12.0</v>
      </c>
      <c r="E13" s="137" t="s">
        <v>266</v>
      </c>
      <c r="F13" s="139">
        <v>0.7916666666666666</v>
      </c>
      <c r="G13" s="137" t="s">
        <v>100</v>
      </c>
      <c r="H13" s="137" t="s">
        <v>80</v>
      </c>
      <c r="I13" s="140" t="s">
        <v>101</v>
      </c>
      <c r="J13" s="140" t="s">
        <v>102</v>
      </c>
      <c r="K13" s="198" t="s">
        <v>103</v>
      </c>
      <c r="L13" s="198" t="s">
        <v>270</v>
      </c>
      <c r="M13" s="198" t="s">
        <v>69</v>
      </c>
      <c r="N13" s="198" t="s">
        <v>81</v>
      </c>
      <c r="O13" s="198" t="s">
        <v>123</v>
      </c>
      <c r="P13" s="198" t="s">
        <v>64</v>
      </c>
      <c r="Q13" s="95" t="s">
        <v>271</v>
      </c>
      <c r="R13" s="126"/>
      <c r="S13" s="95">
        <f>COUNTIF('Status data'!$A13:$H13,"1")</f>
        <v>0</v>
      </c>
      <c r="T13" s="95">
        <f>COUNTIF('Status data'!$A13:$H13,"2")</f>
        <v>0</v>
      </c>
      <c r="U13" s="95">
        <f>COUNTIF('Status data'!$A13:$H13,"3")</f>
        <v>0</v>
      </c>
      <c r="V13" s="126"/>
      <c r="W13" s="126"/>
      <c r="X13" s="199"/>
      <c r="Y13" s="199"/>
      <c r="Z13" s="199"/>
      <c r="AA13" s="199"/>
      <c r="AB13" s="102"/>
      <c r="AC13" s="103"/>
      <c r="AD13" s="103"/>
      <c r="AE13" s="103"/>
      <c r="AF13" s="107"/>
      <c r="AG13" s="108"/>
      <c r="AH13" s="109"/>
      <c r="AI13" s="108"/>
      <c r="AJ13" s="108"/>
      <c r="AK13" s="111"/>
      <c r="AL13" s="112"/>
      <c r="AM13" s="113"/>
      <c r="AN13" s="113"/>
    </row>
    <row r="14">
      <c r="A14" s="134"/>
      <c r="B14" s="135">
        <v>7.0</v>
      </c>
      <c r="C14" s="137" t="s">
        <v>91</v>
      </c>
      <c r="D14" s="137">
        <v>19.0</v>
      </c>
      <c r="E14" s="137" t="s">
        <v>266</v>
      </c>
      <c r="F14" s="139">
        <v>0.5833333333333334</v>
      </c>
      <c r="G14" s="137" t="s">
        <v>107</v>
      </c>
      <c r="H14" s="137" t="s">
        <v>65</v>
      </c>
      <c r="I14" s="140" t="s">
        <v>95</v>
      </c>
      <c r="J14" s="140" t="s">
        <v>71</v>
      </c>
      <c r="K14" s="198" t="s">
        <v>148</v>
      </c>
      <c r="L14" s="198" t="s">
        <v>157</v>
      </c>
      <c r="M14" s="198" t="s">
        <v>131</v>
      </c>
      <c r="N14" s="198" t="s">
        <v>85</v>
      </c>
      <c r="O14" s="198" t="s">
        <v>176</v>
      </c>
      <c r="P14" s="198"/>
      <c r="Q14" s="95"/>
      <c r="R14" s="126"/>
      <c r="S14" s="95">
        <f>COUNTIF('Status data'!$A14:$H14,"1")</f>
        <v>0</v>
      </c>
      <c r="T14" s="95">
        <f>COUNTIF('Status data'!$A14:$H14,"2")</f>
        <v>0</v>
      </c>
      <c r="U14" s="95">
        <f>COUNTIF('Status data'!$A14:$H14,"3")</f>
        <v>0</v>
      </c>
      <c r="V14" s="126"/>
      <c r="W14" s="126"/>
      <c r="X14" s="199"/>
      <c r="Y14" s="199"/>
      <c r="Z14" s="199"/>
      <c r="AA14" s="199"/>
      <c r="AB14" s="102"/>
      <c r="AC14" s="103"/>
      <c r="AD14" s="103"/>
      <c r="AE14" s="103"/>
      <c r="AF14" s="107" t="str">
        <f t="shared" ref="AF14:AF16" si="5">HOUR(AD14-AC14)&amp;"h"&amp;minute(AD14-AC14)&amp;"m"</f>
        <v>0h0m</v>
      </c>
      <c r="AG14" s="108"/>
      <c r="AH14" s="109"/>
      <c r="AI14" s="108"/>
      <c r="AJ14" s="108"/>
      <c r="AK14" s="111">
        <f t="shared" ref="AK14:AK16" si="6">AE14-AD14</f>
        <v>0</v>
      </c>
      <c r="AL14" s="112">
        <f t="shared" ref="AL14:AL15" si="7">AH14-AD14</f>
        <v>0</v>
      </c>
      <c r="AM14" s="113">
        <f t="shared" ref="AM14:AM15" si="8">AD14-AC14</f>
        <v>0</v>
      </c>
      <c r="AN14" s="113"/>
    </row>
    <row r="15">
      <c r="A15" s="88"/>
      <c r="B15" s="89">
        <v>7.0</v>
      </c>
      <c r="C15" s="90" t="s">
        <v>57</v>
      </c>
      <c r="D15" s="90">
        <v>20.0</v>
      </c>
      <c r="E15" s="90" t="s">
        <v>266</v>
      </c>
      <c r="F15" s="91">
        <v>0.5833333333333334</v>
      </c>
      <c r="G15" s="90" t="s">
        <v>274</v>
      </c>
      <c r="H15" s="92" t="s">
        <v>79</v>
      </c>
      <c r="I15" s="140" t="s">
        <v>101</v>
      </c>
      <c r="J15" s="140" t="s">
        <v>102</v>
      </c>
      <c r="K15" s="198" t="s">
        <v>103</v>
      </c>
      <c r="L15" s="198" t="s">
        <v>275</v>
      </c>
      <c r="M15" s="198" t="s">
        <v>248</v>
      </c>
      <c r="N15" s="198" t="s">
        <v>276</v>
      </c>
      <c r="O15" s="198" t="s">
        <v>123</v>
      </c>
      <c r="P15" s="198"/>
      <c r="Q15" s="95"/>
      <c r="R15" s="126"/>
      <c r="S15" s="95">
        <f>COUNTIF('Status data'!$A15:$H15,"1")</f>
        <v>0</v>
      </c>
      <c r="T15" s="95">
        <f>COUNTIF('Status data'!$A15:$H15,"2")</f>
        <v>0</v>
      </c>
      <c r="U15" s="95">
        <f>COUNTIF('Status data'!$A15:$H15,"3")</f>
        <v>0</v>
      </c>
      <c r="V15" s="126"/>
      <c r="W15" s="126"/>
      <c r="X15" s="199"/>
      <c r="Y15" s="199"/>
      <c r="Z15" s="199"/>
      <c r="AA15" s="199"/>
      <c r="AB15" s="102"/>
      <c r="AC15" s="211">
        <v>44086.58472222222</v>
      </c>
      <c r="AD15" s="211">
        <v>44086.691666666666</v>
      </c>
      <c r="AE15" s="103">
        <v>44087.04305555556</v>
      </c>
      <c r="AF15" s="107" t="str">
        <f t="shared" si="5"/>
        <v>2h34m</v>
      </c>
      <c r="AG15" s="108"/>
      <c r="AH15" s="109"/>
      <c r="AI15" s="109"/>
      <c r="AJ15" s="108"/>
      <c r="AK15" s="111">
        <f t="shared" si="6"/>
        <v>0.3513888889</v>
      </c>
      <c r="AL15" s="112">
        <f t="shared" si="7"/>
        <v>-44086.69167</v>
      </c>
      <c r="AM15" s="113">
        <f t="shared" si="8"/>
        <v>0.1069444444</v>
      </c>
      <c r="AN15" s="113"/>
    </row>
    <row r="16">
      <c r="A16" s="212"/>
      <c r="B16" s="213">
        <v>8.0</v>
      </c>
      <c r="C16" s="214" t="s">
        <v>91</v>
      </c>
      <c r="D16" s="214">
        <v>26.0</v>
      </c>
      <c r="E16" s="214" t="s">
        <v>266</v>
      </c>
      <c r="F16" s="215">
        <v>0.5833333333333334</v>
      </c>
      <c r="G16" s="214" t="s">
        <v>107</v>
      </c>
      <c r="H16" s="214" t="s">
        <v>80</v>
      </c>
      <c r="I16" s="216" t="s">
        <v>95</v>
      </c>
      <c r="J16" s="216" t="s">
        <v>86</v>
      </c>
      <c r="K16" s="217" t="s">
        <v>148</v>
      </c>
      <c r="L16" s="217" t="s">
        <v>157</v>
      </c>
      <c r="M16" s="217" t="s">
        <v>69</v>
      </c>
      <c r="N16" s="217" t="s">
        <v>110</v>
      </c>
      <c r="O16" s="217" t="s">
        <v>176</v>
      </c>
      <c r="P16" s="217"/>
      <c r="Q16" s="95"/>
      <c r="R16" s="126"/>
      <c r="S16" s="95">
        <f>COUNTIF('Status data'!$A16:$H16,"1")</f>
        <v>0</v>
      </c>
      <c r="T16" s="95">
        <f>COUNTIF('Status data'!$A16:$H16,"2")</f>
        <v>0</v>
      </c>
      <c r="U16" s="95">
        <f>COUNTIF('Status data'!$A16:$H16,"3")</f>
        <v>0</v>
      </c>
      <c r="V16" s="126"/>
      <c r="W16" s="126"/>
      <c r="X16" s="199"/>
      <c r="Y16" s="199"/>
      <c r="Z16" s="199"/>
      <c r="AA16" s="199"/>
      <c r="AB16" s="102"/>
      <c r="AC16" s="200"/>
      <c r="AD16" s="103"/>
      <c r="AE16" s="211"/>
      <c r="AF16" s="107" t="str">
        <f t="shared" si="5"/>
        <v>0h0m</v>
      </c>
      <c r="AG16" s="218"/>
      <c r="AH16" s="219"/>
      <c r="AI16" s="218"/>
      <c r="AJ16" s="218"/>
      <c r="AK16" s="218">
        <f t="shared" si="6"/>
        <v>0</v>
      </c>
      <c r="AL16" s="218"/>
      <c r="AM16" s="218"/>
      <c r="AN16" s="218"/>
    </row>
    <row r="17">
      <c r="A17" s="220"/>
      <c r="B17" s="221">
        <v>9.0</v>
      </c>
      <c r="C17" s="90" t="s">
        <v>91</v>
      </c>
      <c r="D17" s="90">
        <v>14.0</v>
      </c>
      <c r="E17" s="90" t="s">
        <v>278</v>
      </c>
      <c r="F17" s="222">
        <v>0.5833333333333334</v>
      </c>
      <c r="G17" s="90" t="s">
        <v>79</v>
      </c>
      <c r="H17" s="90" t="s">
        <v>140</v>
      </c>
      <c r="I17" s="223"/>
      <c r="J17" s="223"/>
      <c r="K17" s="224"/>
      <c r="L17" s="224"/>
      <c r="M17" s="224"/>
      <c r="N17" s="224"/>
      <c r="O17" s="224"/>
      <c r="P17" s="224"/>
      <c r="Q17" s="95"/>
      <c r="R17" s="126"/>
      <c r="S17" s="95">
        <f>COUNTIF('Status data'!$A17:$H17,"1")</f>
        <v>0</v>
      </c>
      <c r="T17" s="95">
        <f>COUNTIF('Status data'!$A17:$H17,"2")</f>
        <v>0</v>
      </c>
      <c r="U17" s="95">
        <f>COUNTIF('Status data'!$A17:$H17,"3")</f>
        <v>0</v>
      </c>
      <c r="V17" s="126"/>
      <c r="W17" s="126"/>
      <c r="X17" s="199"/>
      <c r="Y17" s="199"/>
      <c r="Z17" s="199"/>
      <c r="AA17" s="199"/>
      <c r="AB17" s="102"/>
      <c r="AC17" s="103"/>
      <c r="AD17" s="103"/>
      <c r="AE17" s="225"/>
      <c r="AF17" s="107"/>
      <c r="AG17" s="226"/>
      <c r="AH17" s="218"/>
      <c r="AI17" s="218"/>
      <c r="AJ17" s="218"/>
      <c r="AK17" s="218"/>
      <c r="AL17" s="218"/>
      <c r="AM17" s="218"/>
      <c r="AN17" s="218"/>
    </row>
    <row r="18">
      <c r="A18" s="227"/>
      <c r="B18" s="228">
        <v>9.0</v>
      </c>
      <c r="C18" s="138" t="s">
        <v>91</v>
      </c>
      <c r="D18" s="138">
        <v>14.0</v>
      </c>
      <c r="E18" s="138" t="s">
        <v>278</v>
      </c>
      <c r="F18" s="229">
        <v>0.5833333333333334</v>
      </c>
      <c r="G18" s="138" t="s">
        <v>107</v>
      </c>
      <c r="H18" s="138" t="s">
        <v>100</v>
      </c>
      <c r="I18" s="223"/>
      <c r="J18" s="223"/>
      <c r="K18" s="224"/>
      <c r="L18" s="224"/>
      <c r="M18" s="224"/>
      <c r="N18" s="224"/>
      <c r="O18" s="224"/>
      <c r="P18" s="224"/>
      <c r="Q18" s="95"/>
      <c r="R18" s="126"/>
      <c r="S18" s="95">
        <f>COUNTIF(#REF!,"1")</f>
        <v>0</v>
      </c>
      <c r="T18" s="95">
        <f>COUNTIF(#REF!,"2")</f>
        <v>0</v>
      </c>
      <c r="U18" s="95">
        <f>COUNTIF(#REF!,"3")</f>
        <v>0</v>
      </c>
      <c r="V18" s="126"/>
      <c r="W18" s="126"/>
      <c r="X18" s="199"/>
      <c r="Y18" s="199"/>
      <c r="Z18" s="199"/>
      <c r="AA18" s="199"/>
      <c r="AB18" s="102"/>
      <c r="AC18" s="103"/>
      <c r="AD18" s="103"/>
      <c r="AE18" s="225"/>
      <c r="AF18" s="107"/>
      <c r="AG18" s="226"/>
      <c r="AH18" s="218"/>
      <c r="AI18" s="218"/>
      <c r="AJ18" s="218"/>
      <c r="AK18" s="218"/>
      <c r="AL18" s="218"/>
      <c r="AM18" s="218"/>
      <c r="AN18" s="218"/>
    </row>
    <row r="19">
      <c r="A19" s="220"/>
      <c r="B19" s="221">
        <v>9.0</v>
      </c>
      <c r="C19" s="90" t="s">
        <v>57</v>
      </c>
      <c r="D19" s="90">
        <v>15.0</v>
      </c>
      <c r="E19" s="90" t="s">
        <v>278</v>
      </c>
      <c r="F19" s="222">
        <v>0.5833333333333334</v>
      </c>
      <c r="G19" s="90" t="s">
        <v>106</v>
      </c>
      <c r="H19" s="90" t="s">
        <v>171</v>
      </c>
      <c r="I19" s="223"/>
      <c r="J19" s="223"/>
      <c r="K19" s="224"/>
      <c r="L19" s="224"/>
      <c r="M19" s="224"/>
      <c r="N19" s="224"/>
      <c r="O19" s="224"/>
      <c r="P19" s="224"/>
      <c r="Q19" s="95"/>
      <c r="R19" s="126"/>
      <c r="S19" s="95">
        <f>COUNTIF('Status data'!$A18:$H18,"1")</f>
        <v>0</v>
      </c>
      <c r="T19" s="95">
        <f>COUNTIF('Status data'!$A18:$H18,"2")</f>
        <v>0</v>
      </c>
      <c r="U19" s="95">
        <f>COUNTIF('Status data'!$A18:$H18,"3")</f>
        <v>0</v>
      </c>
      <c r="V19" s="126"/>
      <c r="W19" s="126"/>
      <c r="X19" s="199"/>
      <c r="Y19" s="199"/>
      <c r="Z19" s="199"/>
      <c r="AA19" s="199"/>
      <c r="AB19" s="102"/>
      <c r="AC19" s="103"/>
      <c r="AD19" s="103"/>
      <c r="AE19" s="225"/>
      <c r="AF19" s="107"/>
      <c r="AG19" s="226"/>
      <c r="AH19" s="218"/>
      <c r="AI19" s="218"/>
      <c r="AJ19" s="218"/>
      <c r="AK19" s="218"/>
      <c r="AL19" s="218"/>
      <c r="AM19" s="218"/>
      <c r="AN19" s="218"/>
    </row>
    <row r="20">
      <c r="A20" s="227"/>
      <c r="B20" s="228">
        <v>10.0</v>
      </c>
      <c r="C20" s="138" t="s">
        <v>91</v>
      </c>
      <c r="D20" s="138">
        <v>21.0</v>
      </c>
      <c r="E20" s="138" t="s">
        <v>278</v>
      </c>
      <c r="F20" s="229">
        <v>0.7916666666666666</v>
      </c>
      <c r="G20" s="138" t="s">
        <v>65</v>
      </c>
      <c r="H20" s="138" t="s">
        <v>80</v>
      </c>
      <c r="I20" s="223"/>
      <c r="J20" s="223"/>
      <c r="K20" s="224"/>
      <c r="L20" s="224"/>
      <c r="M20" s="224"/>
      <c r="N20" s="224"/>
      <c r="O20" s="224"/>
      <c r="P20" s="224"/>
      <c r="Q20" s="95"/>
      <c r="R20" s="126"/>
      <c r="S20" s="95">
        <f>COUNTIF('Status data'!$A19:$H19,"1")</f>
        <v>2</v>
      </c>
      <c r="T20" s="95">
        <f>COUNTIF('Status data'!$A19:$H19,"2")</f>
        <v>2</v>
      </c>
      <c r="U20" s="95">
        <f>COUNTIF('Status data'!$A19:$H19,"3")</f>
        <v>0</v>
      </c>
      <c r="V20" s="126"/>
      <c r="W20" s="126"/>
      <c r="X20" s="199"/>
      <c r="Y20" s="199"/>
      <c r="Z20" s="199"/>
      <c r="AA20" s="199"/>
      <c r="AB20" s="102"/>
      <c r="AC20" s="103"/>
      <c r="AD20" s="103"/>
      <c r="AE20" s="225"/>
      <c r="AF20" s="107"/>
      <c r="AG20" s="226"/>
      <c r="AH20" s="218"/>
      <c r="AI20" s="218"/>
      <c r="AJ20" s="218"/>
      <c r="AK20" s="218"/>
      <c r="AL20" s="218"/>
      <c r="AM20" s="218"/>
      <c r="AN20" s="218"/>
    </row>
    <row r="21">
      <c r="A21" s="220"/>
      <c r="B21" s="221">
        <v>10.0</v>
      </c>
      <c r="C21" s="90" t="s">
        <v>57</v>
      </c>
      <c r="D21" s="90">
        <v>22.0</v>
      </c>
      <c r="E21" s="90" t="s">
        <v>278</v>
      </c>
      <c r="F21" s="222">
        <v>0.5833333333333334</v>
      </c>
      <c r="G21" s="90" t="s">
        <v>117</v>
      </c>
      <c r="H21" s="90" t="s">
        <v>274</v>
      </c>
      <c r="I21" s="223"/>
      <c r="J21" s="223"/>
      <c r="K21" s="224"/>
      <c r="L21" s="224"/>
      <c r="M21" s="224"/>
      <c r="N21" s="224"/>
      <c r="O21" s="224"/>
      <c r="P21" s="224"/>
      <c r="Q21" s="95"/>
      <c r="R21" s="126"/>
      <c r="S21" s="95">
        <f>COUNTIF('Status data'!$A20:$H20,"1")</f>
        <v>0</v>
      </c>
      <c r="T21" s="95">
        <f>COUNTIF('Status data'!$A20:$H20,"2")</f>
        <v>0</v>
      </c>
      <c r="U21" s="95">
        <f>COUNTIF('Status data'!$A20:$H20,"3")</f>
        <v>0</v>
      </c>
      <c r="V21" s="126"/>
      <c r="W21" s="126"/>
      <c r="X21" s="199"/>
      <c r="Y21" s="199"/>
      <c r="Z21" s="199"/>
      <c r="AA21" s="199"/>
      <c r="AB21" s="102"/>
      <c r="AC21" s="103"/>
      <c r="AD21" s="103"/>
      <c r="AE21" s="225"/>
      <c r="AF21" s="107"/>
      <c r="AG21" s="226"/>
      <c r="AH21" s="218"/>
      <c r="AI21" s="218"/>
      <c r="AJ21" s="218"/>
      <c r="AK21" s="218"/>
      <c r="AL21" s="218"/>
      <c r="AM21" s="218"/>
      <c r="AN21" s="218"/>
    </row>
    <row r="22">
      <c r="A22" s="227"/>
      <c r="B22" s="228">
        <v>11.0</v>
      </c>
      <c r="C22" s="138" t="s">
        <v>91</v>
      </c>
      <c r="D22" s="138">
        <v>28.0</v>
      </c>
      <c r="E22" s="138" t="s">
        <v>278</v>
      </c>
      <c r="F22" s="229">
        <v>0.5833333333333334</v>
      </c>
      <c r="G22" s="138" t="s">
        <v>100</v>
      </c>
      <c r="H22" s="138" t="s">
        <v>65</v>
      </c>
      <c r="I22" s="223"/>
      <c r="J22" s="223"/>
      <c r="K22" s="224"/>
      <c r="L22" s="224"/>
      <c r="M22" s="224"/>
      <c r="N22" s="224"/>
      <c r="O22" s="224"/>
      <c r="P22" s="224"/>
      <c r="Q22" s="95"/>
      <c r="R22" s="126"/>
      <c r="S22" s="95">
        <f>COUNTIF('Status data'!$A21:$H21,"1")</f>
        <v>0</v>
      </c>
      <c r="T22" s="95">
        <f>COUNTIF('Status data'!$A21:$H21,"2")</f>
        <v>0</v>
      </c>
      <c r="U22" s="95">
        <f>COUNTIF('Status data'!$A21:$H21,"3")</f>
        <v>0</v>
      </c>
      <c r="V22" s="126"/>
      <c r="W22" s="126"/>
      <c r="X22" s="199"/>
      <c r="Y22" s="199"/>
      <c r="Z22" s="199"/>
      <c r="AA22" s="199"/>
      <c r="AB22" s="102"/>
      <c r="AC22" s="103"/>
      <c r="AD22" s="103"/>
      <c r="AE22" s="225"/>
      <c r="AF22" s="107"/>
      <c r="AG22" s="226"/>
      <c r="AH22" s="218"/>
      <c r="AI22" s="218"/>
      <c r="AJ22" s="218"/>
      <c r="AK22" s="218"/>
      <c r="AL22" s="218"/>
      <c r="AM22" s="218"/>
      <c r="AN22" s="218"/>
    </row>
    <row r="23">
      <c r="A23" s="227"/>
      <c r="B23" s="228">
        <v>11.0</v>
      </c>
      <c r="C23" s="138" t="s">
        <v>91</v>
      </c>
      <c r="D23" s="138">
        <v>28.0</v>
      </c>
      <c r="E23" s="138" t="s">
        <v>278</v>
      </c>
      <c r="F23" s="229">
        <v>0.5833333333333334</v>
      </c>
      <c r="G23" s="138" t="s">
        <v>80</v>
      </c>
      <c r="H23" s="138" t="s">
        <v>107</v>
      </c>
      <c r="I23" s="223"/>
      <c r="J23" s="223"/>
      <c r="K23" s="224"/>
      <c r="L23" s="224"/>
      <c r="M23" s="224"/>
      <c r="N23" s="224"/>
      <c r="O23" s="224"/>
      <c r="P23" s="224"/>
      <c r="Q23" s="95"/>
      <c r="R23" s="126"/>
      <c r="S23" s="95">
        <f>COUNTIF('Status data'!$A22:$H22,"1")</f>
        <v>0</v>
      </c>
      <c r="T23" s="95">
        <f>COUNTIF('Status data'!$A22:$H22,"2")</f>
        <v>0</v>
      </c>
      <c r="U23" s="95">
        <f>COUNTIF('Status data'!$A22:$H22,"3")</f>
        <v>0</v>
      </c>
      <c r="V23" s="126"/>
      <c r="W23" s="126"/>
      <c r="X23" s="199"/>
      <c r="Y23" s="199"/>
      <c r="Z23" s="199"/>
      <c r="AA23" s="199"/>
      <c r="AB23" s="102"/>
      <c r="AC23" s="103"/>
      <c r="AD23" s="103"/>
      <c r="AE23" s="225"/>
      <c r="AF23" s="107"/>
      <c r="AG23" s="226"/>
      <c r="AH23" s="218"/>
      <c r="AI23" s="218"/>
      <c r="AJ23" s="218"/>
      <c r="AK23" s="218"/>
      <c r="AL23" s="218"/>
      <c r="AM23" s="218"/>
      <c r="AN23" s="218"/>
    </row>
    <row r="24">
      <c r="A24" s="220"/>
      <c r="B24" s="221">
        <v>11.0</v>
      </c>
      <c r="C24" s="90" t="s">
        <v>57</v>
      </c>
      <c r="D24" s="90">
        <v>29.0</v>
      </c>
      <c r="E24" s="90" t="s">
        <v>278</v>
      </c>
      <c r="F24" s="222">
        <v>0.5833333333333334</v>
      </c>
      <c r="G24" s="90" t="s">
        <v>259</v>
      </c>
      <c r="H24" s="90" t="s">
        <v>172</v>
      </c>
      <c r="I24" s="140"/>
      <c r="J24" s="140"/>
      <c r="K24" s="198"/>
      <c r="L24" s="198"/>
      <c r="M24" s="198"/>
      <c r="N24" s="198"/>
      <c r="O24" s="198"/>
      <c r="P24" s="198"/>
      <c r="Q24" s="95"/>
      <c r="R24" s="126"/>
      <c r="S24" s="95">
        <f>COUNTIF('Status data'!$A23:$H23,"1")</f>
        <v>0</v>
      </c>
      <c r="T24" s="95">
        <f>COUNTIF('Status data'!$A23:$H23,"2")</f>
        <v>0</v>
      </c>
      <c r="U24" s="95">
        <f>COUNTIF('Status data'!$A23:$H23,"3")</f>
        <v>0</v>
      </c>
      <c r="V24" s="126"/>
      <c r="W24" s="126"/>
      <c r="X24" s="199"/>
      <c r="Y24" s="199"/>
      <c r="Z24" s="199"/>
      <c r="AA24" s="199"/>
      <c r="AB24" s="102"/>
      <c r="AC24" s="103"/>
      <c r="AD24" s="103"/>
      <c r="AE24" s="225"/>
      <c r="AF24" s="107" t="str">
        <f>HOUR(AD24-AC24)&amp;"h"&amp;minute(AD24-AC24)&amp;"m"</f>
        <v>0h0m</v>
      </c>
      <c r="AG24" s="226"/>
      <c r="AH24" s="218"/>
      <c r="AI24" s="218"/>
      <c r="AJ24" s="218"/>
      <c r="AK24" s="218">
        <f>AE24-AD24</f>
        <v>0</v>
      </c>
      <c r="AL24" s="218"/>
      <c r="AM24" s="218"/>
      <c r="AN24" s="218"/>
    </row>
    <row r="25">
      <c r="A25" s="220"/>
      <c r="B25" s="221">
        <v>12.0</v>
      </c>
      <c r="C25" s="90" t="s">
        <v>91</v>
      </c>
      <c r="D25" s="90">
        <v>4.0</v>
      </c>
      <c r="E25" s="90" t="s">
        <v>285</v>
      </c>
      <c r="F25" s="222">
        <v>0.5833333333333334</v>
      </c>
      <c r="G25" s="90" t="s">
        <v>247</v>
      </c>
      <c r="H25" s="90" t="s">
        <v>156</v>
      </c>
      <c r="I25" s="140"/>
      <c r="J25" s="140"/>
      <c r="K25" s="198"/>
      <c r="L25" s="198"/>
      <c r="M25" s="198"/>
      <c r="N25" s="198"/>
      <c r="O25" s="198"/>
      <c r="P25" s="198"/>
      <c r="Q25" s="95"/>
      <c r="R25" s="126"/>
      <c r="S25" s="95">
        <f>COUNTIF('Status data'!$A24:$H24,"1")</f>
        <v>0</v>
      </c>
      <c r="T25" s="95">
        <f>COUNTIF('Status data'!$A24:$H24,"2")</f>
        <v>0</v>
      </c>
      <c r="U25" s="95">
        <f>COUNTIF('Status data'!$A24:$H24,"3")</f>
        <v>0</v>
      </c>
      <c r="V25" s="126"/>
      <c r="W25" s="126"/>
      <c r="X25" s="199"/>
      <c r="Y25" s="199"/>
      <c r="Z25" s="199"/>
      <c r="AA25" s="199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>
      <c r="A26" s="134"/>
      <c r="B26" s="135">
        <v>12.0</v>
      </c>
      <c r="C26" s="138" t="s">
        <v>91</v>
      </c>
      <c r="D26" s="137">
        <v>4.0</v>
      </c>
      <c r="E26" s="137" t="s">
        <v>285</v>
      </c>
      <c r="F26" s="139">
        <v>0.7916666666666666</v>
      </c>
      <c r="G26" s="137" t="s">
        <v>65</v>
      </c>
      <c r="H26" s="137" t="s">
        <v>107</v>
      </c>
      <c r="I26" s="140"/>
      <c r="J26" s="140"/>
      <c r="K26" s="198"/>
      <c r="L26" s="198"/>
      <c r="M26" s="198"/>
      <c r="N26" s="198"/>
      <c r="O26" s="198"/>
      <c r="P26" s="198"/>
      <c r="Q26" s="95"/>
      <c r="R26" s="126"/>
      <c r="S26" s="95">
        <f>COUNTIF('Status data'!$A25:$H25,"1")</f>
        <v>0</v>
      </c>
      <c r="T26" s="95">
        <f>COUNTIF('Status data'!$A25:$H25,"2")</f>
        <v>0</v>
      </c>
      <c r="U26" s="95">
        <f>COUNTIF('Status data'!$A25:$H25,"3")</f>
        <v>0</v>
      </c>
      <c r="V26" s="126"/>
      <c r="W26" s="126"/>
      <c r="X26" s="199"/>
      <c r="Y26" s="199"/>
      <c r="Z26" s="199"/>
      <c r="AA26" s="199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>
      <c r="A27" s="220"/>
      <c r="B27" s="221">
        <v>13.0</v>
      </c>
      <c r="C27" s="90" t="s">
        <v>91</v>
      </c>
      <c r="D27" s="90">
        <v>11.0</v>
      </c>
      <c r="E27" s="90" t="s">
        <v>285</v>
      </c>
      <c r="F27" s="222">
        <v>0.5833333333333334</v>
      </c>
      <c r="G27" s="90" t="s">
        <v>172</v>
      </c>
      <c r="H27" s="90" t="s">
        <v>117</v>
      </c>
      <c r="I27" s="140"/>
      <c r="J27" s="140"/>
      <c r="K27" s="198"/>
      <c r="L27" s="198"/>
      <c r="M27" s="198"/>
      <c r="N27" s="198"/>
      <c r="O27" s="198"/>
      <c r="P27" s="198"/>
      <c r="Q27" s="95"/>
      <c r="R27" s="126"/>
      <c r="S27" s="95">
        <f>COUNTIF('Status data'!$A26:$H26,"1")</f>
        <v>0</v>
      </c>
      <c r="T27" s="95">
        <f>COUNTIF('Status data'!$A26:$H26,"2")</f>
        <v>0</v>
      </c>
      <c r="U27" s="95">
        <f>COUNTIF('Status data'!$A26:$H26,"3")</f>
        <v>0</v>
      </c>
      <c r="V27" s="126"/>
      <c r="W27" s="126"/>
      <c r="X27" s="199"/>
      <c r="Y27" s="199"/>
      <c r="Z27" s="199"/>
      <c r="AA27" s="199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>
      <c r="A28" s="134"/>
      <c r="B28" s="135">
        <v>13.0</v>
      </c>
      <c r="C28" s="138" t="s">
        <v>91</v>
      </c>
      <c r="D28" s="137">
        <v>11.0</v>
      </c>
      <c r="E28" s="137" t="s">
        <v>285</v>
      </c>
      <c r="F28" s="139">
        <v>0.7916666666666666</v>
      </c>
      <c r="G28" s="137" t="s">
        <v>80</v>
      </c>
      <c r="H28" s="137" t="s">
        <v>100</v>
      </c>
      <c r="I28" s="140"/>
      <c r="J28" s="140"/>
      <c r="K28" s="198"/>
      <c r="L28" s="198"/>
      <c r="M28" s="198"/>
      <c r="N28" s="198"/>
      <c r="O28" s="198"/>
      <c r="P28" s="198"/>
      <c r="Q28" s="95"/>
      <c r="R28" s="126"/>
      <c r="S28" s="95">
        <f>COUNTIF('Status data'!$A27:$H27,"1")</f>
        <v>0</v>
      </c>
      <c r="T28" s="95">
        <f>COUNTIF('Status data'!$A27:$H27,"2")</f>
        <v>0</v>
      </c>
      <c r="U28" s="95">
        <f>COUNTIF('Status data'!$A27:$H27,"3")</f>
        <v>0</v>
      </c>
      <c r="V28" s="126"/>
      <c r="W28" s="126"/>
      <c r="X28" s="199"/>
      <c r="Y28" s="199"/>
      <c r="Z28" s="199"/>
      <c r="AA28" s="199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>
      <c r="A29" s="220"/>
      <c r="B29" s="221">
        <v>13.0</v>
      </c>
      <c r="C29" s="90" t="s">
        <v>57</v>
      </c>
      <c r="D29" s="90">
        <v>12.0</v>
      </c>
      <c r="E29" s="90" t="s">
        <v>285</v>
      </c>
      <c r="F29" s="222">
        <v>0.5833333333333334</v>
      </c>
      <c r="G29" s="90" t="s">
        <v>259</v>
      </c>
      <c r="H29" s="90" t="s">
        <v>106</v>
      </c>
      <c r="I29" s="140"/>
      <c r="J29" s="140"/>
      <c r="K29" s="198"/>
      <c r="L29" s="198"/>
      <c r="M29" s="198"/>
      <c r="N29" s="198"/>
      <c r="O29" s="198"/>
      <c r="P29" s="198"/>
      <c r="Q29" s="95"/>
      <c r="R29" s="126"/>
      <c r="S29" s="95">
        <f>COUNTIF('Status data'!$A28:$H28,"1")</f>
        <v>0</v>
      </c>
      <c r="T29" s="95">
        <f>COUNTIF('Status data'!$A28:$H28,"2")</f>
        <v>0</v>
      </c>
      <c r="U29" s="95">
        <f>COUNTIF('Status data'!$A28:$H28,"3")</f>
        <v>0</v>
      </c>
      <c r="V29" s="126"/>
      <c r="W29" s="126"/>
      <c r="X29" s="199"/>
      <c r="Y29" s="199"/>
      <c r="Z29" s="199"/>
      <c r="AA29" s="199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>
      <c r="A30" s="239" t="s">
        <v>296</v>
      </c>
      <c r="B30" s="135">
        <v>14.0</v>
      </c>
      <c r="C30" s="137" t="s">
        <v>91</v>
      </c>
      <c r="D30" s="138">
        <v>18.0</v>
      </c>
      <c r="E30" s="137" t="s">
        <v>285</v>
      </c>
      <c r="F30" s="139"/>
      <c r="G30" s="239"/>
      <c r="H30" s="239"/>
      <c r="I30" s="240"/>
      <c r="J30" s="240"/>
      <c r="K30" s="240"/>
      <c r="L30" s="240"/>
      <c r="M30" s="240"/>
      <c r="N30" s="240"/>
      <c r="O30" s="240"/>
      <c r="P30" s="241"/>
      <c r="Q30" s="242"/>
      <c r="R30" s="96"/>
      <c r="S30" s="95">
        <f>COUNTIF('Status data'!$A29:$H29,"1")</f>
        <v>0</v>
      </c>
      <c r="T30" s="95">
        <f>COUNTIF('Status data'!$A29:$H29,"2")</f>
        <v>0</v>
      </c>
      <c r="U30" s="95">
        <f>COUNTIF('Status data'!$A29:$H29,"3")</f>
        <v>0</v>
      </c>
      <c r="V30" s="96"/>
      <c r="W30" s="96"/>
      <c r="X30" s="96"/>
      <c r="Y30" s="96"/>
      <c r="Z30" s="243"/>
      <c r="AA30" s="244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>
      <c r="A31" s="239" t="s">
        <v>301</v>
      </c>
      <c r="B31" s="135">
        <v>14.0</v>
      </c>
      <c r="C31" s="137" t="s">
        <v>57</v>
      </c>
      <c r="D31" s="138">
        <v>18.0</v>
      </c>
      <c r="E31" s="138" t="s">
        <v>285</v>
      </c>
      <c r="F31" s="139"/>
      <c r="G31" s="239"/>
      <c r="H31" s="239"/>
      <c r="I31" s="240"/>
      <c r="J31" s="240"/>
      <c r="K31" s="240"/>
      <c r="L31" s="240"/>
      <c r="M31" s="240"/>
      <c r="N31" s="240"/>
      <c r="O31" s="240"/>
      <c r="P31" s="245"/>
      <c r="Q31" s="242"/>
      <c r="R31" s="96"/>
      <c r="S31" s="95">
        <f>COUNTIF('Status data'!$A30:$H30,"1")</f>
        <v>0</v>
      </c>
      <c r="T31" s="95">
        <f>COUNTIF('Status data'!$A30:$H30,"2")</f>
        <v>0</v>
      </c>
      <c r="U31" s="95">
        <f>COUNTIF('Status data'!$A30:$H30,"3")</f>
        <v>0</v>
      </c>
      <c r="V31" s="96"/>
      <c r="W31" s="96"/>
      <c r="X31" s="96"/>
      <c r="Y31" s="96"/>
      <c r="Z31" s="243"/>
      <c r="AA31" s="244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>
      <c r="A32" s="18" t="s">
        <v>302</v>
      </c>
      <c r="B32" s="29">
        <v>15.0</v>
      </c>
      <c r="C32" s="148" t="s">
        <v>91</v>
      </c>
      <c r="D32" s="148">
        <v>2.0</v>
      </c>
      <c r="E32" s="148" t="s">
        <v>303</v>
      </c>
      <c r="F32" s="192"/>
      <c r="G32" s="29"/>
      <c r="H32" s="29"/>
      <c r="I32" s="246"/>
      <c r="J32" s="246"/>
      <c r="K32" s="246"/>
      <c r="L32" s="246"/>
      <c r="M32" s="246"/>
      <c r="N32" s="246"/>
      <c r="O32" s="246"/>
      <c r="P32" s="241"/>
      <c r="Q32" s="242"/>
      <c r="R32" s="96"/>
      <c r="S32" s="95">
        <f>COUNTIF('Status data'!$A31:$H31,"1")</f>
        <v>0</v>
      </c>
      <c r="T32" s="95">
        <f>COUNTIF('Status data'!$A31:$H31,"2")</f>
        <v>0</v>
      </c>
      <c r="U32" s="95">
        <f>COUNTIF('Status data'!$A31:$H31,"3")</f>
        <v>0</v>
      </c>
      <c r="V32" s="96"/>
      <c r="W32" s="96"/>
      <c r="X32" s="96"/>
      <c r="Y32" s="96"/>
      <c r="Z32" s="243"/>
      <c r="AA32" s="244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>
      <c r="A33" s="18" t="s">
        <v>245</v>
      </c>
      <c r="B33" s="29">
        <v>15.0</v>
      </c>
      <c r="C33" s="148" t="s">
        <v>91</v>
      </c>
      <c r="D33" s="148">
        <v>2.0</v>
      </c>
      <c r="E33" s="148" t="s">
        <v>303</v>
      </c>
      <c r="F33" s="192"/>
      <c r="G33" s="29"/>
      <c r="H33" s="29"/>
      <c r="I33" s="246"/>
      <c r="J33" s="246"/>
      <c r="K33" s="246"/>
      <c r="L33" s="246"/>
      <c r="M33" s="246"/>
      <c r="N33" s="246"/>
      <c r="O33" s="246"/>
      <c r="P33" s="241"/>
      <c r="Q33" s="242"/>
      <c r="R33" s="96"/>
      <c r="S33" s="95">
        <f>COUNTIF('Status data'!$A32:$H32,"1")</f>
        <v>0</v>
      </c>
      <c r="T33" s="95">
        <f>COUNTIF('Status data'!$A32:$H32,"2")</f>
        <v>0</v>
      </c>
      <c r="U33" s="95">
        <f>COUNTIF('Status data'!$A32:$H32,"3")</f>
        <v>0</v>
      </c>
      <c r="V33" s="96"/>
      <c r="W33" s="96"/>
      <c r="X33" s="96"/>
      <c r="Y33" s="96"/>
      <c r="Z33" s="243"/>
      <c r="AA33" s="244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>
      <c r="A34" s="247"/>
      <c r="B34" s="248">
        <v>4.0</v>
      </c>
      <c r="C34" s="249" t="s">
        <v>304</v>
      </c>
      <c r="D34" s="249" t="s">
        <v>305</v>
      </c>
      <c r="E34" s="249" t="s">
        <v>138</v>
      </c>
      <c r="F34" s="250">
        <v>0.5833333333333334</v>
      </c>
      <c r="G34" s="249" t="s">
        <v>140</v>
      </c>
      <c r="H34" s="251" t="s">
        <v>274</v>
      </c>
      <c r="I34" s="252"/>
      <c r="J34" s="252"/>
      <c r="K34" s="253"/>
      <c r="L34" s="253"/>
      <c r="M34" s="253"/>
      <c r="N34" s="253"/>
      <c r="O34" s="253"/>
      <c r="P34" s="253"/>
      <c r="Q34" s="95"/>
      <c r="R34" s="11"/>
      <c r="S34" s="11"/>
      <c r="T34" s="11"/>
      <c r="U34" s="11"/>
      <c r="V34" s="11"/>
      <c r="W34" s="254"/>
      <c r="X34" s="255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>
      <c r="A35" s="76"/>
      <c r="B35" s="86"/>
      <c r="C35" s="11"/>
      <c r="G35" s="11"/>
      <c r="J35" s="86"/>
      <c r="K35" s="11"/>
      <c r="Q35" s="86"/>
      <c r="R35" s="11"/>
      <c r="S35" s="11"/>
      <c r="T35" s="11"/>
      <c r="U35" s="11"/>
      <c r="V35" s="11"/>
      <c r="W35" s="254"/>
      <c r="X35" s="255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>
      <c r="A36" s="76" t="s">
        <v>29</v>
      </c>
      <c r="B36" s="86"/>
      <c r="C36" s="11"/>
      <c r="G36" s="11"/>
      <c r="J36" s="86"/>
      <c r="K36" s="11"/>
      <c r="Q36" s="86"/>
      <c r="R36" s="11"/>
      <c r="S36" s="11"/>
      <c r="T36" s="11"/>
      <c r="U36" s="11"/>
      <c r="V36" s="11"/>
      <c r="W36" s="254"/>
      <c r="X36" s="255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>
      <c r="A37" s="86" t="s">
        <v>199</v>
      </c>
      <c r="B37" s="86" t="s">
        <v>64</v>
      </c>
      <c r="C37" s="11">
        <f t="shared" ref="C37:C72" si="9">COUNTIF($I$2:$O$31,B37)</f>
        <v>3</v>
      </c>
      <c r="D37" s="86"/>
      <c r="E37" s="11"/>
      <c r="G37" s="86"/>
      <c r="J37" s="11"/>
      <c r="Q37" s="11"/>
      <c r="R37" s="11"/>
      <c r="S37" s="11"/>
      <c r="T37" s="11"/>
      <c r="U37" s="11"/>
      <c r="V37" s="11"/>
      <c r="W37" s="254"/>
      <c r="X37" s="255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>
      <c r="A38" s="86" t="s">
        <v>307</v>
      </c>
      <c r="B38" s="86" t="s">
        <v>113</v>
      </c>
      <c r="C38" s="11">
        <f t="shared" si="9"/>
        <v>0</v>
      </c>
      <c r="D38" s="86"/>
      <c r="E38" s="11"/>
      <c r="G38" s="86"/>
      <c r="J38" s="11"/>
      <c r="Q38" s="11" t="str">
        <f>DATA!I65</f>
        <v/>
      </c>
      <c r="R38" s="261"/>
      <c r="S38" s="261"/>
      <c r="T38" s="261"/>
      <c r="U38" s="261"/>
      <c r="V38" s="262"/>
      <c r="W38" s="263">
        <f>SUM(Y1:Y31)</f>
        <v>0</v>
      </c>
      <c r="X38" s="264">
        <v>2.0</v>
      </c>
      <c r="Y38" s="86" t="s">
        <v>306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>
      <c r="A39" s="86" t="s">
        <v>299</v>
      </c>
      <c r="B39" s="86" t="s">
        <v>104</v>
      </c>
      <c r="C39" s="11">
        <f t="shared" si="9"/>
        <v>0</v>
      </c>
      <c r="D39" s="86"/>
      <c r="E39" s="11"/>
      <c r="G39" s="86"/>
      <c r="J39" s="11"/>
      <c r="Q39" s="11" t="str">
        <f>DATA!I66</f>
        <v/>
      </c>
      <c r="R39" s="11"/>
      <c r="S39" s="11"/>
      <c r="T39" s="11"/>
      <c r="U39" s="11"/>
      <c r="V39" s="86" t="s">
        <v>308</v>
      </c>
      <c r="W39" s="242" t="str">
        <f>AVERAGE(Y2:Y33)</f>
        <v>#DIV/0!</v>
      </c>
      <c r="X39" s="265">
        <v>1.0</v>
      </c>
      <c r="Y39" s="86" t="s">
        <v>309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>
      <c r="A40" s="87" t="s">
        <v>88</v>
      </c>
      <c r="B40" s="87" t="s">
        <v>86</v>
      </c>
      <c r="C40" s="11">
        <f t="shared" si="9"/>
        <v>7</v>
      </c>
      <c r="D40" s="86"/>
      <c r="E40" s="11"/>
      <c r="Q40" s="11" t="str">
        <f>DATA!I67</f>
        <v/>
      </c>
      <c r="R40" s="11"/>
      <c r="S40" s="11"/>
      <c r="T40" s="11"/>
      <c r="U40" s="11"/>
      <c r="V40" s="86" t="s">
        <v>310</v>
      </c>
      <c r="W40" s="11" t="str">
        <f>MEDIAN(Y2:Y33)</f>
        <v>#NUM!</v>
      </c>
      <c r="X40" s="265" t="s">
        <v>311</v>
      </c>
      <c r="Y40" s="86" t="s">
        <v>312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>
      <c r="A41" s="86" t="s">
        <v>132</v>
      </c>
      <c r="B41" s="86" t="s">
        <v>131</v>
      </c>
      <c r="C41" s="11">
        <f t="shared" si="9"/>
        <v>4</v>
      </c>
      <c r="D41" s="86"/>
      <c r="E41" s="11"/>
      <c r="G41" s="86"/>
      <c r="H41" s="11"/>
      <c r="I41" s="11"/>
      <c r="J41" s="11"/>
      <c r="Q41" s="11"/>
      <c r="R41" s="11"/>
      <c r="S41" s="11"/>
      <c r="T41" s="11"/>
      <c r="U41" s="11"/>
      <c r="V41" s="86" t="s">
        <v>313</v>
      </c>
      <c r="W41" s="11" t="str">
        <f>W39*40</f>
        <v>#DIV/0!</v>
      </c>
      <c r="X41" s="265" t="s">
        <v>314</v>
      </c>
      <c r="Y41" s="86" t="s">
        <v>315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>
      <c r="A42" s="87" t="s">
        <v>141</v>
      </c>
      <c r="B42" s="86" t="s">
        <v>98</v>
      </c>
      <c r="C42" s="11">
        <f t="shared" si="9"/>
        <v>0</v>
      </c>
      <c r="G42" s="86"/>
      <c r="H42" s="11"/>
      <c r="I42" s="11"/>
      <c r="J42" s="11"/>
      <c r="K42" s="11"/>
      <c r="L42" s="11"/>
      <c r="Q42" s="11"/>
      <c r="R42" s="11"/>
      <c r="S42" s="11"/>
      <c r="T42" s="11"/>
      <c r="U42" s="11"/>
      <c r="V42" s="86" t="s">
        <v>316</v>
      </c>
      <c r="W42" s="266">
        <f>SUM(Y2:Y33)/23*40</f>
        <v>0</v>
      </c>
      <c r="X42" s="265" t="s">
        <v>317</v>
      </c>
      <c r="Y42" s="86" t="s">
        <v>318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</row>
    <row r="43">
      <c r="A43" s="87" t="s">
        <v>151</v>
      </c>
      <c r="B43" s="87" t="s">
        <v>69</v>
      </c>
      <c r="C43" s="11">
        <f t="shared" si="9"/>
        <v>7</v>
      </c>
      <c r="G43" s="86"/>
      <c r="H43" s="11"/>
      <c r="I43" s="11"/>
      <c r="J43" s="11"/>
      <c r="K43" s="11"/>
      <c r="L43" s="11"/>
      <c r="Q43" s="11"/>
      <c r="R43" s="11"/>
      <c r="S43" s="11"/>
      <c r="T43" s="11"/>
      <c r="U43" s="11"/>
      <c r="V43" s="11"/>
      <c r="W43" s="11"/>
      <c r="X43" s="255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>
      <c r="A44" s="87" t="s">
        <v>207</v>
      </c>
      <c r="B44" s="87" t="s">
        <v>95</v>
      </c>
      <c r="C44" s="11">
        <f t="shared" si="9"/>
        <v>6</v>
      </c>
      <c r="G44" s="86"/>
      <c r="H44" s="11"/>
      <c r="I44" s="11"/>
      <c r="J44" s="11"/>
      <c r="K44" s="11"/>
      <c r="L44" s="11"/>
      <c r="Q44" s="11"/>
      <c r="R44" s="11"/>
      <c r="S44" s="11"/>
      <c r="T44" s="11"/>
      <c r="U44" s="11"/>
      <c r="V44" s="11"/>
      <c r="W44" s="11"/>
      <c r="X44" s="255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>
      <c r="A45" s="87" t="s">
        <v>208</v>
      </c>
      <c r="B45" s="87" t="s">
        <v>85</v>
      </c>
      <c r="C45" s="11">
        <f t="shared" si="9"/>
        <v>5</v>
      </c>
      <c r="D45" s="11"/>
      <c r="E45" s="87"/>
      <c r="F45" s="87"/>
      <c r="G45" s="11"/>
      <c r="H45" s="11"/>
      <c r="I45" s="87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255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>
      <c r="A46" s="267" t="s">
        <v>319</v>
      </c>
      <c r="B46" s="267" t="s">
        <v>320</v>
      </c>
      <c r="C46" s="11">
        <f t="shared" si="9"/>
        <v>0</v>
      </c>
      <c r="D46" s="11"/>
      <c r="E46" s="87"/>
      <c r="F46" s="87"/>
      <c r="G46" s="11"/>
      <c r="H46" s="11"/>
      <c r="I46" s="87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255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>
      <c r="A47" s="87" t="s">
        <v>210</v>
      </c>
      <c r="B47" s="87" t="s">
        <v>157</v>
      </c>
      <c r="C47" s="11">
        <f t="shared" si="9"/>
        <v>7</v>
      </c>
      <c r="D47" s="11"/>
      <c r="E47" s="87"/>
      <c r="F47" s="87"/>
      <c r="G47" s="11"/>
      <c r="H47" s="11"/>
      <c r="I47" s="87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55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>
      <c r="A48" s="86" t="s">
        <v>211</v>
      </c>
      <c r="B48" s="86" t="s">
        <v>82</v>
      </c>
      <c r="C48" s="11">
        <f t="shared" si="9"/>
        <v>3</v>
      </c>
      <c r="D48" s="11"/>
      <c r="E48" s="11"/>
      <c r="F48" s="11"/>
      <c r="G48" s="11"/>
      <c r="H48" s="11"/>
      <c r="I48" s="87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255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>
      <c r="A49" s="267" t="s">
        <v>321</v>
      </c>
      <c r="B49" s="267" t="s">
        <v>322</v>
      </c>
      <c r="C49" s="11">
        <f t="shared" si="9"/>
        <v>0</v>
      </c>
      <c r="D49" s="11"/>
      <c r="E49" s="11"/>
      <c r="F49" s="11"/>
      <c r="G49" s="11"/>
      <c r="H49" s="11"/>
      <c r="I49" s="87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255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</row>
    <row r="50">
      <c r="A50" s="267" t="s">
        <v>323</v>
      </c>
      <c r="B50" s="267" t="s">
        <v>324</v>
      </c>
      <c r="C50" s="11">
        <f t="shared" si="9"/>
        <v>0</v>
      </c>
      <c r="D50" s="11"/>
      <c r="E50" s="11"/>
      <c r="F50" s="11"/>
      <c r="G50" s="11"/>
      <c r="H50" s="11"/>
      <c r="I50" s="87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255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</row>
    <row r="51">
      <c r="A51" s="87" t="s">
        <v>185</v>
      </c>
      <c r="B51" s="87" t="s">
        <v>110</v>
      </c>
      <c r="C51" s="11">
        <f t="shared" si="9"/>
        <v>7</v>
      </c>
      <c r="D51" s="11"/>
      <c r="E51" s="87"/>
      <c r="F51" s="87"/>
      <c r="G51" s="11"/>
      <c r="H51" s="11"/>
      <c r="I51" s="87"/>
      <c r="J51" s="11"/>
      <c r="K51" s="11"/>
      <c r="L51" s="11"/>
      <c r="M51" s="11"/>
      <c r="N51" s="11"/>
      <c r="O51" s="11"/>
      <c r="P51" s="268"/>
      <c r="Q51" s="11"/>
      <c r="R51" s="11"/>
      <c r="S51" s="11"/>
      <c r="T51" s="11">
        <f t="shared" ref="T51:T58" si="10">SUMIF(G$2:G$33,P51,Y$2:Y$33)</f>
        <v>0</v>
      </c>
      <c r="U51" s="11" t="str">
        <f t="shared" ref="U51:U58" si="11">T51/Q51</f>
        <v>#DIV/0!</v>
      </c>
      <c r="V51" s="11"/>
      <c r="W51" s="11"/>
      <c r="X51" s="255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2">
      <c r="A52" s="267" t="s">
        <v>325</v>
      </c>
      <c r="B52" s="267" t="s">
        <v>326</v>
      </c>
      <c r="C52" s="11">
        <f t="shared" si="9"/>
        <v>0</v>
      </c>
      <c r="D52" s="11"/>
      <c r="E52" s="87"/>
      <c r="F52" s="87"/>
      <c r="G52" s="11"/>
      <c r="H52" s="11"/>
      <c r="I52" s="87"/>
      <c r="J52" s="11"/>
      <c r="K52" s="11"/>
      <c r="L52" s="11"/>
      <c r="M52" s="11"/>
      <c r="N52" s="11"/>
      <c r="O52" s="11"/>
      <c r="P52" s="268"/>
      <c r="Q52" s="11"/>
      <c r="R52" s="11"/>
      <c r="S52" s="11"/>
      <c r="T52" s="11">
        <f t="shared" si="10"/>
        <v>0</v>
      </c>
      <c r="U52" s="11" t="str">
        <f t="shared" si="11"/>
        <v>#DIV/0!</v>
      </c>
      <c r="V52" s="11"/>
      <c r="W52" s="11"/>
      <c r="X52" s="255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  <row r="53">
      <c r="A53" s="87" t="s">
        <v>164</v>
      </c>
      <c r="B53" s="87" t="s">
        <v>81</v>
      </c>
      <c r="C53" s="11">
        <f t="shared" si="9"/>
        <v>5</v>
      </c>
      <c r="D53" s="11"/>
      <c r="E53" s="87"/>
      <c r="F53" s="87"/>
      <c r="G53" s="11"/>
      <c r="H53" s="11"/>
      <c r="I53" s="87"/>
      <c r="J53" s="11"/>
      <c r="K53" s="11"/>
      <c r="L53" s="11"/>
      <c r="M53" s="11"/>
      <c r="N53" s="11"/>
      <c r="O53" s="11"/>
      <c r="P53" s="268"/>
      <c r="Q53" s="11"/>
      <c r="R53" s="11"/>
      <c r="S53" s="11"/>
      <c r="T53" s="11">
        <f t="shared" si="10"/>
        <v>0</v>
      </c>
      <c r="U53" s="11" t="str">
        <f t="shared" si="11"/>
        <v>#DIV/0!</v>
      </c>
      <c r="V53" s="11"/>
      <c r="W53" s="11"/>
      <c r="X53" s="255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</row>
    <row r="54">
      <c r="A54" s="86" t="s">
        <v>119</v>
      </c>
      <c r="B54" s="86" t="s">
        <v>118</v>
      </c>
      <c r="C54" s="11">
        <f t="shared" si="9"/>
        <v>0</v>
      </c>
      <c r="D54" s="11"/>
      <c r="E54" s="11"/>
      <c r="F54" s="11"/>
      <c r="G54" s="11"/>
      <c r="H54" s="11"/>
      <c r="I54" s="87"/>
      <c r="J54" s="11"/>
      <c r="K54" s="11"/>
      <c r="L54" s="11"/>
      <c r="M54" s="11"/>
      <c r="N54" s="11"/>
      <c r="O54" s="11"/>
      <c r="P54" s="268"/>
      <c r="Q54" s="11"/>
      <c r="R54" s="11"/>
      <c r="S54" s="11"/>
      <c r="T54" s="11">
        <f t="shared" si="10"/>
        <v>0</v>
      </c>
      <c r="U54" s="11" t="str">
        <f t="shared" si="11"/>
        <v>#DIV/0!</v>
      </c>
      <c r="V54" s="11"/>
      <c r="W54" s="11"/>
      <c r="X54" s="255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>
      <c r="A55" s="269" t="s">
        <v>327</v>
      </c>
      <c r="B55" s="267" t="s">
        <v>328</v>
      </c>
      <c r="C55" s="11">
        <f t="shared" si="9"/>
        <v>0</v>
      </c>
      <c r="D55" s="11"/>
      <c r="E55" s="87"/>
      <c r="F55" s="87"/>
      <c r="G55" s="11"/>
      <c r="H55" s="11"/>
      <c r="I55" s="87"/>
      <c r="J55" s="11"/>
      <c r="K55" s="11"/>
      <c r="L55" s="11"/>
      <c r="M55" s="11"/>
      <c r="N55" s="11"/>
      <c r="O55" s="11"/>
      <c r="P55" s="268"/>
      <c r="Q55" s="11"/>
      <c r="R55" s="11"/>
      <c r="S55" s="11"/>
      <c r="T55" s="11">
        <f t="shared" si="10"/>
        <v>0</v>
      </c>
      <c r="U55" s="11" t="str">
        <f t="shared" si="11"/>
        <v>#DIV/0!</v>
      </c>
      <c r="V55" s="11"/>
      <c r="W55" s="11"/>
      <c r="X55" s="255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>
      <c r="A56" s="269" t="s">
        <v>329</v>
      </c>
      <c r="B56" s="269" t="s">
        <v>330</v>
      </c>
      <c r="C56" s="11">
        <f t="shared" si="9"/>
        <v>0</v>
      </c>
      <c r="D56" s="11"/>
      <c r="E56" s="11"/>
      <c r="F56" s="11"/>
      <c r="G56" s="11"/>
      <c r="H56" s="11"/>
      <c r="I56" s="87"/>
      <c r="J56" s="11"/>
      <c r="K56" s="11"/>
      <c r="L56" s="11"/>
      <c r="M56" s="11"/>
      <c r="N56" s="11"/>
      <c r="O56" s="11"/>
      <c r="P56" s="268"/>
      <c r="Q56" s="11"/>
      <c r="R56" s="11"/>
      <c r="S56" s="11"/>
      <c r="T56" s="11">
        <f t="shared" si="10"/>
        <v>0</v>
      </c>
      <c r="U56" s="11" t="str">
        <f t="shared" si="11"/>
        <v>#DIV/0!</v>
      </c>
      <c r="V56" s="11"/>
      <c r="W56" s="11"/>
      <c r="X56" s="255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>
      <c r="A57" s="86" t="s">
        <v>215</v>
      </c>
      <c r="B57" s="86" t="s">
        <v>216</v>
      </c>
      <c r="C57" s="11">
        <f t="shared" si="9"/>
        <v>0</v>
      </c>
      <c r="D57" s="11"/>
      <c r="E57" s="11"/>
      <c r="F57" s="11"/>
      <c r="G57" s="11"/>
      <c r="H57" s="11"/>
      <c r="I57" s="87"/>
      <c r="J57" s="11"/>
      <c r="K57" s="11"/>
      <c r="L57" s="11"/>
      <c r="M57" s="11"/>
      <c r="N57" s="11"/>
      <c r="O57" s="11"/>
      <c r="P57" s="268"/>
      <c r="Q57" s="11"/>
      <c r="R57" s="11"/>
      <c r="S57" s="11"/>
      <c r="T57" s="11">
        <f t="shared" si="10"/>
        <v>0</v>
      </c>
      <c r="U57" s="11" t="str">
        <f t="shared" si="11"/>
        <v>#DIV/0!</v>
      </c>
      <c r="V57" s="11"/>
      <c r="W57" s="11"/>
      <c r="X57" s="255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>
      <c r="A58" s="87" t="s">
        <v>218</v>
      </c>
      <c r="B58" s="87" t="s">
        <v>72</v>
      </c>
      <c r="C58" s="11">
        <f t="shared" si="9"/>
        <v>0</v>
      </c>
      <c r="D58" s="11"/>
      <c r="E58" s="11"/>
      <c r="F58" s="11"/>
      <c r="G58" s="11"/>
      <c r="H58" s="11"/>
      <c r="I58" s="87"/>
      <c r="J58" s="11"/>
      <c r="K58" s="11"/>
      <c r="L58" s="11"/>
      <c r="M58" s="11"/>
      <c r="N58" s="11"/>
      <c r="O58" s="11"/>
      <c r="P58" s="268"/>
      <c r="Q58" s="11"/>
      <c r="R58" s="11"/>
      <c r="S58" s="11"/>
      <c r="T58" s="11">
        <f t="shared" si="10"/>
        <v>0</v>
      </c>
      <c r="U58" s="11" t="str">
        <f t="shared" si="11"/>
        <v>#DIV/0!</v>
      </c>
      <c r="V58" s="11"/>
      <c r="W58" s="11"/>
      <c r="X58" s="255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>
      <c r="A59" s="87" t="s">
        <v>220</v>
      </c>
      <c r="B59" s="87" t="s">
        <v>101</v>
      </c>
      <c r="C59" s="11">
        <f t="shared" si="9"/>
        <v>5</v>
      </c>
      <c r="D59" s="11"/>
      <c r="E59" s="87"/>
      <c r="F59" s="87"/>
      <c r="G59" s="11"/>
      <c r="H59" s="11"/>
      <c r="I59" s="87"/>
      <c r="J59" s="11"/>
      <c r="K59" s="11"/>
      <c r="L59" s="11"/>
      <c r="M59" s="11"/>
      <c r="N59" s="11"/>
      <c r="O59" s="11"/>
      <c r="P59" s="268"/>
      <c r="Q59" s="11"/>
      <c r="R59" s="11"/>
      <c r="S59" s="11"/>
      <c r="T59" s="11"/>
      <c r="U59" s="11"/>
      <c r="V59" s="11"/>
      <c r="W59" s="11"/>
      <c r="X59" s="255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>
      <c r="A60" s="267" t="s">
        <v>331</v>
      </c>
      <c r="B60" s="267" t="s">
        <v>332</v>
      </c>
      <c r="C60" s="11">
        <f t="shared" si="9"/>
        <v>0</v>
      </c>
      <c r="D60" s="11"/>
      <c r="E60" s="11"/>
      <c r="F60" s="11"/>
      <c r="G60" s="11"/>
      <c r="H60" s="11"/>
      <c r="I60" s="87"/>
      <c r="J60" s="11"/>
      <c r="K60" s="11"/>
      <c r="L60" s="11"/>
      <c r="M60" s="11"/>
      <c r="N60" s="11"/>
      <c r="O60" s="11"/>
      <c r="P60" s="226"/>
      <c r="Q60" s="11"/>
      <c r="R60" s="11"/>
      <c r="S60" s="11"/>
      <c r="T60" s="11"/>
      <c r="U60" s="11"/>
      <c r="V60" s="11"/>
      <c r="W60" s="11"/>
      <c r="X60" s="255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>
      <c r="A61" s="87" t="s">
        <v>221</v>
      </c>
      <c r="B61" s="86" t="s">
        <v>176</v>
      </c>
      <c r="C61" s="11">
        <f t="shared" si="9"/>
        <v>7</v>
      </c>
      <c r="D61" s="11"/>
      <c r="E61" s="87"/>
      <c r="F61" s="87"/>
      <c r="G61" s="11"/>
      <c r="H61" s="11"/>
      <c r="I61" s="87"/>
      <c r="J61" s="11"/>
      <c r="K61" s="11"/>
      <c r="L61" s="11"/>
      <c r="M61" s="11"/>
      <c r="N61" s="11"/>
      <c r="O61" s="11"/>
      <c r="P61" s="268"/>
      <c r="Q61" s="11"/>
      <c r="R61" s="11"/>
      <c r="S61" s="11"/>
      <c r="T61" s="11"/>
      <c r="U61" s="11"/>
      <c r="V61" s="11"/>
      <c r="W61" s="11"/>
      <c r="X61" s="255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</row>
    <row r="62">
      <c r="A62" s="87" t="s">
        <v>222</v>
      </c>
      <c r="B62" s="87" t="s">
        <v>103</v>
      </c>
      <c r="C62" s="11">
        <f t="shared" si="9"/>
        <v>5</v>
      </c>
      <c r="D62" s="11"/>
      <c r="E62" s="87"/>
      <c r="F62" s="87"/>
      <c r="G62" s="11"/>
      <c r="H62" s="11"/>
      <c r="I62" s="87"/>
      <c r="J62" s="11"/>
      <c r="K62" s="11"/>
      <c r="L62" s="11"/>
      <c r="M62" s="11"/>
      <c r="N62" s="11"/>
      <c r="O62" s="11"/>
      <c r="P62" s="268"/>
      <c r="Q62" s="11"/>
      <c r="R62" s="11"/>
      <c r="S62" s="11"/>
      <c r="T62" s="11"/>
      <c r="U62" s="11"/>
      <c r="V62" s="11"/>
      <c r="W62" s="11"/>
      <c r="X62" s="255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  <row r="63">
      <c r="A63" s="267" t="s">
        <v>333</v>
      </c>
      <c r="B63" s="267" t="s">
        <v>334</v>
      </c>
      <c r="C63" s="11">
        <f t="shared" si="9"/>
        <v>0</v>
      </c>
      <c r="D63" s="11"/>
      <c r="E63" s="87"/>
      <c r="F63" s="87"/>
      <c r="G63" s="11"/>
      <c r="H63" s="11"/>
      <c r="I63" s="87"/>
      <c r="J63" s="11"/>
      <c r="K63" s="11"/>
      <c r="L63" s="11"/>
      <c r="M63" s="11"/>
      <c r="N63" s="11"/>
      <c r="O63" s="11"/>
      <c r="P63" s="268"/>
      <c r="Q63" s="11"/>
      <c r="R63" s="11"/>
      <c r="S63" s="11"/>
      <c r="T63" s="11"/>
      <c r="U63" s="11"/>
      <c r="V63" s="11"/>
      <c r="W63" s="11"/>
      <c r="X63" s="255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</row>
    <row r="64">
      <c r="A64" s="87" t="s">
        <v>223</v>
      </c>
      <c r="B64" s="87" t="s">
        <v>123</v>
      </c>
      <c r="C64" s="11">
        <f t="shared" si="9"/>
        <v>5</v>
      </c>
      <c r="D64" s="11"/>
      <c r="E64" s="87"/>
      <c r="F64" s="87"/>
      <c r="G64" s="11"/>
      <c r="H64" s="11"/>
      <c r="I64" s="87"/>
      <c r="J64" s="11"/>
      <c r="K64" s="11"/>
      <c r="L64" s="11"/>
      <c r="M64" s="11"/>
      <c r="N64" s="11"/>
      <c r="O64" s="11"/>
      <c r="P64" s="268"/>
      <c r="Q64" s="11"/>
      <c r="R64" s="11"/>
      <c r="S64" s="11"/>
      <c r="T64" s="11"/>
      <c r="U64" s="11"/>
      <c r="V64" s="11"/>
      <c r="W64" s="11"/>
      <c r="X64" s="255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</row>
    <row r="65">
      <c r="A65" s="269" t="s">
        <v>335</v>
      </c>
      <c r="B65" s="269" t="s">
        <v>336</v>
      </c>
      <c r="C65" s="11">
        <f t="shared" si="9"/>
        <v>0</v>
      </c>
      <c r="D65" s="11"/>
      <c r="E65" s="11"/>
      <c r="F65" s="11"/>
      <c r="G65" s="11"/>
      <c r="H65" s="11"/>
      <c r="I65" s="87"/>
      <c r="J65" s="11"/>
      <c r="K65" s="11"/>
      <c r="L65" s="11"/>
      <c r="M65" s="11"/>
      <c r="N65" s="11"/>
      <c r="O65" s="11"/>
      <c r="P65" s="268"/>
      <c r="Q65" s="11"/>
      <c r="R65" s="11"/>
      <c r="S65" s="11"/>
      <c r="T65" s="11"/>
      <c r="U65" s="11"/>
      <c r="V65" s="11"/>
      <c r="W65" s="11"/>
      <c r="X65" s="255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</row>
    <row r="66">
      <c r="A66" s="87" t="s">
        <v>337</v>
      </c>
      <c r="B66" s="87" t="s">
        <v>225</v>
      </c>
      <c r="C66" s="11">
        <f t="shared" si="9"/>
        <v>0</v>
      </c>
      <c r="D66" s="11"/>
      <c r="E66" s="87"/>
      <c r="F66" s="87"/>
      <c r="G66" s="11"/>
      <c r="H66" s="11"/>
      <c r="I66" s="87"/>
      <c r="J66" s="11"/>
      <c r="K66" s="11"/>
      <c r="L66" s="11"/>
      <c r="M66" s="11"/>
      <c r="N66" s="11"/>
      <c r="O66" s="11"/>
      <c r="P66" s="268"/>
      <c r="Q66" s="11"/>
      <c r="R66" s="11"/>
      <c r="S66" s="11"/>
      <c r="T66" s="11"/>
      <c r="U66" s="11"/>
      <c r="V66" s="11"/>
      <c r="W66" s="11"/>
      <c r="X66" s="255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</row>
    <row r="67">
      <c r="A67" s="269" t="s">
        <v>338</v>
      </c>
      <c r="B67" s="267" t="s">
        <v>97</v>
      </c>
      <c r="C67" s="11">
        <f t="shared" si="9"/>
        <v>0</v>
      </c>
      <c r="D67" s="11"/>
      <c r="E67" s="87"/>
      <c r="F67" s="87"/>
      <c r="G67" s="11"/>
      <c r="H67" s="11"/>
      <c r="I67" s="87"/>
      <c r="J67" s="11"/>
      <c r="K67" s="11"/>
      <c r="L67" s="11"/>
      <c r="M67" s="11"/>
      <c r="N67" s="11"/>
      <c r="O67" s="11"/>
      <c r="P67" s="268"/>
      <c r="Q67" s="11"/>
      <c r="R67" s="11"/>
      <c r="S67" s="11"/>
      <c r="T67" s="11"/>
      <c r="U67" s="11"/>
      <c r="V67" s="11"/>
      <c r="W67" s="11"/>
      <c r="X67" s="255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</row>
    <row r="68">
      <c r="A68" s="267" t="s">
        <v>339</v>
      </c>
      <c r="B68" s="267" t="s">
        <v>340</v>
      </c>
      <c r="C68" s="11">
        <f t="shared" si="9"/>
        <v>0</v>
      </c>
      <c r="D68" s="11"/>
      <c r="E68" s="87"/>
      <c r="F68" s="87"/>
      <c r="G68" s="11"/>
      <c r="H68" s="11"/>
      <c r="I68" s="87"/>
      <c r="J68" s="11"/>
      <c r="K68" s="11"/>
      <c r="L68" s="11"/>
      <c r="M68" s="11"/>
      <c r="N68" s="11"/>
      <c r="O68" s="11"/>
      <c r="P68" s="226"/>
      <c r="Q68" s="11"/>
      <c r="R68" s="11"/>
      <c r="S68" s="11"/>
      <c r="T68" s="11"/>
      <c r="U68" s="11"/>
      <c r="V68" s="11"/>
      <c r="W68" s="11"/>
      <c r="X68" s="255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</row>
    <row r="69">
      <c r="A69" s="86" t="s">
        <v>229</v>
      </c>
      <c r="B69" s="86" t="s">
        <v>105</v>
      </c>
      <c r="C69" s="11">
        <f t="shared" si="9"/>
        <v>0</v>
      </c>
      <c r="D69" s="11"/>
      <c r="E69" s="11"/>
      <c r="F69" s="11"/>
      <c r="G69" s="11"/>
      <c r="H69" s="11"/>
      <c r="I69" s="87"/>
      <c r="J69" s="11"/>
      <c r="K69" s="11"/>
      <c r="L69" s="11"/>
      <c r="M69" s="11"/>
      <c r="N69" s="11"/>
      <c r="O69" s="11"/>
      <c r="P69" s="268"/>
      <c r="Q69" s="11"/>
      <c r="R69" s="11"/>
      <c r="S69" s="11"/>
      <c r="T69" s="11"/>
      <c r="U69" s="11"/>
      <c r="V69" s="11"/>
      <c r="W69" s="11"/>
      <c r="X69" s="255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</row>
    <row r="70">
      <c r="A70" s="267" t="s">
        <v>231</v>
      </c>
      <c r="B70" s="267" t="s">
        <v>148</v>
      </c>
      <c r="C70" s="11">
        <f t="shared" si="9"/>
        <v>7</v>
      </c>
      <c r="D70" s="11"/>
      <c r="E70" s="87"/>
      <c r="F70" s="87"/>
      <c r="G70" s="11"/>
      <c r="H70" s="11"/>
      <c r="I70" s="87"/>
      <c r="J70" s="11"/>
      <c r="K70" s="11"/>
      <c r="L70" s="11"/>
      <c r="M70" s="11"/>
      <c r="N70" s="11"/>
      <c r="O70" s="11"/>
      <c r="P70" s="268"/>
      <c r="Q70" s="11"/>
      <c r="R70" s="11"/>
      <c r="S70" s="11"/>
      <c r="T70" s="11"/>
      <c r="U70" s="11"/>
      <c r="V70" s="11"/>
      <c r="W70" s="11"/>
      <c r="X70" s="255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</row>
    <row r="71">
      <c r="A71" s="267" t="s">
        <v>145</v>
      </c>
      <c r="B71" s="267" t="s">
        <v>144</v>
      </c>
      <c r="C71" s="11">
        <f t="shared" si="9"/>
        <v>0</v>
      </c>
      <c r="D71" s="11"/>
      <c r="E71" s="87"/>
      <c r="F71" s="87"/>
      <c r="G71" s="11"/>
      <c r="H71" s="11"/>
      <c r="I71" s="87"/>
      <c r="J71" s="11"/>
      <c r="K71" s="11"/>
      <c r="L71" s="11"/>
      <c r="M71" s="11"/>
      <c r="N71" s="11"/>
      <c r="O71" s="11"/>
      <c r="P71" s="226"/>
      <c r="Q71" s="11"/>
      <c r="R71" s="11"/>
      <c r="S71" s="11"/>
      <c r="T71" s="11"/>
      <c r="U71" s="11"/>
      <c r="V71" s="11"/>
      <c r="W71" s="11"/>
      <c r="X71" s="255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>
      <c r="A72" s="87" t="s">
        <v>232</v>
      </c>
      <c r="B72" s="87" t="s">
        <v>71</v>
      </c>
      <c r="C72" s="11">
        <f t="shared" si="9"/>
        <v>5</v>
      </c>
      <c r="D72" s="11"/>
      <c r="E72" s="11"/>
      <c r="F72" s="11"/>
      <c r="G72" s="11"/>
      <c r="H72" s="11"/>
      <c r="I72" s="87"/>
      <c r="J72" s="11"/>
      <c r="K72" s="11"/>
      <c r="L72" s="11"/>
      <c r="M72" s="11"/>
      <c r="N72" s="11"/>
      <c r="O72" s="11"/>
      <c r="P72" s="268"/>
      <c r="Q72" s="11"/>
      <c r="R72" s="11"/>
      <c r="S72" s="11"/>
      <c r="T72" s="11"/>
      <c r="U72" s="11"/>
      <c r="V72" s="11"/>
      <c r="W72" s="11"/>
      <c r="X72" s="255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268"/>
      <c r="Q73" s="11"/>
      <c r="R73" s="261"/>
      <c r="S73" s="261"/>
      <c r="T73" s="261"/>
      <c r="U73" s="261"/>
      <c r="V73" s="261"/>
      <c r="W73" s="261"/>
      <c r="X73" s="255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>
      <c r="A74" s="27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268"/>
      <c r="Q74" s="11" t="str">
        <f>DATA!I64</f>
        <v/>
      </c>
      <c r="R74" s="261"/>
      <c r="S74" s="261"/>
      <c r="T74" s="261"/>
      <c r="U74" s="261"/>
      <c r="V74" s="261"/>
      <c r="W74" s="261" t="str">
        <f>AVERAGE(W34:W72)</f>
        <v>#DIV/0!</v>
      </c>
      <c r="X74" s="265">
        <v>3.0</v>
      </c>
      <c r="Y74" s="86" t="s">
        <v>341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>
      <c r="A75" s="11"/>
      <c r="B75" s="11"/>
      <c r="C75" s="11"/>
      <c r="D75" s="11"/>
      <c r="E75" s="11"/>
      <c r="F75" s="11"/>
      <c r="G75" s="11"/>
      <c r="H75" s="11"/>
      <c r="I75" s="87"/>
      <c r="J75" s="11"/>
      <c r="K75" s="11"/>
      <c r="L75" s="11"/>
      <c r="M75" s="11"/>
      <c r="N75" s="11"/>
      <c r="O75" s="11"/>
      <c r="P75" s="226"/>
      <c r="Q75" s="11"/>
      <c r="R75" s="11"/>
      <c r="S75" s="11"/>
      <c r="T75" s="11"/>
      <c r="U75" s="11"/>
      <c r="V75" s="11"/>
      <c r="W75" s="11"/>
      <c r="X75" s="255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>
      <c r="A76" s="11"/>
      <c r="B76" s="11"/>
      <c r="C76" s="11"/>
      <c r="D76" s="11"/>
      <c r="E76" s="11"/>
      <c r="F76" s="11"/>
      <c r="G76" s="11"/>
      <c r="H76" s="11"/>
      <c r="I76" s="87"/>
      <c r="J76" s="11"/>
      <c r="K76" s="11"/>
      <c r="L76" s="11"/>
      <c r="M76" s="11"/>
      <c r="N76" s="11"/>
      <c r="O76" s="11"/>
      <c r="P76" s="268"/>
      <c r="Q76" s="11"/>
      <c r="R76" s="11"/>
      <c r="S76" s="11"/>
      <c r="T76" s="11"/>
      <c r="U76" s="11"/>
      <c r="V76" s="11"/>
      <c r="W76" s="11"/>
      <c r="X76" s="255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>
      <c r="A77" s="11"/>
      <c r="B77" s="11"/>
      <c r="C77" s="11"/>
      <c r="D77" s="11"/>
      <c r="E77" s="11"/>
      <c r="F77" s="11"/>
      <c r="G77" s="11"/>
      <c r="H77" s="11"/>
      <c r="I77" s="87"/>
      <c r="J77" s="11"/>
      <c r="K77" s="11"/>
      <c r="L77" s="11"/>
      <c r="M77" s="11"/>
      <c r="N77" s="11"/>
      <c r="O77" s="11"/>
      <c r="P77" s="268"/>
      <c r="Q77" s="11"/>
      <c r="R77" s="11"/>
      <c r="S77" s="11"/>
      <c r="T77" s="11"/>
      <c r="U77" s="11"/>
      <c r="V77" s="11"/>
      <c r="W77" s="11"/>
      <c r="X77" s="255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>
      <c r="A78" s="11"/>
      <c r="B78" s="11"/>
      <c r="C78" s="11"/>
      <c r="D78" s="11"/>
      <c r="E78" s="11"/>
      <c r="F78" s="11"/>
      <c r="G78" s="11"/>
      <c r="H78" s="11"/>
      <c r="I78" s="87"/>
      <c r="J78" s="11"/>
      <c r="K78" s="11"/>
      <c r="L78" s="11"/>
      <c r="M78" s="11"/>
      <c r="N78" s="11"/>
      <c r="O78" s="11"/>
      <c r="P78" s="268"/>
      <c r="Q78" s="11"/>
      <c r="R78" s="11"/>
      <c r="S78" s="11"/>
      <c r="T78" s="11"/>
      <c r="U78" s="11"/>
      <c r="V78" s="11"/>
      <c r="W78" s="11"/>
      <c r="X78" s="255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>
      <c r="A79" s="11"/>
      <c r="B79" s="11"/>
      <c r="C79" s="11"/>
      <c r="D79" s="11"/>
      <c r="E79" s="11"/>
      <c r="F79" s="11"/>
      <c r="G79" s="11"/>
      <c r="H79" s="11"/>
      <c r="I79" s="87"/>
      <c r="J79" s="11"/>
      <c r="K79" s="11"/>
      <c r="L79" s="11"/>
      <c r="M79" s="11"/>
      <c r="N79" s="11"/>
      <c r="O79" s="11"/>
      <c r="P79" s="226"/>
      <c r="Q79" s="11"/>
      <c r="R79" s="11"/>
      <c r="S79" s="11"/>
      <c r="T79" s="11"/>
      <c r="U79" s="11"/>
      <c r="V79" s="11"/>
      <c r="W79" s="11"/>
      <c r="X79" s="255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>
      <c r="A80" s="11"/>
      <c r="B80" s="11"/>
      <c r="C80" s="11"/>
      <c r="D80" s="11"/>
      <c r="E80" s="11"/>
      <c r="F80" s="11"/>
      <c r="G80" s="11"/>
      <c r="H80" s="11"/>
      <c r="I80" s="87"/>
      <c r="J80" s="11"/>
      <c r="K80" s="11"/>
      <c r="L80" s="11"/>
      <c r="M80" s="11"/>
      <c r="N80" s="11"/>
      <c r="O80" s="11"/>
      <c r="P80" s="98"/>
      <c r="Q80" s="11"/>
      <c r="R80" s="11"/>
      <c r="S80" s="11"/>
      <c r="T80" s="11"/>
      <c r="U80" s="11"/>
      <c r="V80" s="11"/>
      <c r="W80" s="11"/>
      <c r="X80" s="255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>
      <c r="A81" s="11"/>
      <c r="B81" s="11"/>
      <c r="C81" s="11"/>
      <c r="D81" s="11"/>
      <c r="E81" s="11"/>
      <c r="F81" s="11"/>
      <c r="G81" s="11"/>
      <c r="H81" s="11"/>
      <c r="I81" s="87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255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>
      <c r="A82" s="11"/>
      <c r="B82" s="11"/>
      <c r="C82" s="11"/>
      <c r="D82" s="11"/>
      <c r="E82" s="11"/>
      <c r="F82" s="11"/>
      <c r="G82" s="11"/>
      <c r="H82" s="11"/>
      <c r="I82" s="87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255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>
      <c r="A83" s="11"/>
      <c r="B83" s="11"/>
      <c r="C83" s="11"/>
      <c r="D83" s="11"/>
      <c r="E83" s="11"/>
      <c r="F83" s="11"/>
      <c r="G83" s="11"/>
      <c r="H83" s="11"/>
      <c r="I83" s="87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255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>
      <c r="A84" s="11"/>
      <c r="B84" s="11"/>
      <c r="C84" s="11"/>
      <c r="D84" s="11"/>
      <c r="E84" s="11"/>
      <c r="F84" s="11"/>
      <c r="G84" s="11"/>
      <c r="H84" s="11"/>
      <c r="I84" s="87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255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>
      <c r="A85" s="11"/>
      <c r="B85" s="11"/>
      <c r="C85" s="11"/>
      <c r="D85" s="11"/>
      <c r="E85" s="11"/>
      <c r="F85" s="11"/>
      <c r="G85" s="11"/>
      <c r="H85" s="11"/>
      <c r="I85" s="87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255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>
      <c r="A86" s="11"/>
      <c r="B86" s="11"/>
      <c r="C86" s="11"/>
      <c r="D86" s="11"/>
      <c r="E86" s="11"/>
      <c r="F86" s="11"/>
      <c r="G86" s="11"/>
      <c r="H86" s="11"/>
      <c r="I86" s="87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255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</row>
    <row r="87">
      <c r="A87" s="11"/>
      <c r="B87" s="11"/>
      <c r="C87" s="11"/>
      <c r="D87" s="11"/>
      <c r="E87" s="11"/>
      <c r="F87" s="11"/>
      <c r="G87" s="11"/>
      <c r="H87" s="11"/>
      <c r="I87" s="87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255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</row>
    <row r="88">
      <c r="A88" s="11"/>
      <c r="B88" s="11"/>
      <c r="C88" s="11"/>
      <c r="D88" s="11"/>
      <c r="E88" s="11"/>
      <c r="F88" s="11"/>
      <c r="G88" s="11"/>
      <c r="H88" s="11"/>
      <c r="I88" s="87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255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</row>
    <row r="89">
      <c r="A89" s="11"/>
      <c r="B89" s="11"/>
      <c r="C89" s="11"/>
      <c r="D89" s="11"/>
      <c r="E89" s="11"/>
      <c r="F89" s="11"/>
      <c r="G89" s="11"/>
      <c r="H89" s="11"/>
      <c r="I89" s="87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255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</row>
    <row r="90">
      <c r="A90" s="11"/>
      <c r="B90" s="11"/>
      <c r="C90" s="11"/>
      <c r="D90" s="11"/>
      <c r="E90" s="11"/>
      <c r="F90" s="11"/>
      <c r="G90" s="11"/>
      <c r="H90" s="11"/>
      <c r="I90" s="87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255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</row>
    <row r="91">
      <c r="A91" s="11"/>
      <c r="B91" s="11"/>
      <c r="C91" s="11"/>
      <c r="D91" s="11"/>
      <c r="E91" s="11"/>
      <c r="F91" s="11"/>
      <c r="G91" s="11"/>
      <c r="H91" s="11"/>
      <c r="I91" s="87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255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>
      <c r="A92" s="11"/>
      <c r="B92" s="11"/>
      <c r="C92" s="11"/>
      <c r="D92" s="11"/>
      <c r="E92" s="11"/>
      <c r="F92" s="11"/>
      <c r="G92" s="11"/>
      <c r="H92" s="11"/>
      <c r="I92" s="87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255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>
      <c r="A93" s="11"/>
      <c r="B93" s="11"/>
      <c r="C93" s="11"/>
      <c r="D93" s="11"/>
      <c r="E93" s="11"/>
      <c r="F93" s="11"/>
      <c r="G93" s="11"/>
      <c r="H93" s="11"/>
      <c r="I93" s="87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255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>
      <c r="A94" s="11"/>
      <c r="B94" s="11"/>
      <c r="C94" s="11"/>
      <c r="D94" s="11"/>
      <c r="E94" s="11"/>
      <c r="F94" s="11"/>
      <c r="G94" s="11"/>
      <c r="H94" s="11"/>
      <c r="I94" s="87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255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>
      <c r="A95" s="11"/>
      <c r="B95" s="11"/>
      <c r="C95" s="11"/>
      <c r="D95" s="11"/>
      <c r="E95" s="11"/>
      <c r="F95" s="11"/>
      <c r="G95" s="11"/>
      <c r="H95" s="11"/>
      <c r="I95" s="87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255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</row>
    <row r="96">
      <c r="A96" s="11"/>
      <c r="B96" s="11"/>
      <c r="C96" s="11"/>
      <c r="D96" s="11"/>
      <c r="E96" s="11"/>
      <c r="F96" s="11"/>
      <c r="G96" s="11"/>
      <c r="H96" s="11"/>
      <c r="I96" s="87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255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</row>
    <row r="97">
      <c r="A97" s="11"/>
      <c r="B97" s="11"/>
      <c r="C97" s="11"/>
      <c r="D97" s="11"/>
      <c r="E97" s="11"/>
      <c r="F97" s="11"/>
      <c r="G97" s="11"/>
      <c r="H97" s="11"/>
      <c r="I97" s="87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255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</row>
    <row r="98">
      <c r="A98" s="11"/>
      <c r="B98" s="11"/>
      <c r="C98" s="11"/>
      <c r="D98" s="11"/>
      <c r="E98" s="11"/>
      <c r="F98" s="11"/>
      <c r="G98" s="11"/>
      <c r="H98" s="11"/>
      <c r="I98" s="87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255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</row>
  </sheetData>
  <autoFilter ref="$A$1:$AG$62"/>
  <conditionalFormatting sqref="I2:P34">
    <cfRule type="containsBlanks" dxfId="0" priority="1">
      <formula>LEN(TRIM(I2))=0</formula>
    </cfRule>
  </conditionalFormatting>
  <conditionalFormatting sqref="I2:P34">
    <cfRule type="notContainsText" dxfId="1" priority="2" operator="notContains" text="(">
      <formula>ISERROR(SEARCH(("("),(I2)))</formula>
    </cfRule>
  </conditionalFormatting>
  <conditionalFormatting sqref="I2:P34">
    <cfRule type="containsText" dxfId="2" priority="3" operator="containsText" text="(">
      <formula>NOT(ISERROR(SEARCH(("("),(I2))))</formula>
    </cfRule>
  </conditionalFormatting>
  <conditionalFormatting sqref="F2:F34">
    <cfRule type="notContainsText" dxfId="3" priority="4" operator="notContains" text="14.00">
      <formula>ISERROR(SEARCH(("14.00"),(F2)))</formula>
    </cfRule>
  </conditionalFormatting>
  <printOptions gridLines="1" horizontalCentered="1"/>
  <pageMargins bottom="0.75" footer="0.0" header="0.0" left="0.7" right="0.7" top="0.75"/>
  <pageSetup paperSize="9" scale="73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3" max="3" width="9.88"/>
    <col customWidth="1" min="4" max="4" width="29.13"/>
    <col customWidth="1" min="5" max="5" width="16.63"/>
    <col customWidth="1" hidden="1" min="6" max="6" width="28.38"/>
  </cols>
  <sheetData>
    <row r="1">
      <c r="A1" s="3" t="s">
        <v>30</v>
      </c>
      <c r="B1" s="3" t="s">
        <v>29</v>
      </c>
      <c r="C1" s="3" t="s">
        <v>189</v>
      </c>
      <c r="D1" s="24" t="s">
        <v>190</v>
      </c>
      <c r="E1" s="136" t="s">
        <v>191</v>
      </c>
      <c r="F1" s="136" t="s">
        <v>192</v>
      </c>
      <c r="G1" s="153"/>
    </row>
    <row r="2">
      <c r="A2" s="3" t="s">
        <v>59</v>
      </c>
      <c r="B2" s="155" t="s">
        <v>58</v>
      </c>
      <c r="C2" s="3" t="s">
        <v>193</v>
      </c>
      <c r="D2" s="24" t="s">
        <v>194</v>
      </c>
      <c r="E2" s="136" t="s">
        <v>12</v>
      </c>
      <c r="F2" s="136">
        <v>3.0</v>
      </c>
      <c r="G2" s="158"/>
    </row>
    <row r="3">
      <c r="A3" s="3" t="s">
        <v>195</v>
      </c>
      <c r="B3" s="155" t="s">
        <v>102</v>
      </c>
      <c r="C3" s="3" t="s">
        <v>197</v>
      </c>
      <c r="D3" s="24" t="s">
        <v>198</v>
      </c>
      <c r="E3" s="136" t="s">
        <v>10</v>
      </c>
      <c r="F3" s="136">
        <v>3.0</v>
      </c>
      <c r="G3" s="158"/>
    </row>
    <row r="4">
      <c r="A4" s="155" t="s">
        <v>199</v>
      </c>
      <c r="B4" s="155" t="s">
        <v>64</v>
      </c>
      <c r="C4" s="3" t="s">
        <v>197</v>
      </c>
      <c r="D4" s="24" t="s">
        <v>200</v>
      </c>
      <c r="E4" s="136" t="s">
        <v>13</v>
      </c>
      <c r="F4" s="136">
        <v>2.0</v>
      </c>
      <c r="G4" s="158"/>
    </row>
    <row r="5">
      <c r="A5" s="3" t="s">
        <v>114</v>
      </c>
      <c r="B5" s="3" t="s">
        <v>113</v>
      </c>
      <c r="C5" s="3" t="s">
        <v>201</v>
      </c>
      <c r="D5" s="24" t="s">
        <v>202</v>
      </c>
      <c r="E5" s="136" t="s">
        <v>13</v>
      </c>
      <c r="F5" s="136">
        <v>3.0</v>
      </c>
      <c r="G5" s="158"/>
    </row>
    <row r="6">
      <c r="A6" s="155" t="s">
        <v>88</v>
      </c>
      <c r="B6" s="155" t="s">
        <v>86</v>
      </c>
      <c r="C6" s="3" t="s">
        <v>193</v>
      </c>
      <c r="D6" s="24" t="s">
        <v>203</v>
      </c>
      <c r="E6" s="136" t="s">
        <v>10</v>
      </c>
      <c r="F6" s="136">
        <v>1.0</v>
      </c>
      <c r="G6" s="158"/>
    </row>
    <row r="7">
      <c r="A7" s="155" t="s">
        <v>132</v>
      </c>
      <c r="B7" s="155" t="s">
        <v>131</v>
      </c>
      <c r="C7" s="3" t="s">
        <v>197</v>
      </c>
      <c r="D7" s="24" t="s">
        <v>204</v>
      </c>
      <c r="E7" s="136" t="s">
        <v>13</v>
      </c>
      <c r="F7" s="136">
        <v>2.0</v>
      </c>
      <c r="G7" s="158"/>
    </row>
    <row r="8">
      <c r="A8" s="155" t="s">
        <v>141</v>
      </c>
      <c r="B8" s="155" t="s">
        <v>98</v>
      </c>
      <c r="C8" s="3" t="s">
        <v>197</v>
      </c>
      <c r="D8" s="24" t="s">
        <v>205</v>
      </c>
      <c r="E8" s="136" t="s">
        <v>14</v>
      </c>
      <c r="F8" s="136">
        <v>2.0</v>
      </c>
      <c r="G8" s="158"/>
    </row>
    <row r="9">
      <c r="A9" s="155" t="s">
        <v>151</v>
      </c>
      <c r="B9" s="155" t="s">
        <v>69</v>
      </c>
      <c r="C9" s="3" t="s">
        <v>197</v>
      </c>
      <c r="D9" s="24" t="s">
        <v>206</v>
      </c>
      <c r="E9" s="136" t="s">
        <v>13</v>
      </c>
      <c r="F9" s="136">
        <v>1.0</v>
      </c>
      <c r="G9" s="158"/>
    </row>
    <row r="10">
      <c r="A10" s="155" t="s">
        <v>207</v>
      </c>
      <c r="B10" s="155" t="s">
        <v>95</v>
      </c>
      <c r="C10" s="3" t="s">
        <v>197</v>
      </c>
      <c r="D10" s="24" t="s">
        <v>206</v>
      </c>
      <c r="E10" s="136" t="s">
        <v>9</v>
      </c>
      <c r="F10" s="136">
        <v>1.0</v>
      </c>
      <c r="G10" s="158"/>
    </row>
    <row r="11">
      <c r="A11" s="155" t="s">
        <v>208</v>
      </c>
      <c r="B11" s="155" t="s">
        <v>85</v>
      </c>
      <c r="C11" s="3" t="s">
        <v>197</v>
      </c>
      <c r="D11" s="24" t="s">
        <v>209</v>
      </c>
      <c r="E11" s="136" t="s">
        <v>14</v>
      </c>
      <c r="F11" s="136">
        <v>1.0</v>
      </c>
      <c r="G11" s="158"/>
    </row>
    <row r="12">
      <c r="A12" s="3" t="s">
        <v>210</v>
      </c>
      <c r="B12" s="155" t="s">
        <v>157</v>
      </c>
      <c r="C12" s="3" t="s">
        <v>201</v>
      </c>
      <c r="D12" s="24" t="s">
        <v>200</v>
      </c>
      <c r="E12" s="136" t="s">
        <v>12</v>
      </c>
      <c r="F12" s="136">
        <v>1.0</v>
      </c>
      <c r="G12" s="158"/>
    </row>
    <row r="13">
      <c r="A13" s="155" t="s">
        <v>211</v>
      </c>
      <c r="B13" s="155" t="s">
        <v>82</v>
      </c>
      <c r="C13" s="3" t="s">
        <v>197</v>
      </c>
      <c r="D13" s="24" t="s">
        <v>204</v>
      </c>
      <c r="E13" s="136" t="s">
        <v>12</v>
      </c>
      <c r="F13" s="136">
        <v>2.0</v>
      </c>
      <c r="G13" s="158"/>
    </row>
    <row r="14">
      <c r="A14" s="3" t="s">
        <v>212</v>
      </c>
      <c r="B14" s="155" t="s">
        <v>111</v>
      </c>
      <c r="C14" s="3" t="s">
        <v>193</v>
      </c>
      <c r="D14" s="24" t="s">
        <v>7</v>
      </c>
      <c r="E14" s="136" t="s">
        <v>10</v>
      </c>
      <c r="F14" s="136">
        <v>2.0</v>
      </c>
      <c r="G14" s="158"/>
    </row>
    <row r="15">
      <c r="A15" s="155" t="s">
        <v>185</v>
      </c>
      <c r="B15" s="155" t="s">
        <v>110</v>
      </c>
      <c r="C15" s="3" t="s">
        <v>197</v>
      </c>
      <c r="D15" s="24" t="s">
        <v>206</v>
      </c>
      <c r="E15" s="136" t="s">
        <v>14</v>
      </c>
      <c r="F15" s="136">
        <v>2.0</v>
      </c>
      <c r="G15" s="158"/>
    </row>
    <row r="16">
      <c r="A16" s="155" t="s">
        <v>164</v>
      </c>
      <c r="B16" s="155" t="s">
        <v>81</v>
      </c>
      <c r="C16" s="3" t="s">
        <v>197</v>
      </c>
      <c r="D16" s="24" t="s">
        <v>206</v>
      </c>
      <c r="E16" s="136" t="s">
        <v>14</v>
      </c>
      <c r="F16" s="136">
        <v>1.0</v>
      </c>
      <c r="G16" s="158"/>
    </row>
    <row r="17">
      <c r="A17" s="155" t="s">
        <v>119</v>
      </c>
      <c r="B17" s="155" t="s">
        <v>118</v>
      </c>
      <c r="C17" s="3" t="s">
        <v>193</v>
      </c>
      <c r="D17" s="24" t="s">
        <v>7</v>
      </c>
      <c r="E17" s="136" t="s">
        <v>120</v>
      </c>
      <c r="F17" s="136">
        <v>3.0</v>
      </c>
      <c r="G17" s="158"/>
    </row>
    <row r="18">
      <c r="A18" s="155" t="s">
        <v>215</v>
      </c>
      <c r="B18" s="155" t="s">
        <v>216</v>
      </c>
      <c r="C18" s="3" t="s">
        <v>197</v>
      </c>
      <c r="D18" s="24" t="s">
        <v>201</v>
      </c>
      <c r="E18" s="136" t="s">
        <v>13</v>
      </c>
      <c r="F18" s="136">
        <v>3.0</v>
      </c>
      <c r="G18" s="158"/>
    </row>
    <row r="19">
      <c r="A19" s="155" t="s">
        <v>218</v>
      </c>
      <c r="B19" s="155" t="s">
        <v>72</v>
      </c>
      <c r="C19" s="3" t="s">
        <v>197</v>
      </c>
      <c r="D19" s="24" t="s">
        <v>219</v>
      </c>
      <c r="E19" s="136" t="s">
        <v>12</v>
      </c>
      <c r="F19" s="136">
        <v>1.0</v>
      </c>
      <c r="G19" s="158"/>
    </row>
    <row r="20">
      <c r="A20" s="155" t="s">
        <v>220</v>
      </c>
      <c r="B20" s="155" t="s">
        <v>101</v>
      </c>
      <c r="C20" s="3" t="s">
        <v>197</v>
      </c>
      <c r="D20" s="24" t="s">
        <v>200</v>
      </c>
      <c r="E20" s="136" t="s">
        <v>9</v>
      </c>
      <c r="F20" s="136">
        <v>1.0</v>
      </c>
      <c r="G20" s="158"/>
    </row>
    <row r="21">
      <c r="A21" s="155" t="s">
        <v>221</v>
      </c>
      <c r="B21" s="155" t="s">
        <v>176</v>
      </c>
      <c r="C21" s="3" t="s">
        <v>197</v>
      </c>
      <c r="D21" s="24" t="s">
        <v>219</v>
      </c>
      <c r="E21" s="136" t="s">
        <v>15</v>
      </c>
      <c r="F21" s="136">
        <v>2.0</v>
      </c>
      <c r="G21" s="158"/>
    </row>
    <row r="22">
      <c r="A22" s="155" t="s">
        <v>222</v>
      </c>
      <c r="B22" s="155" t="s">
        <v>103</v>
      </c>
      <c r="C22" s="3" t="s">
        <v>197</v>
      </c>
      <c r="D22" s="24" t="s">
        <v>206</v>
      </c>
      <c r="E22" s="136" t="s">
        <v>12</v>
      </c>
      <c r="F22" s="136">
        <v>1.0</v>
      </c>
      <c r="G22" s="158"/>
    </row>
    <row r="23">
      <c r="A23" s="155" t="s">
        <v>223</v>
      </c>
      <c r="B23" s="155" t="s">
        <v>123</v>
      </c>
      <c r="C23" s="3" t="s">
        <v>197</v>
      </c>
      <c r="D23" s="24" t="s">
        <v>219</v>
      </c>
      <c r="E23" s="136" t="s">
        <v>15</v>
      </c>
      <c r="F23" s="136">
        <v>2.0</v>
      </c>
      <c r="G23" s="158"/>
    </row>
    <row r="24">
      <c r="A24" s="3" t="s">
        <v>129</v>
      </c>
      <c r="B24" s="3" t="s">
        <v>128</v>
      </c>
      <c r="C24" s="3" t="s">
        <v>193</v>
      </c>
      <c r="D24" s="24" t="s">
        <v>7</v>
      </c>
      <c r="E24" s="136" t="s">
        <v>13</v>
      </c>
      <c r="F24" s="136">
        <v>2.0</v>
      </c>
      <c r="G24" s="158"/>
    </row>
    <row r="25">
      <c r="A25" s="3" t="s">
        <v>224</v>
      </c>
      <c r="B25" s="155" t="s">
        <v>225</v>
      </c>
      <c r="C25" s="3" t="s">
        <v>197</v>
      </c>
      <c r="D25" s="24" t="s">
        <v>226</v>
      </c>
      <c r="E25" s="136" t="s">
        <v>120</v>
      </c>
      <c r="F25" s="136">
        <v>1.0</v>
      </c>
      <c r="G25" s="158"/>
    </row>
    <row r="26">
      <c r="A26" s="3" t="s">
        <v>227</v>
      </c>
      <c r="B26" s="155" t="s">
        <v>228</v>
      </c>
      <c r="C26" s="3" t="s">
        <v>197</v>
      </c>
      <c r="D26" s="24" t="e">
        <v>#N/A</v>
      </c>
      <c r="E26" s="136" t="s">
        <v>12</v>
      </c>
      <c r="F26" s="136">
        <v>3.0</v>
      </c>
      <c r="G26" s="158"/>
    </row>
    <row r="27">
      <c r="A27" s="155" t="s">
        <v>229</v>
      </c>
      <c r="B27" s="155" t="s">
        <v>105</v>
      </c>
      <c r="C27" s="3" t="s">
        <v>197</v>
      </c>
      <c r="D27" s="24" t="s">
        <v>230</v>
      </c>
      <c r="E27" s="136" t="s">
        <v>14</v>
      </c>
      <c r="F27" s="136">
        <v>3.0</v>
      </c>
      <c r="G27" s="158"/>
    </row>
    <row r="28">
      <c r="A28" s="3" t="s">
        <v>231</v>
      </c>
      <c r="B28" s="155" t="s">
        <v>148</v>
      </c>
      <c r="C28" s="3" t="s">
        <v>197</v>
      </c>
      <c r="D28" s="24" t="e">
        <v>#N/A</v>
      </c>
      <c r="E28" s="136" t="s">
        <v>120</v>
      </c>
      <c r="F28" s="136">
        <v>1.0</v>
      </c>
      <c r="G28" s="158"/>
    </row>
    <row r="29">
      <c r="A29" s="3" t="s">
        <v>145</v>
      </c>
      <c r="B29" s="155" t="s">
        <v>144</v>
      </c>
      <c r="C29" s="3" t="s">
        <v>193</v>
      </c>
      <c r="D29" s="24" t="s">
        <v>7</v>
      </c>
      <c r="E29" s="136" t="s">
        <v>10</v>
      </c>
      <c r="F29" s="153"/>
      <c r="G29" s="158"/>
    </row>
    <row r="30">
      <c r="A30" s="155" t="s">
        <v>232</v>
      </c>
      <c r="B30" s="155" t="s">
        <v>71</v>
      </c>
      <c r="C30" s="3" t="s">
        <v>197</v>
      </c>
      <c r="D30" s="24" t="s">
        <v>206</v>
      </c>
      <c r="E30" s="136" t="s">
        <v>10</v>
      </c>
      <c r="F30" s="136">
        <v>2.0</v>
      </c>
      <c r="G30" s="158"/>
    </row>
    <row r="31">
      <c r="A31" s="3" t="s">
        <v>233</v>
      </c>
      <c r="B31" s="3" t="s">
        <v>234</v>
      </c>
      <c r="C31" s="3"/>
      <c r="D31" s="3" t="s">
        <v>235</v>
      </c>
      <c r="E31" s="153"/>
      <c r="F31" s="180">
        <v>3.0</v>
      </c>
    </row>
    <row r="32">
      <c r="D32" s="182"/>
      <c r="E32" s="153"/>
      <c r="F32" s="158"/>
    </row>
    <row r="33">
      <c r="D33" s="182"/>
      <c r="E33" s="153"/>
      <c r="F33" s="158"/>
    </row>
    <row r="34">
      <c r="D34" s="182"/>
      <c r="E34" s="153"/>
      <c r="F34" s="158"/>
    </row>
    <row r="35">
      <c r="D35" s="182"/>
      <c r="E35" s="153"/>
      <c r="F35" s="158"/>
    </row>
    <row r="36">
      <c r="D36" s="182"/>
      <c r="E36" s="153"/>
      <c r="F36" s="158"/>
    </row>
    <row r="37">
      <c r="D37" s="182"/>
      <c r="E37" s="153"/>
      <c r="F37" s="158"/>
    </row>
    <row r="38">
      <c r="D38" s="182"/>
      <c r="E38" s="153"/>
      <c r="F38" s="158"/>
    </row>
    <row r="39">
      <c r="D39" s="182"/>
      <c r="E39" s="153"/>
      <c r="F39" s="158"/>
    </row>
    <row r="40">
      <c r="D40" s="182"/>
      <c r="E40" s="153"/>
      <c r="F40" s="158"/>
    </row>
    <row r="41">
      <c r="D41" s="182"/>
      <c r="E41" s="153"/>
      <c r="F41" s="158"/>
    </row>
    <row r="42">
      <c r="D42" s="182"/>
      <c r="E42" s="153"/>
      <c r="F42" s="158"/>
    </row>
    <row r="43">
      <c r="D43" s="182"/>
      <c r="E43" s="153"/>
      <c r="F43" s="158"/>
    </row>
    <row r="44">
      <c r="D44" s="182"/>
      <c r="E44" s="153"/>
      <c r="F44" s="158"/>
    </row>
    <row r="45">
      <c r="D45" s="182"/>
      <c r="E45" s="153"/>
      <c r="F45" s="158"/>
    </row>
    <row r="46">
      <c r="D46" s="182"/>
      <c r="E46" s="153"/>
      <c r="F46" s="158"/>
    </row>
    <row r="47">
      <c r="D47" s="182"/>
      <c r="E47" s="153"/>
      <c r="F47" s="158"/>
    </row>
    <row r="48">
      <c r="D48" s="182"/>
      <c r="E48" s="153"/>
      <c r="F48" s="158"/>
    </row>
    <row r="49">
      <c r="D49" s="182"/>
      <c r="E49" s="153"/>
      <c r="F49" s="158"/>
    </row>
    <row r="50">
      <c r="D50" s="182"/>
      <c r="E50" s="153"/>
      <c r="F50" s="158"/>
    </row>
    <row r="51">
      <c r="D51" s="182"/>
      <c r="E51" s="153"/>
      <c r="F51" s="158"/>
    </row>
    <row r="52">
      <c r="D52" s="182"/>
      <c r="E52" s="153"/>
      <c r="F52" s="158"/>
    </row>
    <row r="53">
      <c r="D53" s="182"/>
      <c r="E53" s="153"/>
      <c r="F53" s="158"/>
    </row>
    <row r="54">
      <c r="D54" s="182"/>
      <c r="E54" s="153"/>
      <c r="F54" s="158"/>
    </row>
    <row r="55">
      <c r="D55" s="182"/>
      <c r="E55" s="153"/>
      <c r="F55" s="158"/>
    </row>
    <row r="56">
      <c r="D56" s="182"/>
      <c r="E56" s="153"/>
      <c r="F56" s="158"/>
    </row>
    <row r="57">
      <c r="D57" s="182"/>
      <c r="E57" s="153"/>
      <c r="F57" s="158"/>
    </row>
    <row r="58">
      <c r="D58" s="182"/>
      <c r="E58" s="153"/>
      <c r="F58" s="158"/>
    </row>
    <row r="59">
      <c r="D59" s="182"/>
      <c r="E59" s="153"/>
      <c r="F59" s="158"/>
    </row>
    <row r="60">
      <c r="D60" s="182"/>
      <c r="E60" s="153"/>
      <c r="F60" s="158"/>
    </row>
    <row r="61">
      <c r="D61" s="182"/>
      <c r="E61" s="153"/>
      <c r="F61" s="153"/>
    </row>
    <row r="62">
      <c r="D62" s="182"/>
      <c r="E62" s="153"/>
      <c r="F62" s="153"/>
    </row>
    <row r="63">
      <c r="D63" s="182"/>
      <c r="E63" s="153"/>
      <c r="F63" s="153"/>
    </row>
    <row r="64">
      <c r="D64" s="182"/>
      <c r="E64" s="153"/>
      <c r="F64" s="153"/>
    </row>
    <row r="65">
      <c r="D65" s="182"/>
      <c r="E65" s="153"/>
      <c r="F65" s="153"/>
    </row>
    <row r="66">
      <c r="D66" s="182"/>
      <c r="E66" s="153"/>
      <c r="F66" s="153"/>
    </row>
    <row r="67">
      <c r="D67" s="182"/>
      <c r="E67" s="153"/>
      <c r="F67" s="153"/>
    </row>
    <row r="68">
      <c r="D68" s="182"/>
      <c r="E68" s="153"/>
      <c r="F68" s="153"/>
    </row>
    <row r="69">
      <c r="D69" s="182"/>
      <c r="E69" s="153"/>
      <c r="F69" s="153"/>
    </row>
    <row r="70">
      <c r="D70" s="182"/>
      <c r="E70" s="153"/>
      <c r="F70" s="153"/>
    </row>
    <row r="71">
      <c r="D71" s="182"/>
      <c r="E71" s="153"/>
      <c r="F71" s="153"/>
    </row>
    <row r="72">
      <c r="D72" s="182"/>
      <c r="E72" s="153"/>
      <c r="F72" s="153"/>
    </row>
    <row r="73">
      <c r="D73" s="182"/>
      <c r="E73" s="153"/>
      <c r="F73" s="153"/>
    </row>
    <row r="74">
      <c r="D74" s="182"/>
      <c r="E74" s="153"/>
      <c r="F74" s="153"/>
    </row>
    <row r="75">
      <c r="D75" s="182"/>
      <c r="E75" s="153"/>
      <c r="F75" s="153"/>
    </row>
    <row r="76">
      <c r="D76" s="182"/>
      <c r="E76" s="153"/>
      <c r="F76" s="153"/>
    </row>
    <row r="77">
      <c r="D77" s="182"/>
      <c r="E77" s="153"/>
      <c r="F77" s="153"/>
    </row>
    <row r="78">
      <c r="D78" s="182"/>
      <c r="E78" s="153"/>
      <c r="F78" s="153"/>
    </row>
    <row r="79">
      <c r="D79" s="182"/>
      <c r="E79" s="153"/>
      <c r="F79" s="153"/>
    </row>
    <row r="80">
      <c r="D80" s="182"/>
      <c r="E80" s="153"/>
      <c r="F80" s="153"/>
    </row>
    <row r="81">
      <c r="D81" s="182"/>
      <c r="E81" s="153"/>
      <c r="F81" s="153"/>
    </row>
    <row r="82">
      <c r="D82" s="182"/>
      <c r="E82" s="153"/>
      <c r="F82" s="153"/>
    </row>
    <row r="83">
      <c r="D83" s="182"/>
      <c r="E83" s="153"/>
      <c r="F83" s="153"/>
    </row>
    <row r="84">
      <c r="D84" s="182"/>
      <c r="E84" s="153"/>
      <c r="F84" s="153"/>
    </row>
    <row r="85">
      <c r="D85" s="182"/>
      <c r="E85" s="153"/>
      <c r="F85" s="153"/>
    </row>
    <row r="86">
      <c r="D86" s="182"/>
      <c r="E86" s="153"/>
      <c r="F86" s="153"/>
    </row>
    <row r="87">
      <c r="D87" s="182"/>
      <c r="E87" s="153"/>
      <c r="F87" s="153"/>
    </row>
    <row r="88">
      <c r="D88" s="182"/>
      <c r="E88" s="153"/>
      <c r="F88" s="153"/>
    </row>
    <row r="89">
      <c r="D89" s="182"/>
      <c r="E89" s="153"/>
      <c r="F89" s="153"/>
    </row>
    <row r="90">
      <c r="D90" s="182"/>
      <c r="E90" s="153"/>
      <c r="F90" s="153"/>
    </row>
    <row r="91">
      <c r="D91" s="182"/>
      <c r="E91" s="153"/>
      <c r="F91" s="153"/>
    </row>
    <row r="92">
      <c r="D92" s="182"/>
      <c r="E92" s="153"/>
      <c r="F92" s="153"/>
    </row>
    <row r="93">
      <c r="D93" s="182"/>
      <c r="E93" s="153"/>
      <c r="F93" s="153"/>
    </row>
    <row r="94">
      <c r="D94" s="182"/>
      <c r="E94" s="153"/>
      <c r="F94" s="153"/>
    </row>
    <row r="95">
      <c r="D95" s="182"/>
      <c r="E95" s="153"/>
      <c r="F95" s="153"/>
    </row>
    <row r="96">
      <c r="D96" s="182"/>
      <c r="E96" s="153"/>
      <c r="F96" s="153"/>
    </row>
    <row r="97">
      <c r="D97" s="182"/>
      <c r="E97" s="153"/>
      <c r="F97" s="153"/>
    </row>
    <row r="98">
      <c r="D98" s="182"/>
      <c r="E98" s="153"/>
      <c r="F98" s="153"/>
    </row>
    <row r="99">
      <c r="D99" s="182"/>
      <c r="E99" s="153"/>
      <c r="F99" s="153"/>
    </row>
    <row r="100">
      <c r="D100" s="182"/>
      <c r="E100" s="153"/>
      <c r="F100" s="153"/>
    </row>
    <row r="101">
      <c r="D101" s="182"/>
      <c r="E101" s="153"/>
      <c r="F101" s="153"/>
    </row>
    <row r="102">
      <c r="D102" s="182"/>
      <c r="E102" s="153"/>
      <c r="F102" s="153"/>
    </row>
    <row r="103">
      <c r="D103" s="182"/>
      <c r="E103" s="153"/>
      <c r="F103" s="153"/>
    </row>
    <row r="104">
      <c r="D104" s="182"/>
      <c r="E104" s="153"/>
      <c r="F104" s="153"/>
    </row>
    <row r="105">
      <c r="D105" s="182"/>
      <c r="E105" s="153"/>
      <c r="F105" s="153"/>
    </row>
    <row r="106">
      <c r="D106" s="182"/>
      <c r="E106" s="153"/>
      <c r="F106" s="153"/>
    </row>
    <row r="107">
      <c r="D107" s="182"/>
      <c r="E107" s="153"/>
      <c r="F107" s="153"/>
    </row>
    <row r="108">
      <c r="D108" s="182"/>
      <c r="E108" s="153"/>
      <c r="F108" s="153"/>
    </row>
    <row r="109">
      <c r="D109" s="182"/>
      <c r="E109" s="153"/>
      <c r="F109" s="153"/>
    </row>
    <row r="110">
      <c r="D110" s="182"/>
      <c r="E110" s="153"/>
      <c r="F110" s="153"/>
    </row>
    <row r="111">
      <c r="D111" s="182"/>
      <c r="E111" s="153"/>
      <c r="F111" s="153"/>
    </row>
    <row r="112">
      <c r="D112" s="182"/>
      <c r="E112" s="153"/>
      <c r="F112" s="153"/>
    </row>
    <row r="113">
      <c r="D113" s="182"/>
      <c r="E113" s="153"/>
      <c r="F113" s="153"/>
    </row>
    <row r="114">
      <c r="D114" s="182"/>
      <c r="E114" s="153"/>
      <c r="F114" s="153"/>
    </row>
    <row r="115">
      <c r="D115" s="182"/>
      <c r="E115" s="153"/>
      <c r="F115" s="153"/>
    </row>
    <row r="116">
      <c r="D116" s="182"/>
      <c r="E116" s="153"/>
      <c r="F116" s="153"/>
    </row>
    <row r="117">
      <c r="D117" s="182"/>
      <c r="E117" s="153"/>
      <c r="F117" s="153"/>
    </row>
    <row r="118">
      <c r="D118" s="182"/>
      <c r="E118" s="153"/>
      <c r="F118" s="153"/>
    </row>
    <row r="119">
      <c r="D119" s="182"/>
      <c r="E119" s="153"/>
      <c r="F119" s="153"/>
    </row>
    <row r="120">
      <c r="D120" s="182"/>
      <c r="E120" s="153"/>
      <c r="F120" s="153"/>
    </row>
    <row r="121">
      <c r="D121" s="182"/>
      <c r="E121" s="153"/>
      <c r="F121" s="153"/>
    </row>
    <row r="122">
      <c r="D122" s="182"/>
      <c r="E122" s="153"/>
      <c r="F122" s="153"/>
    </row>
    <row r="123">
      <c r="D123" s="182"/>
      <c r="E123" s="153"/>
      <c r="F123" s="153"/>
    </row>
    <row r="124">
      <c r="D124" s="182"/>
      <c r="E124" s="153"/>
      <c r="F124" s="153"/>
    </row>
    <row r="125">
      <c r="D125" s="182"/>
      <c r="E125" s="153"/>
      <c r="F125" s="153"/>
    </row>
    <row r="126">
      <c r="D126" s="182"/>
      <c r="E126" s="153"/>
      <c r="F126" s="153"/>
    </row>
    <row r="127">
      <c r="D127" s="182"/>
      <c r="E127" s="153"/>
      <c r="F127" s="153"/>
    </row>
    <row r="128">
      <c r="D128" s="182"/>
      <c r="E128" s="153"/>
      <c r="F128" s="153"/>
    </row>
    <row r="129">
      <c r="D129" s="182"/>
      <c r="E129" s="153"/>
      <c r="F129" s="153"/>
    </row>
    <row r="130">
      <c r="D130" s="182"/>
      <c r="E130" s="153"/>
      <c r="F130" s="153"/>
    </row>
    <row r="131">
      <c r="D131" s="182"/>
      <c r="E131" s="153"/>
      <c r="F131" s="153"/>
    </row>
    <row r="132">
      <c r="D132" s="182"/>
      <c r="E132" s="153"/>
      <c r="F132" s="153"/>
    </row>
    <row r="133">
      <c r="D133" s="182"/>
      <c r="E133" s="153"/>
      <c r="F133" s="153"/>
    </row>
    <row r="134">
      <c r="D134" s="182"/>
      <c r="E134" s="153"/>
      <c r="F134" s="153"/>
    </row>
    <row r="135">
      <c r="D135" s="182"/>
      <c r="E135" s="153"/>
      <c r="F135" s="153"/>
    </row>
    <row r="136">
      <c r="D136" s="182"/>
      <c r="E136" s="153"/>
      <c r="F136" s="153"/>
    </row>
    <row r="137">
      <c r="D137" s="182"/>
      <c r="E137" s="153"/>
      <c r="F137" s="153"/>
    </row>
    <row r="138">
      <c r="D138" s="182"/>
      <c r="E138" s="153"/>
      <c r="F138" s="153"/>
    </row>
    <row r="139">
      <c r="D139" s="182"/>
      <c r="E139" s="153"/>
      <c r="F139" s="153"/>
    </row>
    <row r="140">
      <c r="D140" s="182"/>
      <c r="E140" s="153"/>
      <c r="F140" s="153"/>
    </row>
    <row r="141">
      <c r="D141" s="182"/>
      <c r="E141" s="153"/>
      <c r="F141" s="153"/>
    </row>
    <row r="142">
      <c r="D142" s="182"/>
      <c r="E142" s="153"/>
      <c r="F142" s="153"/>
    </row>
    <row r="143">
      <c r="D143" s="182"/>
      <c r="E143" s="153"/>
      <c r="F143" s="153"/>
    </row>
    <row r="144">
      <c r="D144" s="182"/>
      <c r="E144" s="153"/>
      <c r="F144" s="153"/>
    </row>
    <row r="145">
      <c r="D145" s="182"/>
      <c r="E145" s="153"/>
      <c r="F145" s="153"/>
    </row>
    <row r="146">
      <c r="D146" s="182"/>
      <c r="E146" s="153"/>
      <c r="F146" s="153"/>
    </row>
    <row r="147">
      <c r="D147" s="182"/>
      <c r="E147" s="153"/>
      <c r="F147" s="153"/>
    </row>
    <row r="148">
      <c r="D148" s="182"/>
      <c r="E148" s="153"/>
      <c r="F148" s="153"/>
    </row>
    <row r="149">
      <c r="D149" s="182"/>
      <c r="E149" s="153"/>
      <c r="F149" s="153"/>
    </row>
    <row r="150">
      <c r="D150" s="182"/>
      <c r="E150" s="153"/>
      <c r="F150" s="153"/>
    </row>
    <row r="151">
      <c r="D151" s="182"/>
      <c r="E151" s="153"/>
      <c r="F151" s="153"/>
    </row>
    <row r="152">
      <c r="D152" s="182"/>
      <c r="E152" s="153"/>
      <c r="F152" s="153"/>
    </row>
    <row r="153">
      <c r="D153" s="182"/>
      <c r="E153" s="153"/>
      <c r="F153" s="153"/>
    </row>
    <row r="154">
      <c r="D154" s="182"/>
      <c r="E154" s="153"/>
      <c r="F154" s="153"/>
    </row>
    <row r="155">
      <c r="D155" s="182"/>
      <c r="E155" s="153"/>
      <c r="F155" s="153"/>
    </row>
    <row r="156">
      <c r="D156" s="182"/>
      <c r="E156" s="153"/>
      <c r="F156" s="153"/>
    </row>
    <row r="157">
      <c r="D157" s="182"/>
      <c r="E157" s="153"/>
      <c r="F157" s="153"/>
    </row>
    <row r="158">
      <c r="D158" s="182"/>
      <c r="E158" s="153"/>
      <c r="F158" s="153"/>
    </row>
    <row r="159">
      <c r="D159" s="182"/>
      <c r="E159" s="153"/>
      <c r="F159" s="153"/>
    </row>
    <row r="160">
      <c r="D160" s="182"/>
      <c r="E160" s="153"/>
      <c r="F160" s="153"/>
    </row>
    <row r="161">
      <c r="D161" s="182"/>
      <c r="E161" s="153"/>
      <c r="F161" s="153"/>
    </row>
    <row r="162">
      <c r="D162" s="182"/>
      <c r="E162" s="153"/>
      <c r="F162" s="153"/>
    </row>
    <row r="163">
      <c r="D163" s="182"/>
      <c r="E163" s="153"/>
      <c r="F163" s="153"/>
    </row>
    <row r="164">
      <c r="D164" s="182"/>
      <c r="E164" s="153"/>
      <c r="F164" s="153"/>
    </row>
    <row r="165">
      <c r="D165" s="182"/>
      <c r="E165" s="153"/>
      <c r="F165" s="153"/>
    </row>
    <row r="166">
      <c r="D166" s="182"/>
      <c r="E166" s="153"/>
      <c r="F166" s="153"/>
    </row>
    <row r="167">
      <c r="D167" s="182"/>
      <c r="E167" s="153"/>
      <c r="F167" s="153"/>
    </row>
    <row r="168">
      <c r="D168" s="182"/>
      <c r="E168" s="153"/>
      <c r="F168" s="153"/>
    </row>
    <row r="169">
      <c r="D169" s="182"/>
      <c r="E169" s="153"/>
      <c r="F169" s="153"/>
    </row>
    <row r="170">
      <c r="D170" s="182"/>
      <c r="E170" s="153"/>
      <c r="F170" s="153"/>
    </row>
    <row r="171">
      <c r="D171" s="182"/>
      <c r="E171" s="153"/>
      <c r="F171" s="153"/>
    </row>
    <row r="172">
      <c r="D172" s="182"/>
      <c r="E172" s="153"/>
      <c r="F172" s="153"/>
    </row>
    <row r="173">
      <c r="D173" s="182"/>
      <c r="E173" s="153"/>
      <c r="F173" s="153"/>
    </row>
    <row r="174">
      <c r="D174" s="182"/>
      <c r="E174" s="153"/>
      <c r="F174" s="153"/>
    </row>
    <row r="175">
      <c r="D175" s="182"/>
      <c r="E175" s="153"/>
      <c r="F175" s="153"/>
    </row>
    <row r="176">
      <c r="D176" s="182"/>
      <c r="E176" s="153"/>
      <c r="F176" s="153"/>
    </row>
    <row r="177">
      <c r="D177" s="182"/>
      <c r="E177" s="153"/>
      <c r="F177" s="153"/>
    </row>
    <row r="178">
      <c r="D178" s="182"/>
      <c r="E178" s="153"/>
      <c r="F178" s="153"/>
    </row>
    <row r="179">
      <c r="D179" s="182"/>
      <c r="E179" s="153"/>
      <c r="F179" s="153"/>
    </row>
    <row r="180">
      <c r="D180" s="182"/>
      <c r="E180" s="153"/>
      <c r="F180" s="153"/>
    </row>
    <row r="181">
      <c r="D181" s="182"/>
      <c r="E181" s="153"/>
      <c r="F181" s="153"/>
    </row>
    <row r="182">
      <c r="D182" s="182"/>
      <c r="E182" s="153"/>
      <c r="F182" s="153"/>
    </row>
    <row r="183">
      <c r="D183" s="182"/>
      <c r="E183" s="153"/>
      <c r="F183" s="153"/>
    </row>
    <row r="184">
      <c r="D184" s="182"/>
      <c r="E184" s="153"/>
      <c r="F184" s="153"/>
    </row>
    <row r="185">
      <c r="D185" s="182"/>
      <c r="E185" s="153"/>
      <c r="F185" s="153"/>
    </row>
    <row r="186">
      <c r="D186" s="182"/>
      <c r="E186" s="153"/>
      <c r="F186" s="153"/>
    </row>
    <row r="187">
      <c r="D187" s="182"/>
      <c r="E187" s="153"/>
      <c r="F187" s="153"/>
    </row>
    <row r="188">
      <c r="D188" s="182"/>
      <c r="E188" s="153"/>
      <c r="F188" s="153"/>
    </row>
    <row r="189">
      <c r="D189" s="182"/>
      <c r="E189" s="153"/>
      <c r="F189" s="153"/>
    </row>
    <row r="190">
      <c r="D190" s="182"/>
      <c r="E190" s="153"/>
      <c r="F190" s="153"/>
    </row>
    <row r="191">
      <c r="D191" s="182"/>
      <c r="E191" s="153"/>
      <c r="F191" s="153"/>
    </row>
    <row r="192">
      <c r="D192" s="182"/>
      <c r="E192" s="153"/>
      <c r="F192" s="153"/>
    </row>
    <row r="193">
      <c r="D193" s="182"/>
      <c r="E193" s="153"/>
      <c r="F193" s="153"/>
    </row>
    <row r="194">
      <c r="D194" s="182"/>
      <c r="E194" s="153"/>
      <c r="F194" s="153"/>
    </row>
    <row r="195">
      <c r="D195" s="182"/>
      <c r="E195" s="153"/>
      <c r="F195" s="153"/>
    </row>
    <row r="196">
      <c r="D196" s="182"/>
      <c r="E196" s="153"/>
      <c r="F196" s="153"/>
    </row>
    <row r="197">
      <c r="D197" s="182"/>
      <c r="E197" s="153"/>
      <c r="F197" s="153"/>
    </row>
    <row r="198">
      <c r="D198" s="182"/>
      <c r="E198" s="153"/>
      <c r="F198" s="153"/>
    </row>
    <row r="199">
      <c r="D199" s="182"/>
      <c r="E199" s="153"/>
      <c r="F199" s="153"/>
    </row>
    <row r="200">
      <c r="D200" s="182"/>
      <c r="E200" s="153"/>
      <c r="F200" s="153"/>
    </row>
    <row r="201">
      <c r="D201" s="182"/>
      <c r="E201" s="153"/>
      <c r="F201" s="153"/>
    </row>
    <row r="202">
      <c r="D202" s="182"/>
      <c r="E202" s="153"/>
      <c r="F202" s="153"/>
    </row>
    <row r="203">
      <c r="D203" s="182"/>
      <c r="E203" s="153"/>
      <c r="F203" s="153"/>
    </row>
    <row r="204">
      <c r="D204" s="182"/>
      <c r="E204" s="153"/>
      <c r="F204" s="153"/>
    </row>
    <row r="205">
      <c r="D205" s="182"/>
      <c r="E205" s="153"/>
      <c r="F205" s="153"/>
    </row>
    <row r="206">
      <c r="D206" s="182"/>
      <c r="E206" s="153"/>
      <c r="F206" s="153"/>
    </row>
    <row r="207">
      <c r="D207" s="182"/>
      <c r="E207" s="153"/>
      <c r="F207" s="153"/>
    </row>
    <row r="208">
      <c r="D208" s="182"/>
      <c r="E208" s="153"/>
      <c r="F208" s="153"/>
    </row>
    <row r="209">
      <c r="D209" s="182"/>
      <c r="E209" s="153"/>
      <c r="F209" s="153"/>
    </row>
    <row r="210">
      <c r="D210" s="182"/>
      <c r="E210" s="153"/>
      <c r="F210" s="153"/>
    </row>
    <row r="211">
      <c r="D211" s="182"/>
      <c r="E211" s="153"/>
      <c r="F211" s="153"/>
    </row>
    <row r="212">
      <c r="D212" s="182"/>
      <c r="E212" s="153"/>
      <c r="F212" s="153"/>
    </row>
    <row r="213">
      <c r="D213" s="182"/>
      <c r="E213" s="153"/>
      <c r="F213" s="153"/>
    </row>
    <row r="214">
      <c r="D214" s="182"/>
      <c r="E214" s="153"/>
      <c r="F214" s="153"/>
    </row>
    <row r="215">
      <c r="D215" s="182"/>
      <c r="E215" s="153"/>
      <c r="F215" s="153"/>
    </row>
    <row r="216">
      <c r="D216" s="182"/>
      <c r="E216" s="153"/>
      <c r="F216" s="153"/>
    </row>
    <row r="217">
      <c r="D217" s="182"/>
      <c r="E217" s="153"/>
      <c r="F217" s="153"/>
    </row>
    <row r="218">
      <c r="D218" s="182"/>
      <c r="E218" s="153"/>
      <c r="F218" s="153"/>
    </row>
    <row r="219">
      <c r="D219" s="182"/>
      <c r="E219" s="153"/>
      <c r="F219" s="153"/>
    </row>
    <row r="220">
      <c r="D220" s="182"/>
      <c r="E220" s="153"/>
      <c r="F220" s="153"/>
    </row>
    <row r="221">
      <c r="D221" s="182"/>
      <c r="E221" s="153"/>
      <c r="F221" s="153"/>
    </row>
    <row r="222">
      <c r="D222" s="182"/>
      <c r="E222" s="153"/>
      <c r="F222" s="153"/>
    </row>
    <row r="223">
      <c r="D223" s="182"/>
      <c r="E223" s="153"/>
      <c r="F223" s="153"/>
    </row>
    <row r="224">
      <c r="D224" s="182"/>
      <c r="E224" s="153"/>
      <c r="F224" s="153"/>
    </row>
    <row r="225">
      <c r="D225" s="182"/>
      <c r="E225" s="153"/>
      <c r="F225" s="153"/>
    </row>
    <row r="226">
      <c r="D226" s="182"/>
      <c r="E226" s="153"/>
      <c r="F226" s="153"/>
    </row>
    <row r="227">
      <c r="D227" s="182"/>
      <c r="E227" s="153"/>
      <c r="F227" s="153"/>
    </row>
    <row r="228">
      <c r="D228" s="182"/>
      <c r="E228" s="153"/>
      <c r="F228" s="153"/>
    </row>
    <row r="229">
      <c r="D229" s="182"/>
      <c r="E229" s="153"/>
      <c r="F229" s="153"/>
    </row>
    <row r="230">
      <c r="D230" s="182"/>
      <c r="E230" s="153"/>
      <c r="F230" s="153"/>
    </row>
    <row r="231">
      <c r="D231" s="182"/>
      <c r="E231" s="153"/>
      <c r="F231" s="153"/>
    </row>
    <row r="232">
      <c r="D232" s="182"/>
      <c r="E232" s="153"/>
      <c r="F232" s="153"/>
    </row>
    <row r="233">
      <c r="D233" s="182"/>
      <c r="E233" s="153"/>
      <c r="F233" s="153"/>
    </row>
    <row r="234">
      <c r="D234" s="182"/>
      <c r="E234" s="153"/>
      <c r="F234" s="153"/>
    </row>
    <row r="235">
      <c r="D235" s="182"/>
      <c r="E235" s="153"/>
      <c r="F235" s="153"/>
    </row>
    <row r="236">
      <c r="D236" s="182"/>
      <c r="E236" s="153"/>
      <c r="F236" s="153"/>
    </row>
    <row r="237">
      <c r="D237" s="182"/>
      <c r="E237" s="153"/>
      <c r="F237" s="153"/>
    </row>
    <row r="238">
      <c r="D238" s="182"/>
      <c r="E238" s="153"/>
      <c r="F238" s="153"/>
    </row>
    <row r="239">
      <c r="D239" s="182"/>
      <c r="E239" s="153"/>
      <c r="F239" s="153"/>
    </row>
    <row r="240">
      <c r="D240" s="182"/>
      <c r="E240" s="153"/>
      <c r="F240" s="153"/>
    </row>
    <row r="241">
      <c r="D241" s="182"/>
      <c r="E241" s="153"/>
      <c r="F241" s="153"/>
    </row>
    <row r="242">
      <c r="D242" s="182"/>
      <c r="E242" s="153"/>
      <c r="F242" s="153"/>
    </row>
    <row r="243">
      <c r="D243" s="182"/>
      <c r="E243" s="153"/>
      <c r="F243" s="153"/>
    </row>
    <row r="244">
      <c r="D244" s="182"/>
      <c r="E244" s="153"/>
      <c r="F244" s="153"/>
    </row>
    <row r="245">
      <c r="D245" s="182"/>
      <c r="E245" s="153"/>
      <c r="F245" s="153"/>
    </row>
    <row r="246">
      <c r="D246" s="182"/>
      <c r="E246" s="153"/>
      <c r="F246" s="153"/>
    </row>
    <row r="247">
      <c r="D247" s="182"/>
      <c r="E247" s="153"/>
      <c r="F247" s="153"/>
    </row>
    <row r="248">
      <c r="D248" s="182"/>
      <c r="E248" s="153"/>
      <c r="F248" s="153"/>
    </row>
    <row r="249">
      <c r="D249" s="182"/>
      <c r="E249" s="153"/>
      <c r="F249" s="153"/>
    </row>
    <row r="250">
      <c r="D250" s="182"/>
      <c r="E250" s="153"/>
      <c r="F250" s="153"/>
    </row>
    <row r="251">
      <c r="D251" s="182"/>
      <c r="E251" s="153"/>
      <c r="F251" s="153"/>
    </row>
    <row r="252">
      <c r="D252" s="182"/>
      <c r="E252" s="153"/>
      <c r="F252" s="153"/>
    </row>
    <row r="253">
      <c r="D253" s="182"/>
      <c r="E253" s="153"/>
      <c r="F253" s="153"/>
    </row>
    <row r="254">
      <c r="D254" s="182"/>
      <c r="E254" s="153"/>
      <c r="F254" s="153"/>
    </row>
    <row r="255">
      <c r="D255" s="182"/>
      <c r="E255" s="153"/>
      <c r="F255" s="153"/>
    </row>
    <row r="256">
      <c r="D256" s="182"/>
      <c r="E256" s="153"/>
      <c r="F256" s="153"/>
    </row>
    <row r="257">
      <c r="D257" s="182"/>
      <c r="E257" s="153"/>
      <c r="F257" s="153"/>
    </row>
    <row r="258">
      <c r="D258" s="182"/>
      <c r="E258" s="153"/>
      <c r="F258" s="153"/>
    </row>
    <row r="259">
      <c r="D259" s="182"/>
      <c r="E259" s="153"/>
      <c r="F259" s="153"/>
    </row>
    <row r="260">
      <c r="D260" s="182"/>
      <c r="E260" s="153"/>
      <c r="F260" s="153"/>
    </row>
    <row r="261">
      <c r="D261" s="182"/>
      <c r="E261" s="153"/>
      <c r="F261" s="153"/>
    </row>
    <row r="262">
      <c r="D262" s="182"/>
      <c r="E262" s="153"/>
      <c r="F262" s="153"/>
    </row>
    <row r="263">
      <c r="D263" s="182"/>
      <c r="E263" s="153"/>
      <c r="F263" s="153"/>
    </row>
    <row r="264">
      <c r="D264" s="182"/>
      <c r="E264" s="153"/>
      <c r="F264" s="153"/>
    </row>
    <row r="265">
      <c r="D265" s="182"/>
      <c r="E265" s="153"/>
      <c r="F265" s="153"/>
    </row>
    <row r="266">
      <c r="D266" s="182"/>
      <c r="E266" s="153"/>
      <c r="F266" s="153"/>
    </row>
    <row r="267">
      <c r="D267" s="182"/>
      <c r="E267" s="153"/>
      <c r="F267" s="153"/>
    </row>
    <row r="268">
      <c r="D268" s="182"/>
      <c r="E268" s="153"/>
      <c r="F268" s="153"/>
    </row>
    <row r="269">
      <c r="D269" s="182"/>
      <c r="E269" s="153"/>
      <c r="F269" s="153"/>
    </row>
    <row r="270">
      <c r="D270" s="182"/>
      <c r="E270" s="153"/>
      <c r="F270" s="153"/>
    </row>
    <row r="271">
      <c r="D271" s="182"/>
      <c r="E271" s="153"/>
      <c r="F271" s="153"/>
    </row>
    <row r="272">
      <c r="D272" s="182"/>
      <c r="E272" s="153"/>
      <c r="F272" s="153"/>
    </row>
    <row r="273">
      <c r="D273" s="182"/>
      <c r="E273" s="153"/>
      <c r="F273" s="153"/>
    </row>
    <row r="274">
      <c r="D274" s="182"/>
      <c r="E274" s="153"/>
      <c r="F274" s="153"/>
    </row>
    <row r="275">
      <c r="D275" s="182"/>
      <c r="E275" s="153"/>
      <c r="F275" s="153"/>
    </row>
    <row r="276">
      <c r="D276" s="182"/>
      <c r="E276" s="153"/>
      <c r="F276" s="153"/>
    </row>
    <row r="277">
      <c r="D277" s="182"/>
      <c r="E277" s="153"/>
      <c r="F277" s="153"/>
    </row>
    <row r="278">
      <c r="D278" s="182"/>
      <c r="E278" s="153"/>
      <c r="F278" s="153"/>
    </row>
    <row r="279">
      <c r="D279" s="182"/>
      <c r="E279" s="153"/>
      <c r="F279" s="153"/>
    </row>
    <row r="280">
      <c r="D280" s="182"/>
      <c r="E280" s="153"/>
      <c r="F280" s="153"/>
    </row>
    <row r="281">
      <c r="D281" s="182"/>
      <c r="E281" s="153"/>
      <c r="F281" s="153"/>
    </row>
    <row r="282">
      <c r="D282" s="182"/>
      <c r="E282" s="153"/>
      <c r="F282" s="153"/>
    </row>
    <row r="283">
      <c r="D283" s="182"/>
      <c r="E283" s="153"/>
      <c r="F283" s="153"/>
    </row>
    <row r="284">
      <c r="D284" s="182"/>
      <c r="E284" s="153"/>
      <c r="F284" s="153"/>
    </row>
    <row r="285">
      <c r="D285" s="182"/>
      <c r="E285" s="153"/>
      <c r="F285" s="153"/>
    </row>
    <row r="286">
      <c r="D286" s="182"/>
      <c r="E286" s="153"/>
      <c r="F286" s="153"/>
    </row>
    <row r="287">
      <c r="D287" s="182"/>
      <c r="E287" s="153"/>
      <c r="F287" s="153"/>
    </row>
    <row r="288">
      <c r="D288" s="182"/>
      <c r="E288" s="153"/>
      <c r="F288" s="153"/>
    </row>
    <row r="289">
      <c r="D289" s="182"/>
      <c r="E289" s="153"/>
      <c r="F289" s="153"/>
    </row>
    <row r="290">
      <c r="D290" s="182"/>
      <c r="E290" s="153"/>
      <c r="F290" s="153"/>
    </row>
    <row r="291">
      <c r="D291" s="182"/>
      <c r="E291" s="153"/>
      <c r="F291" s="153"/>
    </row>
    <row r="292">
      <c r="D292" s="182"/>
      <c r="E292" s="153"/>
      <c r="F292" s="153"/>
    </row>
    <row r="293">
      <c r="D293" s="182"/>
      <c r="E293" s="153"/>
      <c r="F293" s="153"/>
    </row>
    <row r="294">
      <c r="D294" s="182"/>
      <c r="E294" s="153"/>
      <c r="F294" s="153"/>
    </row>
    <row r="295">
      <c r="D295" s="182"/>
      <c r="E295" s="153"/>
      <c r="F295" s="153"/>
    </row>
    <row r="296">
      <c r="D296" s="182"/>
      <c r="E296" s="153"/>
      <c r="F296" s="153"/>
    </row>
    <row r="297">
      <c r="D297" s="182"/>
      <c r="E297" s="153"/>
      <c r="F297" s="153"/>
    </row>
    <row r="298">
      <c r="D298" s="182"/>
      <c r="E298" s="153"/>
      <c r="F298" s="153"/>
    </row>
    <row r="299">
      <c r="D299" s="182"/>
      <c r="E299" s="153"/>
      <c r="F299" s="153"/>
    </row>
    <row r="300">
      <c r="D300" s="182"/>
      <c r="E300" s="153"/>
      <c r="F300" s="153"/>
    </row>
    <row r="301">
      <c r="D301" s="182"/>
      <c r="E301" s="153"/>
      <c r="F301" s="153"/>
    </row>
    <row r="302">
      <c r="D302" s="182"/>
      <c r="E302" s="153"/>
      <c r="F302" s="153"/>
    </row>
    <row r="303">
      <c r="D303" s="182"/>
      <c r="E303" s="153"/>
      <c r="F303" s="153"/>
    </row>
    <row r="304">
      <c r="D304" s="182"/>
      <c r="E304" s="153"/>
      <c r="F304" s="153"/>
    </row>
    <row r="305">
      <c r="D305" s="182"/>
      <c r="E305" s="153"/>
      <c r="F305" s="153"/>
    </row>
    <row r="306">
      <c r="D306" s="182"/>
      <c r="E306" s="153"/>
      <c r="F306" s="153"/>
    </row>
    <row r="307">
      <c r="D307" s="182"/>
      <c r="E307" s="153"/>
      <c r="F307" s="153"/>
    </row>
    <row r="308">
      <c r="D308" s="182"/>
      <c r="E308" s="153"/>
      <c r="F308" s="153"/>
    </row>
    <row r="309">
      <c r="D309" s="182"/>
      <c r="E309" s="153"/>
      <c r="F309" s="153"/>
    </row>
    <row r="310">
      <c r="D310" s="182"/>
      <c r="E310" s="153"/>
      <c r="F310" s="153"/>
    </row>
    <row r="311">
      <c r="D311" s="182"/>
      <c r="E311" s="153"/>
      <c r="F311" s="153"/>
    </row>
    <row r="312">
      <c r="D312" s="182"/>
      <c r="E312" s="153"/>
      <c r="F312" s="153"/>
    </row>
    <row r="313">
      <c r="D313" s="182"/>
      <c r="E313" s="153"/>
      <c r="F313" s="153"/>
    </row>
    <row r="314">
      <c r="D314" s="182"/>
      <c r="E314" s="153"/>
      <c r="F314" s="153"/>
    </row>
    <row r="315">
      <c r="D315" s="182"/>
      <c r="E315" s="153"/>
      <c r="F315" s="153"/>
    </row>
    <row r="316">
      <c r="D316" s="182"/>
      <c r="E316" s="153"/>
      <c r="F316" s="153"/>
    </row>
    <row r="317">
      <c r="D317" s="182"/>
      <c r="E317" s="153"/>
      <c r="F317" s="153"/>
    </row>
    <row r="318">
      <c r="D318" s="182"/>
      <c r="E318" s="153"/>
      <c r="F318" s="153"/>
    </row>
    <row r="319">
      <c r="D319" s="182"/>
      <c r="E319" s="153"/>
      <c r="F319" s="153"/>
    </row>
    <row r="320">
      <c r="D320" s="182"/>
      <c r="E320" s="153"/>
      <c r="F320" s="153"/>
    </row>
    <row r="321">
      <c r="D321" s="182"/>
      <c r="E321" s="153"/>
      <c r="F321" s="153"/>
    </row>
    <row r="322">
      <c r="D322" s="182"/>
      <c r="E322" s="153"/>
      <c r="F322" s="153"/>
    </row>
    <row r="323">
      <c r="D323" s="182"/>
      <c r="E323" s="153"/>
      <c r="F323" s="153"/>
    </row>
    <row r="324">
      <c r="D324" s="182"/>
      <c r="E324" s="153"/>
      <c r="F324" s="153"/>
    </row>
    <row r="325">
      <c r="D325" s="182"/>
      <c r="E325" s="153"/>
      <c r="F325" s="153"/>
    </row>
    <row r="326">
      <c r="D326" s="182"/>
      <c r="E326" s="153"/>
      <c r="F326" s="153"/>
    </row>
    <row r="327">
      <c r="D327" s="182"/>
      <c r="E327" s="153"/>
      <c r="F327" s="153"/>
    </row>
    <row r="328">
      <c r="D328" s="182"/>
      <c r="E328" s="153"/>
      <c r="F328" s="153"/>
    </row>
    <row r="329">
      <c r="D329" s="182"/>
      <c r="E329" s="153"/>
      <c r="F329" s="153"/>
    </row>
    <row r="330">
      <c r="D330" s="182"/>
      <c r="E330" s="153"/>
      <c r="F330" s="153"/>
    </row>
    <row r="331">
      <c r="D331" s="182"/>
      <c r="E331" s="153"/>
      <c r="F331" s="153"/>
    </row>
    <row r="332">
      <c r="D332" s="182"/>
      <c r="E332" s="153"/>
      <c r="F332" s="153"/>
    </row>
    <row r="333">
      <c r="D333" s="182"/>
      <c r="E333" s="153"/>
      <c r="F333" s="153"/>
    </row>
    <row r="334">
      <c r="D334" s="182"/>
      <c r="E334" s="153"/>
      <c r="F334" s="153"/>
    </row>
    <row r="335">
      <c r="D335" s="182"/>
      <c r="E335" s="153"/>
      <c r="F335" s="153"/>
    </row>
    <row r="336">
      <c r="D336" s="182"/>
      <c r="E336" s="153"/>
      <c r="F336" s="153"/>
    </row>
    <row r="337">
      <c r="D337" s="182"/>
      <c r="E337" s="153"/>
      <c r="F337" s="153"/>
    </row>
    <row r="338">
      <c r="D338" s="182"/>
      <c r="E338" s="153"/>
      <c r="F338" s="153"/>
    </row>
    <row r="339">
      <c r="D339" s="182"/>
      <c r="E339" s="153"/>
      <c r="F339" s="153"/>
    </row>
    <row r="340">
      <c r="D340" s="182"/>
      <c r="E340" s="153"/>
      <c r="F340" s="153"/>
    </row>
    <row r="341">
      <c r="D341" s="182"/>
      <c r="E341" s="153"/>
      <c r="F341" s="153"/>
    </row>
    <row r="342">
      <c r="D342" s="182"/>
      <c r="E342" s="153"/>
      <c r="F342" s="153"/>
    </row>
    <row r="343">
      <c r="D343" s="182"/>
      <c r="E343" s="153"/>
      <c r="F343" s="153"/>
    </row>
    <row r="344">
      <c r="D344" s="182"/>
      <c r="E344" s="153"/>
      <c r="F344" s="153"/>
    </row>
    <row r="345">
      <c r="D345" s="182"/>
      <c r="E345" s="153"/>
      <c r="F345" s="153"/>
    </row>
    <row r="346">
      <c r="D346" s="182"/>
      <c r="E346" s="153"/>
      <c r="F346" s="153"/>
    </row>
    <row r="347">
      <c r="D347" s="182"/>
      <c r="E347" s="153"/>
      <c r="F347" s="153"/>
    </row>
    <row r="348">
      <c r="D348" s="182"/>
      <c r="E348" s="153"/>
      <c r="F348" s="153"/>
    </row>
    <row r="349">
      <c r="D349" s="182"/>
      <c r="E349" s="153"/>
      <c r="F349" s="153"/>
    </row>
    <row r="350">
      <c r="D350" s="182"/>
      <c r="E350" s="153"/>
      <c r="F350" s="153"/>
    </row>
    <row r="351">
      <c r="D351" s="182"/>
      <c r="E351" s="153"/>
      <c r="F351" s="153"/>
    </row>
    <row r="352">
      <c r="D352" s="182"/>
      <c r="E352" s="153"/>
      <c r="F352" s="153"/>
    </row>
    <row r="353">
      <c r="D353" s="182"/>
      <c r="E353" s="153"/>
      <c r="F353" s="153"/>
    </row>
    <row r="354">
      <c r="D354" s="182"/>
      <c r="E354" s="153"/>
      <c r="F354" s="153"/>
    </row>
    <row r="355">
      <c r="D355" s="182"/>
      <c r="E355" s="153"/>
      <c r="F355" s="153"/>
    </row>
    <row r="356">
      <c r="D356" s="182"/>
      <c r="E356" s="153"/>
      <c r="F356" s="153"/>
    </row>
    <row r="357">
      <c r="D357" s="182"/>
      <c r="E357" s="153"/>
      <c r="F357" s="153"/>
    </row>
    <row r="358">
      <c r="D358" s="182"/>
      <c r="E358" s="153"/>
      <c r="F358" s="153"/>
    </row>
    <row r="359">
      <c r="D359" s="182"/>
      <c r="E359" s="153"/>
      <c r="F359" s="153"/>
    </row>
    <row r="360">
      <c r="D360" s="182"/>
      <c r="E360" s="153"/>
      <c r="F360" s="153"/>
    </row>
    <row r="361">
      <c r="D361" s="182"/>
      <c r="E361" s="153"/>
      <c r="F361" s="153"/>
    </row>
    <row r="362">
      <c r="D362" s="182"/>
      <c r="E362" s="153"/>
      <c r="F362" s="153"/>
    </row>
    <row r="363">
      <c r="D363" s="182"/>
      <c r="E363" s="153"/>
      <c r="F363" s="153"/>
    </row>
    <row r="364">
      <c r="D364" s="182"/>
      <c r="E364" s="153"/>
      <c r="F364" s="153"/>
    </row>
    <row r="365">
      <c r="D365" s="182"/>
      <c r="E365" s="153"/>
      <c r="F365" s="153"/>
    </row>
    <row r="366">
      <c r="D366" s="182"/>
      <c r="E366" s="153"/>
      <c r="F366" s="153"/>
    </row>
    <row r="367">
      <c r="D367" s="182"/>
      <c r="E367" s="153"/>
      <c r="F367" s="153"/>
    </row>
    <row r="368">
      <c r="D368" s="182"/>
      <c r="E368" s="153"/>
      <c r="F368" s="153"/>
    </row>
    <row r="369">
      <c r="D369" s="182"/>
      <c r="E369" s="153"/>
      <c r="F369" s="153"/>
    </row>
    <row r="370">
      <c r="D370" s="182"/>
      <c r="E370" s="153"/>
      <c r="F370" s="153"/>
    </row>
    <row r="371">
      <c r="D371" s="182"/>
      <c r="E371" s="153"/>
      <c r="F371" s="153"/>
    </row>
    <row r="372">
      <c r="D372" s="182"/>
      <c r="E372" s="153"/>
      <c r="F372" s="153"/>
    </row>
    <row r="373">
      <c r="D373" s="182"/>
      <c r="E373" s="153"/>
      <c r="F373" s="153"/>
    </row>
    <row r="374">
      <c r="D374" s="182"/>
      <c r="E374" s="153"/>
      <c r="F374" s="153"/>
    </row>
    <row r="375">
      <c r="D375" s="182"/>
      <c r="E375" s="153"/>
      <c r="F375" s="153"/>
    </row>
    <row r="376">
      <c r="D376" s="182"/>
      <c r="E376" s="153"/>
      <c r="F376" s="153"/>
    </row>
    <row r="377">
      <c r="D377" s="182"/>
      <c r="E377" s="153"/>
      <c r="F377" s="153"/>
    </row>
    <row r="378">
      <c r="D378" s="182"/>
      <c r="E378" s="153"/>
      <c r="F378" s="153"/>
    </row>
    <row r="379">
      <c r="D379" s="182"/>
      <c r="E379" s="153"/>
      <c r="F379" s="153"/>
    </row>
    <row r="380">
      <c r="D380" s="182"/>
      <c r="E380" s="153"/>
      <c r="F380" s="153"/>
    </row>
    <row r="381">
      <c r="D381" s="182"/>
      <c r="E381" s="153"/>
      <c r="F381" s="153"/>
    </row>
    <row r="382">
      <c r="D382" s="182"/>
      <c r="E382" s="153"/>
      <c r="F382" s="153"/>
    </row>
    <row r="383">
      <c r="D383" s="182"/>
      <c r="E383" s="153"/>
      <c r="F383" s="153"/>
    </row>
    <row r="384">
      <c r="D384" s="182"/>
      <c r="E384" s="153"/>
      <c r="F384" s="153"/>
    </row>
    <row r="385">
      <c r="D385" s="182"/>
      <c r="E385" s="153"/>
      <c r="F385" s="153"/>
    </row>
    <row r="386">
      <c r="D386" s="182"/>
      <c r="E386" s="153"/>
      <c r="F386" s="153"/>
    </row>
    <row r="387">
      <c r="D387" s="182"/>
      <c r="E387" s="153"/>
      <c r="F387" s="153"/>
    </row>
    <row r="388">
      <c r="D388" s="182"/>
      <c r="E388" s="153"/>
      <c r="F388" s="153"/>
    </row>
    <row r="389">
      <c r="D389" s="182"/>
      <c r="E389" s="153"/>
      <c r="F389" s="153"/>
    </row>
    <row r="390">
      <c r="D390" s="182"/>
      <c r="E390" s="153"/>
      <c r="F390" s="153"/>
    </row>
    <row r="391">
      <c r="D391" s="182"/>
      <c r="E391" s="153"/>
      <c r="F391" s="153"/>
    </row>
    <row r="392">
      <c r="D392" s="182"/>
      <c r="E392" s="153"/>
      <c r="F392" s="153"/>
    </row>
    <row r="393">
      <c r="D393" s="182"/>
      <c r="E393" s="153"/>
      <c r="F393" s="153"/>
    </row>
    <row r="394">
      <c r="D394" s="182"/>
      <c r="E394" s="153"/>
      <c r="F394" s="153"/>
    </row>
    <row r="395">
      <c r="D395" s="182"/>
      <c r="E395" s="153"/>
      <c r="F395" s="153"/>
    </row>
    <row r="396">
      <c r="D396" s="182"/>
      <c r="E396" s="153"/>
      <c r="F396" s="153"/>
    </row>
    <row r="397">
      <c r="D397" s="182"/>
      <c r="E397" s="153"/>
      <c r="F397" s="153"/>
    </row>
    <row r="398">
      <c r="D398" s="182"/>
      <c r="E398" s="153"/>
      <c r="F398" s="153"/>
    </row>
    <row r="399">
      <c r="D399" s="182"/>
      <c r="E399" s="153"/>
      <c r="F399" s="153"/>
    </row>
    <row r="400">
      <c r="D400" s="182"/>
      <c r="E400" s="153"/>
      <c r="F400" s="153"/>
    </row>
    <row r="401">
      <c r="D401" s="182"/>
      <c r="E401" s="153"/>
      <c r="F401" s="153"/>
    </row>
    <row r="402">
      <c r="D402" s="182"/>
      <c r="E402" s="153"/>
      <c r="F402" s="153"/>
    </row>
    <row r="403">
      <c r="D403" s="182"/>
      <c r="E403" s="153"/>
      <c r="F403" s="153"/>
    </row>
    <row r="404">
      <c r="D404" s="182"/>
      <c r="E404" s="153"/>
      <c r="F404" s="153"/>
    </row>
    <row r="405">
      <c r="D405" s="182"/>
      <c r="E405" s="153"/>
      <c r="F405" s="153"/>
    </row>
    <row r="406">
      <c r="D406" s="182"/>
      <c r="E406" s="153"/>
      <c r="F406" s="153"/>
    </row>
    <row r="407">
      <c r="D407" s="182"/>
      <c r="E407" s="153"/>
      <c r="F407" s="153"/>
    </row>
    <row r="408">
      <c r="D408" s="182"/>
      <c r="E408" s="153"/>
      <c r="F408" s="153"/>
    </row>
    <row r="409">
      <c r="D409" s="182"/>
      <c r="E409" s="153"/>
      <c r="F409" s="153"/>
    </row>
    <row r="410">
      <c r="D410" s="182"/>
      <c r="E410" s="153"/>
      <c r="F410" s="153"/>
    </row>
    <row r="411">
      <c r="D411" s="182"/>
      <c r="E411" s="153"/>
      <c r="F411" s="153"/>
    </row>
    <row r="412">
      <c r="D412" s="182"/>
      <c r="E412" s="153"/>
      <c r="F412" s="153"/>
    </row>
    <row r="413">
      <c r="D413" s="182"/>
      <c r="E413" s="153"/>
      <c r="F413" s="153"/>
    </row>
    <row r="414">
      <c r="D414" s="182"/>
      <c r="E414" s="153"/>
      <c r="F414" s="153"/>
    </row>
    <row r="415">
      <c r="D415" s="182"/>
      <c r="E415" s="153"/>
      <c r="F415" s="153"/>
    </row>
    <row r="416">
      <c r="D416" s="182"/>
      <c r="E416" s="153"/>
      <c r="F416" s="153"/>
    </row>
    <row r="417">
      <c r="D417" s="182"/>
      <c r="E417" s="153"/>
      <c r="F417" s="153"/>
    </row>
    <row r="418">
      <c r="D418" s="182"/>
      <c r="E418" s="153"/>
      <c r="F418" s="153"/>
    </row>
    <row r="419">
      <c r="D419" s="182"/>
      <c r="E419" s="153"/>
      <c r="F419" s="153"/>
    </row>
    <row r="420">
      <c r="D420" s="182"/>
      <c r="E420" s="153"/>
      <c r="F420" s="153"/>
    </row>
    <row r="421">
      <c r="D421" s="182"/>
      <c r="E421" s="153"/>
      <c r="F421" s="153"/>
    </row>
    <row r="422">
      <c r="D422" s="182"/>
      <c r="E422" s="153"/>
      <c r="F422" s="153"/>
    </row>
    <row r="423">
      <c r="D423" s="182"/>
      <c r="E423" s="153"/>
      <c r="F423" s="153"/>
    </row>
    <row r="424">
      <c r="D424" s="182"/>
      <c r="E424" s="153"/>
      <c r="F424" s="153"/>
    </row>
    <row r="425">
      <c r="D425" s="182"/>
      <c r="E425" s="153"/>
      <c r="F425" s="153"/>
    </row>
    <row r="426">
      <c r="D426" s="182"/>
      <c r="E426" s="153"/>
      <c r="F426" s="153"/>
    </row>
    <row r="427">
      <c r="D427" s="182"/>
      <c r="E427" s="153"/>
      <c r="F427" s="153"/>
    </row>
    <row r="428">
      <c r="D428" s="182"/>
      <c r="E428" s="153"/>
      <c r="F428" s="153"/>
    </row>
    <row r="429">
      <c r="D429" s="182"/>
      <c r="E429" s="153"/>
      <c r="F429" s="153"/>
    </row>
    <row r="430">
      <c r="D430" s="182"/>
      <c r="E430" s="153"/>
      <c r="F430" s="153"/>
    </row>
    <row r="431">
      <c r="D431" s="182"/>
      <c r="E431" s="153"/>
      <c r="F431" s="153"/>
    </row>
    <row r="432">
      <c r="D432" s="182"/>
      <c r="E432" s="153"/>
      <c r="F432" s="153"/>
    </row>
    <row r="433">
      <c r="D433" s="182"/>
      <c r="E433" s="153"/>
      <c r="F433" s="153"/>
    </row>
    <row r="434">
      <c r="D434" s="182"/>
      <c r="E434" s="153"/>
      <c r="F434" s="153"/>
    </row>
    <row r="435">
      <c r="D435" s="182"/>
      <c r="E435" s="153"/>
      <c r="F435" s="153"/>
    </row>
    <row r="436">
      <c r="D436" s="182"/>
      <c r="E436" s="153"/>
      <c r="F436" s="153"/>
    </row>
    <row r="437">
      <c r="D437" s="182"/>
      <c r="E437" s="153"/>
      <c r="F437" s="153"/>
    </row>
    <row r="438">
      <c r="D438" s="182"/>
      <c r="E438" s="153"/>
      <c r="F438" s="153"/>
    </row>
    <row r="439">
      <c r="D439" s="182"/>
      <c r="E439" s="153"/>
      <c r="F439" s="153"/>
    </row>
    <row r="440">
      <c r="D440" s="182"/>
      <c r="E440" s="153"/>
      <c r="F440" s="153"/>
    </row>
    <row r="441">
      <c r="D441" s="182"/>
      <c r="E441" s="153"/>
      <c r="F441" s="153"/>
    </row>
    <row r="442">
      <c r="D442" s="182"/>
      <c r="E442" s="153"/>
      <c r="F442" s="153"/>
    </row>
    <row r="443">
      <c r="D443" s="182"/>
      <c r="E443" s="153"/>
      <c r="F443" s="153"/>
    </row>
    <row r="444">
      <c r="D444" s="182"/>
      <c r="E444" s="153"/>
      <c r="F444" s="153"/>
    </row>
    <row r="445">
      <c r="D445" s="182"/>
      <c r="E445" s="153"/>
      <c r="F445" s="153"/>
    </row>
    <row r="446">
      <c r="D446" s="182"/>
      <c r="E446" s="153"/>
      <c r="F446" s="153"/>
    </row>
    <row r="447">
      <c r="D447" s="182"/>
      <c r="E447" s="153"/>
      <c r="F447" s="153"/>
    </row>
    <row r="448">
      <c r="D448" s="182"/>
      <c r="E448" s="153"/>
      <c r="F448" s="153"/>
    </row>
    <row r="449">
      <c r="D449" s="182"/>
      <c r="E449" s="153"/>
      <c r="F449" s="153"/>
    </row>
    <row r="450">
      <c r="D450" s="182"/>
      <c r="E450" s="153"/>
      <c r="F450" s="153"/>
    </row>
    <row r="451">
      <c r="D451" s="182"/>
      <c r="E451" s="153"/>
      <c r="F451" s="153"/>
    </row>
    <row r="452">
      <c r="D452" s="182"/>
      <c r="E452" s="153"/>
      <c r="F452" s="153"/>
    </row>
    <row r="453">
      <c r="D453" s="182"/>
      <c r="E453" s="153"/>
      <c r="F453" s="153"/>
    </row>
    <row r="454">
      <c r="D454" s="182"/>
      <c r="E454" s="153"/>
      <c r="F454" s="153"/>
    </row>
    <row r="455">
      <c r="D455" s="182"/>
      <c r="E455" s="153"/>
      <c r="F455" s="153"/>
    </row>
    <row r="456">
      <c r="D456" s="182"/>
      <c r="E456" s="153"/>
      <c r="F456" s="153"/>
    </row>
    <row r="457">
      <c r="D457" s="182"/>
      <c r="E457" s="153"/>
      <c r="F457" s="153"/>
    </row>
    <row r="458">
      <c r="D458" s="182"/>
      <c r="E458" s="153"/>
      <c r="F458" s="153"/>
    </row>
    <row r="459">
      <c r="D459" s="182"/>
      <c r="E459" s="153"/>
      <c r="F459" s="153"/>
    </row>
    <row r="460">
      <c r="D460" s="182"/>
      <c r="E460" s="153"/>
      <c r="F460" s="153"/>
    </row>
    <row r="461">
      <c r="D461" s="182"/>
      <c r="E461" s="153"/>
      <c r="F461" s="153"/>
    </row>
    <row r="462">
      <c r="D462" s="182"/>
      <c r="E462" s="153"/>
      <c r="F462" s="153"/>
    </row>
    <row r="463">
      <c r="D463" s="182"/>
      <c r="E463" s="153"/>
      <c r="F463" s="153"/>
    </row>
    <row r="464">
      <c r="D464" s="182"/>
      <c r="E464" s="153"/>
      <c r="F464" s="153"/>
    </row>
    <row r="465">
      <c r="D465" s="182"/>
      <c r="E465" s="153"/>
      <c r="F465" s="153"/>
    </row>
    <row r="466">
      <c r="D466" s="182"/>
      <c r="E466" s="153"/>
      <c r="F466" s="153"/>
    </row>
    <row r="467">
      <c r="D467" s="182"/>
      <c r="E467" s="153"/>
      <c r="F467" s="153"/>
    </row>
    <row r="468">
      <c r="D468" s="182"/>
      <c r="E468" s="153"/>
      <c r="F468" s="153"/>
    </row>
    <row r="469">
      <c r="D469" s="182"/>
      <c r="E469" s="153"/>
      <c r="F469" s="153"/>
    </row>
    <row r="470">
      <c r="D470" s="182"/>
      <c r="E470" s="153"/>
      <c r="F470" s="153"/>
    </row>
    <row r="471">
      <c r="D471" s="182"/>
      <c r="E471" s="153"/>
      <c r="F471" s="153"/>
    </row>
    <row r="472">
      <c r="D472" s="182"/>
      <c r="E472" s="153"/>
      <c r="F472" s="153"/>
    </row>
    <row r="473">
      <c r="D473" s="182"/>
      <c r="E473" s="153"/>
      <c r="F473" s="153"/>
    </row>
    <row r="474">
      <c r="D474" s="182"/>
      <c r="E474" s="153"/>
      <c r="F474" s="153"/>
    </row>
    <row r="475">
      <c r="D475" s="182"/>
      <c r="E475" s="153"/>
      <c r="F475" s="153"/>
    </row>
    <row r="476">
      <c r="D476" s="182"/>
      <c r="E476" s="153"/>
      <c r="F476" s="153"/>
    </row>
    <row r="477">
      <c r="D477" s="182"/>
      <c r="E477" s="153"/>
      <c r="F477" s="153"/>
    </row>
    <row r="478">
      <c r="D478" s="182"/>
      <c r="E478" s="153"/>
      <c r="F478" s="153"/>
    </row>
    <row r="479">
      <c r="D479" s="182"/>
      <c r="E479" s="153"/>
      <c r="F479" s="153"/>
    </row>
    <row r="480">
      <c r="D480" s="182"/>
      <c r="E480" s="153"/>
      <c r="F480" s="153"/>
    </row>
    <row r="481">
      <c r="D481" s="182"/>
      <c r="E481" s="153"/>
      <c r="F481" s="153"/>
    </row>
    <row r="482">
      <c r="D482" s="182"/>
      <c r="E482" s="153"/>
      <c r="F482" s="153"/>
    </row>
    <row r="483">
      <c r="D483" s="182"/>
      <c r="E483" s="153"/>
      <c r="F483" s="153"/>
    </row>
    <row r="484">
      <c r="D484" s="182"/>
      <c r="E484" s="153"/>
      <c r="F484" s="153"/>
    </row>
    <row r="485">
      <c r="D485" s="182"/>
      <c r="E485" s="153"/>
      <c r="F485" s="153"/>
    </row>
    <row r="486">
      <c r="D486" s="182"/>
      <c r="E486" s="153"/>
      <c r="F486" s="153"/>
    </row>
    <row r="487">
      <c r="D487" s="182"/>
      <c r="E487" s="153"/>
      <c r="F487" s="153"/>
    </row>
    <row r="488">
      <c r="D488" s="182"/>
      <c r="E488" s="153"/>
      <c r="F488" s="153"/>
    </row>
    <row r="489">
      <c r="D489" s="182"/>
      <c r="E489" s="153"/>
      <c r="F489" s="153"/>
    </row>
    <row r="490">
      <c r="D490" s="182"/>
      <c r="E490" s="153"/>
      <c r="F490" s="153"/>
    </row>
    <row r="491">
      <c r="D491" s="182"/>
      <c r="E491" s="153"/>
      <c r="F491" s="153"/>
    </row>
    <row r="492">
      <c r="D492" s="182"/>
      <c r="E492" s="153"/>
      <c r="F492" s="153"/>
    </row>
    <row r="493">
      <c r="D493" s="182"/>
      <c r="E493" s="153"/>
      <c r="F493" s="153"/>
    </row>
    <row r="494">
      <c r="D494" s="182"/>
      <c r="E494" s="153"/>
      <c r="F494" s="153"/>
    </row>
    <row r="495">
      <c r="D495" s="182"/>
      <c r="E495" s="153"/>
      <c r="F495" s="153"/>
    </row>
    <row r="496">
      <c r="D496" s="182"/>
      <c r="E496" s="153"/>
      <c r="F496" s="153"/>
    </row>
    <row r="497">
      <c r="D497" s="182"/>
      <c r="E497" s="153"/>
      <c r="F497" s="153"/>
    </row>
    <row r="498">
      <c r="D498" s="182"/>
      <c r="E498" s="153"/>
      <c r="F498" s="153"/>
    </row>
    <row r="499">
      <c r="D499" s="182"/>
      <c r="E499" s="153"/>
      <c r="F499" s="153"/>
    </row>
    <row r="500">
      <c r="D500" s="182"/>
      <c r="E500" s="153"/>
      <c r="F500" s="153"/>
    </row>
    <row r="501">
      <c r="D501" s="182"/>
      <c r="E501" s="153"/>
      <c r="F501" s="153"/>
    </row>
    <row r="502">
      <c r="D502" s="182"/>
      <c r="E502" s="153"/>
      <c r="F502" s="153"/>
    </row>
    <row r="503">
      <c r="D503" s="182"/>
      <c r="E503" s="153"/>
      <c r="F503" s="153"/>
    </row>
    <row r="504">
      <c r="D504" s="182"/>
      <c r="E504" s="153"/>
      <c r="F504" s="153"/>
    </row>
    <row r="505">
      <c r="D505" s="182"/>
      <c r="E505" s="153"/>
      <c r="F505" s="153"/>
    </row>
    <row r="506">
      <c r="D506" s="182"/>
      <c r="E506" s="153"/>
      <c r="F506" s="153"/>
    </row>
    <row r="507">
      <c r="D507" s="182"/>
      <c r="E507" s="153"/>
      <c r="F507" s="153"/>
    </row>
    <row r="508">
      <c r="D508" s="182"/>
      <c r="E508" s="153"/>
      <c r="F508" s="153"/>
    </row>
    <row r="509">
      <c r="D509" s="182"/>
      <c r="E509" s="153"/>
      <c r="F509" s="153"/>
    </row>
    <row r="510">
      <c r="D510" s="182"/>
      <c r="E510" s="153"/>
      <c r="F510" s="153"/>
    </row>
    <row r="511">
      <c r="D511" s="182"/>
      <c r="E511" s="153"/>
      <c r="F511" s="153"/>
    </row>
    <row r="512">
      <c r="D512" s="182"/>
      <c r="E512" s="153"/>
      <c r="F512" s="153"/>
    </row>
    <row r="513">
      <c r="D513" s="182"/>
      <c r="E513" s="153"/>
      <c r="F513" s="153"/>
    </row>
    <row r="514">
      <c r="D514" s="182"/>
      <c r="E514" s="153"/>
      <c r="F514" s="153"/>
    </row>
    <row r="515">
      <c r="D515" s="182"/>
      <c r="E515" s="153"/>
      <c r="F515" s="153"/>
    </row>
    <row r="516">
      <c r="D516" s="182"/>
      <c r="E516" s="153"/>
      <c r="F516" s="153"/>
    </row>
    <row r="517">
      <c r="D517" s="182"/>
      <c r="E517" s="153"/>
      <c r="F517" s="153"/>
    </row>
    <row r="518">
      <c r="D518" s="182"/>
      <c r="E518" s="153"/>
      <c r="F518" s="153"/>
    </row>
    <row r="519">
      <c r="D519" s="182"/>
      <c r="E519" s="153"/>
      <c r="F519" s="153"/>
    </row>
    <row r="520">
      <c r="D520" s="182"/>
      <c r="E520" s="153"/>
      <c r="F520" s="153"/>
    </row>
    <row r="521">
      <c r="D521" s="182"/>
      <c r="E521" s="153"/>
      <c r="F521" s="153"/>
    </row>
    <row r="522">
      <c r="D522" s="182"/>
      <c r="E522" s="153"/>
      <c r="F522" s="153"/>
    </row>
    <row r="523">
      <c r="D523" s="182"/>
      <c r="E523" s="153"/>
      <c r="F523" s="153"/>
    </row>
    <row r="524">
      <c r="D524" s="182"/>
      <c r="E524" s="153"/>
      <c r="F524" s="153"/>
    </row>
    <row r="525">
      <c r="D525" s="182"/>
      <c r="E525" s="153"/>
      <c r="F525" s="153"/>
    </row>
    <row r="526">
      <c r="D526" s="182"/>
      <c r="E526" s="153"/>
      <c r="F526" s="153"/>
    </row>
    <row r="527">
      <c r="D527" s="182"/>
      <c r="E527" s="153"/>
      <c r="F527" s="153"/>
    </row>
    <row r="528">
      <c r="D528" s="182"/>
      <c r="E528" s="153"/>
      <c r="F528" s="153"/>
    </row>
    <row r="529">
      <c r="D529" s="182"/>
      <c r="E529" s="153"/>
      <c r="F529" s="153"/>
    </row>
    <row r="530">
      <c r="D530" s="182"/>
      <c r="E530" s="153"/>
      <c r="F530" s="153"/>
    </row>
    <row r="531">
      <c r="D531" s="182"/>
      <c r="E531" s="153"/>
      <c r="F531" s="153"/>
    </row>
    <row r="532">
      <c r="D532" s="182"/>
      <c r="E532" s="153"/>
      <c r="F532" s="153"/>
    </row>
    <row r="533">
      <c r="D533" s="182"/>
      <c r="E533" s="153"/>
      <c r="F533" s="153"/>
    </row>
    <row r="534">
      <c r="D534" s="182"/>
      <c r="E534" s="153"/>
      <c r="F534" s="153"/>
    </row>
    <row r="535">
      <c r="D535" s="182"/>
      <c r="E535" s="153"/>
      <c r="F535" s="153"/>
    </row>
    <row r="536">
      <c r="D536" s="182"/>
      <c r="E536" s="153"/>
      <c r="F536" s="153"/>
    </row>
    <row r="537">
      <c r="D537" s="182"/>
      <c r="E537" s="153"/>
      <c r="F537" s="153"/>
    </row>
    <row r="538">
      <c r="D538" s="182"/>
      <c r="E538" s="153"/>
      <c r="F538" s="153"/>
    </row>
    <row r="539">
      <c r="D539" s="182"/>
      <c r="E539" s="153"/>
      <c r="F539" s="153"/>
    </row>
    <row r="540">
      <c r="D540" s="182"/>
      <c r="E540" s="153"/>
      <c r="F540" s="153"/>
    </row>
    <row r="541">
      <c r="D541" s="182"/>
      <c r="E541" s="153"/>
      <c r="F541" s="153"/>
    </row>
    <row r="542">
      <c r="D542" s="182"/>
      <c r="E542" s="153"/>
      <c r="F542" s="153"/>
    </row>
    <row r="543">
      <c r="D543" s="182"/>
      <c r="E543" s="153"/>
      <c r="F543" s="153"/>
    </row>
    <row r="544">
      <c r="D544" s="182"/>
      <c r="E544" s="153"/>
      <c r="F544" s="153"/>
    </row>
    <row r="545">
      <c r="D545" s="182"/>
      <c r="E545" s="153"/>
      <c r="F545" s="153"/>
    </row>
    <row r="546">
      <c r="D546" s="182"/>
      <c r="E546" s="153"/>
      <c r="F546" s="153"/>
    </row>
    <row r="547">
      <c r="D547" s="182"/>
      <c r="E547" s="153"/>
      <c r="F547" s="153"/>
    </row>
    <row r="548">
      <c r="D548" s="182"/>
      <c r="E548" s="153"/>
      <c r="F548" s="153"/>
    </row>
    <row r="549">
      <c r="D549" s="182"/>
      <c r="E549" s="153"/>
      <c r="F549" s="153"/>
    </row>
    <row r="550">
      <c r="D550" s="182"/>
      <c r="E550" s="153"/>
      <c r="F550" s="153"/>
    </row>
    <row r="551">
      <c r="D551" s="182"/>
      <c r="E551" s="153"/>
      <c r="F551" s="153"/>
    </row>
    <row r="552">
      <c r="D552" s="182"/>
      <c r="E552" s="153"/>
      <c r="F552" s="153"/>
    </row>
    <row r="553">
      <c r="D553" s="182"/>
      <c r="E553" s="153"/>
      <c r="F553" s="153"/>
    </row>
    <row r="554">
      <c r="D554" s="182"/>
      <c r="E554" s="153"/>
      <c r="F554" s="153"/>
    </row>
    <row r="555">
      <c r="D555" s="182"/>
      <c r="E555" s="153"/>
      <c r="F555" s="153"/>
    </row>
    <row r="556">
      <c r="D556" s="182"/>
      <c r="E556" s="153"/>
      <c r="F556" s="153"/>
    </row>
    <row r="557">
      <c r="D557" s="182"/>
      <c r="E557" s="153"/>
      <c r="F557" s="153"/>
    </row>
    <row r="558">
      <c r="D558" s="182"/>
      <c r="E558" s="153"/>
      <c r="F558" s="153"/>
    </row>
    <row r="559">
      <c r="D559" s="182"/>
      <c r="E559" s="153"/>
      <c r="F559" s="153"/>
    </row>
    <row r="560">
      <c r="D560" s="182"/>
      <c r="E560" s="153"/>
      <c r="F560" s="153"/>
    </row>
    <row r="561">
      <c r="D561" s="182"/>
      <c r="E561" s="153"/>
      <c r="F561" s="153"/>
    </row>
    <row r="562">
      <c r="D562" s="182"/>
      <c r="E562" s="153"/>
      <c r="F562" s="153"/>
    </row>
    <row r="563">
      <c r="D563" s="182"/>
      <c r="E563" s="153"/>
      <c r="F563" s="153"/>
    </row>
    <row r="564">
      <c r="D564" s="182"/>
      <c r="E564" s="153"/>
      <c r="F564" s="153"/>
    </row>
    <row r="565">
      <c r="D565" s="182"/>
      <c r="E565" s="153"/>
      <c r="F565" s="153"/>
    </row>
    <row r="566">
      <c r="D566" s="182"/>
      <c r="E566" s="153"/>
      <c r="F566" s="153"/>
    </row>
    <row r="567">
      <c r="D567" s="182"/>
      <c r="E567" s="153"/>
      <c r="F567" s="153"/>
    </row>
    <row r="568">
      <c r="D568" s="182"/>
      <c r="E568" s="153"/>
      <c r="F568" s="153"/>
    </row>
    <row r="569">
      <c r="D569" s="182"/>
      <c r="E569" s="153"/>
      <c r="F569" s="153"/>
    </row>
    <row r="570">
      <c r="D570" s="182"/>
      <c r="E570" s="153"/>
      <c r="F570" s="153"/>
    </row>
    <row r="571">
      <c r="D571" s="182"/>
      <c r="E571" s="153"/>
      <c r="F571" s="153"/>
    </row>
    <row r="572">
      <c r="D572" s="182"/>
      <c r="E572" s="153"/>
      <c r="F572" s="153"/>
    </row>
    <row r="573">
      <c r="D573" s="182"/>
      <c r="E573" s="153"/>
      <c r="F573" s="153"/>
    </row>
    <row r="574">
      <c r="D574" s="182"/>
      <c r="E574" s="153"/>
      <c r="F574" s="153"/>
    </row>
    <row r="575">
      <c r="D575" s="182"/>
      <c r="E575" s="153"/>
      <c r="F575" s="153"/>
    </row>
    <row r="576">
      <c r="D576" s="182"/>
      <c r="E576" s="153"/>
      <c r="F576" s="153"/>
    </row>
    <row r="577">
      <c r="D577" s="182"/>
      <c r="E577" s="153"/>
      <c r="F577" s="153"/>
    </row>
    <row r="578">
      <c r="D578" s="182"/>
      <c r="E578" s="153"/>
      <c r="F578" s="153"/>
    </row>
    <row r="579">
      <c r="D579" s="182"/>
      <c r="E579" s="153"/>
      <c r="F579" s="153"/>
    </row>
    <row r="580">
      <c r="D580" s="182"/>
      <c r="E580" s="153"/>
      <c r="F580" s="153"/>
    </row>
    <row r="581">
      <c r="D581" s="182"/>
      <c r="E581" s="153"/>
      <c r="F581" s="153"/>
    </row>
    <row r="582">
      <c r="D582" s="182"/>
      <c r="E582" s="153"/>
      <c r="F582" s="153"/>
    </row>
    <row r="583">
      <c r="D583" s="182"/>
      <c r="E583" s="153"/>
      <c r="F583" s="153"/>
    </row>
    <row r="584">
      <c r="D584" s="182"/>
      <c r="E584" s="153"/>
      <c r="F584" s="153"/>
    </row>
    <row r="585">
      <c r="D585" s="182"/>
      <c r="E585" s="153"/>
      <c r="F585" s="153"/>
    </row>
    <row r="586">
      <c r="D586" s="182"/>
      <c r="E586" s="153"/>
      <c r="F586" s="153"/>
    </row>
    <row r="587">
      <c r="D587" s="182"/>
      <c r="E587" s="153"/>
      <c r="F587" s="153"/>
    </row>
    <row r="588">
      <c r="D588" s="182"/>
      <c r="E588" s="153"/>
      <c r="F588" s="153"/>
    </row>
    <row r="589">
      <c r="D589" s="182"/>
      <c r="E589" s="153"/>
      <c r="F589" s="153"/>
    </row>
    <row r="590">
      <c r="D590" s="182"/>
      <c r="E590" s="153"/>
      <c r="F590" s="153"/>
    </row>
    <row r="591">
      <c r="D591" s="182"/>
      <c r="E591" s="153"/>
      <c r="F591" s="153"/>
    </row>
    <row r="592">
      <c r="D592" s="182"/>
      <c r="E592" s="153"/>
      <c r="F592" s="153"/>
    </row>
    <row r="593">
      <c r="D593" s="182"/>
      <c r="E593" s="153"/>
      <c r="F593" s="153"/>
    </row>
    <row r="594">
      <c r="D594" s="182"/>
      <c r="E594" s="153"/>
      <c r="F594" s="153"/>
    </row>
    <row r="595">
      <c r="D595" s="182"/>
      <c r="E595" s="153"/>
      <c r="F595" s="153"/>
    </row>
    <row r="596">
      <c r="D596" s="182"/>
      <c r="E596" s="153"/>
      <c r="F596" s="153"/>
    </row>
    <row r="597">
      <c r="D597" s="182"/>
      <c r="E597" s="153"/>
      <c r="F597" s="153"/>
    </row>
    <row r="598">
      <c r="D598" s="182"/>
      <c r="E598" s="153"/>
      <c r="F598" s="153"/>
    </row>
    <row r="599">
      <c r="D599" s="182"/>
      <c r="E599" s="153"/>
      <c r="F599" s="153"/>
    </row>
    <row r="600">
      <c r="D600" s="182"/>
      <c r="E600" s="153"/>
      <c r="F600" s="153"/>
    </row>
    <row r="601">
      <c r="D601" s="182"/>
      <c r="E601" s="153"/>
      <c r="F601" s="153"/>
    </row>
    <row r="602">
      <c r="D602" s="182"/>
      <c r="E602" s="153"/>
      <c r="F602" s="153"/>
    </row>
    <row r="603">
      <c r="D603" s="182"/>
      <c r="E603" s="153"/>
      <c r="F603" s="153"/>
    </row>
    <row r="604">
      <c r="D604" s="182"/>
      <c r="E604" s="153"/>
      <c r="F604" s="153"/>
    </row>
    <row r="605">
      <c r="D605" s="182"/>
      <c r="E605" s="153"/>
      <c r="F605" s="153"/>
    </row>
    <row r="606">
      <c r="D606" s="182"/>
      <c r="E606" s="153"/>
      <c r="F606" s="153"/>
    </row>
    <row r="607">
      <c r="D607" s="182"/>
      <c r="E607" s="153"/>
      <c r="F607" s="153"/>
    </row>
    <row r="608">
      <c r="D608" s="182"/>
      <c r="E608" s="153"/>
      <c r="F608" s="153"/>
    </row>
    <row r="609">
      <c r="D609" s="182"/>
      <c r="E609" s="153"/>
      <c r="F609" s="153"/>
    </row>
    <row r="610">
      <c r="D610" s="182"/>
      <c r="E610" s="153"/>
      <c r="F610" s="153"/>
    </row>
    <row r="611">
      <c r="D611" s="182"/>
      <c r="E611" s="153"/>
      <c r="F611" s="153"/>
    </row>
    <row r="612">
      <c r="D612" s="182"/>
      <c r="E612" s="153"/>
      <c r="F612" s="153"/>
    </row>
    <row r="613">
      <c r="D613" s="182"/>
      <c r="E613" s="153"/>
      <c r="F613" s="153"/>
    </row>
    <row r="614">
      <c r="D614" s="182"/>
      <c r="E614" s="153"/>
      <c r="F614" s="153"/>
    </row>
    <row r="615">
      <c r="D615" s="182"/>
      <c r="E615" s="153"/>
      <c r="F615" s="153"/>
    </row>
    <row r="616">
      <c r="D616" s="182"/>
      <c r="E616" s="153"/>
      <c r="F616" s="153"/>
    </row>
    <row r="617">
      <c r="D617" s="182"/>
      <c r="E617" s="153"/>
      <c r="F617" s="153"/>
    </row>
    <row r="618">
      <c r="D618" s="182"/>
      <c r="E618" s="153"/>
      <c r="F618" s="153"/>
    </row>
    <row r="619">
      <c r="D619" s="182"/>
      <c r="E619" s="153"/>
      <c r="F619" s="153"/>
    </row>
    <row r="620">
      <c r="D620" s="182"/>
      <c r="E620" s="153"/>
      <c r="F620" s="153"/>
    </row>
    <row r="621">
      <c r="D621" s="182"/>
      <c r="E621" s="153"/>
      <c r="F621" s="153"/>
    </row>
    <row r="622">
      <c r="D622" s="182"/>
      <c r="E622" s="153"/>
      <c r="F622" s="153"/>
    </row>
    <row r="623">
      <c r="D623" s="182"/>
      <c r="E623" s="153"/>
      <c r="F623" s="153"/>
    </row>
    <row r="624">
      <c r="D624" s="182"/>
      <c r="E624" s="153"/>
      <c r="F624" s="153"/>
    </row>
    <row r="625">
      <c r="D625" s="182"/>
      <c r="E625" s="153"/>
      <c r="F625" s="153"/>
    </row>
    <row r="626">
      <c r="D626" s="182"/>
      <c r="E626" s="153"/>
      <c r="F626" s="153"/>
    </row>
    <row r="627">
      <c r="D627" s="182"/>
      <c r="E627" s="153"/>
      <c r="F627" s="153"/>
    </row>
    <row r="628">
      <c r="D628" s="182"/>
      <c r="E628" s="153"/>
      <c r="F628" s="153"/>
    </row>
    <row r="629">
      <c r="D629" s="182"/>
      <c r="E629" s="153"/>
      <c r="F629" s="153"/>
    </row>
    <row r="630">
      <c r="D630" s="182"/>
      <c r="E630" s="153"/>
      <c r="F630" s="153"/>
    </row>
    <row r="631">
      <c r="D631" s="182"/>
      <c r="E631" s="153"/>
      <c r="F631" s="153"/>
    </row>
    <row r="632">
      <c r="D632" s="182"/>
      <c r="E632" s="153"/>
      <c r="F632" s="153"/>
    </row>
    <row r="633">
      <c r="D633" s="182"/>
      <c r="E633" s="153"/>
      <c r="F633" s="153"/>
    </row>
    <row r="634">
      <c r="D634" s="182"/>
      <c r="E634" s="153"/>
      <c r="F634" s="153"/>
    </row>
    <row r="635">
      <c r="D635" s="182"/>
      <c r="E635" s="153"/>
      <c r="F635" s="153"/>
    </row>
    <row r="636">
      <c r="D636" s="182"/>
      <c r="E636" s="153"/>
      <c r="F636" s="153"/>
    </row>
    <row r="637">
      <c r="D637" s="182"/>
      <c r="E637" s="153"/>
      <c r="F637" s="153"/>
    </row>
    <row r="638">
      <c r="D638" s="182"/>
      <c r="E638" s="153"/>
      <c r="F638" s="153"/>
    </row>
    <row r="639">
      <c r="D639" s="182"/>
      <c r="E639" s="153"/>
      <c r="F639" s="153"/>
    </row>
    <row r="640">
      <c r="D640" s="182"/>
      <c r="E640" s="153"/>
      <c r="F640" s="153"/>
    </row>
    <row r="641">
      <c r="D641" s="182"/>
      <c r="E641" s="153"/>
      <c r="F641" s="153"/>
    </row>
    <row r="642">
      <c r="D642" s="182"/>
      <c r="E642" s="153"/>
      <c r="F642" s="153"/>
    </row>
    <row r="643">
      <c r="D643" s="182"/>
      <c r="E643" s="153"/>
      <c r="F643" s="153"/>
    </row>
    <row r="644">
      <c r="D644" s="182"/>
      <c r="E644" s="153"/>
      <c r="F644" s="153"/>
    </row>
    <row r="645">
      <c r="D645" s="182"/>
      <c r="E645" s="153"/>
      <c r="F645" s="153"/>
    </row>
    <row r="646">
      <c r="D646" s="182"/>
      <c r="E646" s="153"/>
      <c r="F646" s="153"/>
    </row>
    <row r="647">
      <c r="D647" s="182"/>
      <c r="E647" s="153"/>
      <c r="F647" s="153"/>
    </row>
    <row r="648">
      <c r="D648" s="182"/>
      <c r="E648" s="153"/>
      <c r="F648" s="153"/>
    </row>
    <row r="649">
      <c r="D649" s="182"/>
      <c r="E649" s="153"/>
      <c r="F649" s="153"/>
    </row>
    <row r="650">
      <c r="D650" s="182"/>
      <c r="E650" s="153"/>
      <c r="F650" s="153"/>
    </row>
    <row r="651">
      <c r="D651" s="182"/>
      <c r="E651" s="153"/>
      <c r="F651" s="153"/>
    </row>
    <row r="652">
      <c r="D652" s="182"/>
      <c r="E652" s="153"/>
      <c r="F652" s="153"/>
    </row>
    <row r="653">
      <c r="D653" s="182"/>
      <c r="E653" s="153"/>
      <c r="F653" s="153"/>
    </row>
    <row r="654">
      <c r="D654" s="182"/>
      <c r="E654" s="153"/>
      <c r="F654" s="153"/>
    </row>
    <row r="655">
      <c r="D655" s="182"/>
      <c r="E655" s="153"/>
      <c r="F655" s="153"/>
    </row>
    <row r="656">
      <c r="D656" s="182"/>
      <c r="E656" s="153"/>
      <c r="F656" s="153"/>
    </row>
    <row r="657">
      <c r="D657" s="182"/>
      <c r="E657" s="153"/>
      <c r="F657" s="153"/>
    </row>
    <row r="658">
      <c r="D658" s="182"/>
      <c r="E658" s="153"/>
      <c r="F658" s="153"/>
    </row>
    <row r="659">
      <c r="D659" s="182"/>
      <c r="E659" s="153"/>
      <c r="F659" s="153"/>
    </row>
    <row r="660">
      <c r="D660" s="182"/>
      <c r="E660" s="153"/>
      <c r="F660" s="153"/>
    </row>
    <row r="661">
      <c r="D661" s="182"/>
      <c r="E661" s="153"/>
      <c r="F661" s="153"/>
    </row>
    <row r="662">
      <c r="D662" s="182"/>
      <c r="E662" s="153"/>
      <c r="F662" s="153"/>
    </row>
    <row r="663">
      <c r="D663" s="182"/>
      <c r="E663" s="153"/>
      <c r="F663" s="153"/>
    </row>
    <row r="664">
      <c r="D664" s="182"/>
      <c r="E664" s="153"/>
      <c r="F664" s="153"/>
    </row>
    <row r="665">
      <c r="D665" s="182"/>
      <c r="E665" s="153"/>
      <c r="F665" s="153"/>
    </row>
    <row r="666">
      <c r="D666" s="182"/>
      <c r="E666" s="153"/>
      <c r="F666" s="153"/>
    </row>
    <row r="667">
      <c r="D667" s="182"/>
      <c r="E667" s="153"/>
      <c r="F667" s="153"/>
    </row>
    <row r="668">
      <c r="D668" s="182"/>
      <c r="E668" s="153"/>
      <c r="F668" s="153"/>
    </row>
    <row r="669">
      <c r="D669" s="182"/>
      <c r="E669" s="153"/>
      <c r="F669" s="153"/>
    </row>
    <row r="670">
      <c r="D670" s="182"/>
      <c r="E670" s="153"/>
      <c r="F670" s="153"/>
    </row>
    <row r="671">
      <c r="D671" s="182"/>
      <c r="E671" s="153"/>
      <c r="F671" s="153"/>
    </row>
    <row r="672">
      <c r="D672" s="182"/>
      <c r="E672" s="153"/>
      <c r="F672" s="153"/>
    </row>
    <row r="673">
      <c r="D673" s="182"/>
      <c r="E673" s="153"/>
      <c r="F673" s="153"/>
    </row>
    <row r="674">
      <c r="D674" s="182"/>
      <c r="E674" s="153"/>
      <c r="F674" s="153"/>
    </row>
    <row r="675">
      <c r="D675" s="182"/>
      <c r="E675" s="153"/>
      <c r="F675" s="153"/>
    </row>
    <row r="676">
      <c r="D676" s="182"/>
      <c r="E676" s="153"/>
      <c r="F676" s="153"/>
    </row>
    <row r="677">
      <c r="D677" s="182"/>
      <c r="E677" s="153"/>
      <c r="F677" s="153"/>
    </row>
    <row r="678">
      <c r="D678" s="182"/>
      <c r="E678" s="153"/>
      <c r="F678" s="153"/>
    </row>
    <row r="679">
      <c r="D679" s="182"/>
      <c r="E679" s="153"/>
      <c r="F679" s="153"/>
    </row>
    <row r="680">
      <c r="D680" s="182"/>
      <c r="E680" s="153"/>
      <c r="F680" s="153"/>
    </row>
    <row r="681">
      <c r="D681" s="182"/>
      <c r="E681" s="153"/>
      <c r="F681" s="153"/>
    </row>
    <row r="682">
      <c r="D682" s="182"/>
      <c r="E682" s="153"/>
      <c r="F682" s="153"/>
    </row>
    <row r="683">
      <c r="D683" s="182"/>
      <c r="E683" s="153"/>
      <c r="F683" s="153"/>
    </row>
    <row r="684">
      <c r="D684" s="182"/>
      <c r="E684" s="153"/>
      <c r="F684" s="153"/>
    </row>
    <row r="685">
      <c r="D685" s="182"/>
      <c r="E685" s="153"/>
      <c r="F685" s="153"/>
    </row>
    <row r="686">
      <c r="D686" s="182"/>
      <c r="E686" s="153"/>
      <c r="F686" s="153"/>
    </row>
    <row r="687">
      <c r="D687" s="182"/>
      <c r="E687" s="153"/>
      <c r="F687" s="153"/>
    </row>
    <row r="688">
      <c r="D688" s="182"/>
      <c r="E688" s="153"/>
      <c r="F688" s="153"/>
    </row>
    <row r="689">
      <c r="D689" s="182"/>
      <c r="E689" s="153"/>
      <c r="F689" s="153"/>
    </row>
    <row r="690">
      <c r="D690" s="182"/>
      <c r="E690" s="153"/>
      <c r="F690" s="153"/>
    </row>
    <row r="691">
      <c r="D691" s="182"/>
      <c r="E691" s="153"/>
      <c r="F691" s="153"/>
    </row>
    <row r="692">
      <c r="D692" s="182"/>
      <c r="E692" s="153"/>
      <c r="F692" s="153"/>
    </row>
    <row r="693">
      <c r="D693" s="182"/>
      <c r="E693" s="153"/>
      <c r="F693" s="153"/>
    </row>
    <row r="694">
      <c r="D694" s="182"/>
      <c r="E694" s="153"/>
      <c r="F694" s="153"/>
    </row>
    <row r="695">
      <c r="D695" s="182"/>
      <c r="E695" s="153"/>
      <c r="F695" s="153"/>
    </row>
    <row r="696">
      <c r="D696" s="182"/>
      <c r="E696" s="153"/>
      <c r="F696" s="153"/>
    </row>
    <row r="697">
      <c r="D697" s="182"/>
      <c r="E697" s="153"/>
      <c r="F697" s="153"/>
    </row>
    <row r="698">
      <c r="D698" s="182"/>
      <c r="E698" s="153"/>
      <c r="F698" s="153"/>
    </row>
    <row r="699">
      <c r="D699" s="182"/>
      <c r="E699" s="153"/>
      <c r="F699" s="153"/>
    </row>
    <row r="700">
      <c r="D700" s="182"/>
      <c r="E700" s="153"/>
      <c r="F700" s="153"/>
    </row>
    <row r="701">
      <c r="D701" s="182"/>
      <c r="E701" s="153"/>
      <c r="F701" s="153"/>
    </row>
    <row r="702">
      <c r="D702" s="182"/>
      <c r="E702" s="153"/>
      <c r="F702" s="153"/>
    </row>
    <row r="703">
      <c r="D703" s="182"/>
      <c r="E703" s="153"/>
      <c r="F703" s="153"/>
    </row>
    <row r="704">
      <c r="D704" s="182"/>
      <c r="E704" s="153"/>
      <c r="F704" s="153"/>
    </row>
    <row r="705">
      <c r="D705" s="182"/>
      <c r="E705" s="153"/>
      <c r="F705" s="153"/>
    </row>
    <row r="706">
      <c r="D706" s="182"/>
      <c r="E706" s="153"/>
      <c r="F706" s="153"/>
    </row>
    <row r="707">
      <c r="D707" s="182"/>
      <c r="E707" s="153"/>
      <c r="F707" s="153"/>
    </row>
    <row r="708">
      <c r="D708" s="182"/>
      <c r="E708" s="153"/>
      <c r="F708" s="153"/>
    </row>
    <row r="709">
      <c r="D709" s="182"/>
      <c r="E709" s="153"/>
      <c r="F709" s="153"/>
    </row>
    <row r="710">
      <c r="D710" s="182"/>
      <c r="E710" s="153"/>
      <c r="F710" s="153"/>
    </row>
    <row r="711">
      <c r="D711" s="182"/>
      <c r="E711" s="153"/>
      <c r="F711" s="153"/>
    </row>
    <row r="712">
      <c r="D712" s="182"/>
      <c r="E712" s="153"/>
      <c r="F712" s="153"/>
    </row>
    <row r="713">
      <c r="D713" s="182"/>
      <c r="E713" s="153"/>
      <c r="F713" s="153"/>
    </row>
    <row r="714">
      <c r="D714" s="182"/>
      <c r="E714" s="153"/>
      <c r="F714" s="153"/>
    </row>
    <row r="715">
      <c r="D715" s="182"/>
      <c r="E715" s="153"/>
      <c r="F715" s="153"/>
    </row>
    <row r="716">
      <c r="D716" s="182"/>
      <c r="E716" s="153"/>
      <c r="F716" s="153"/>
    </row>
    <row r="717">
      <c r="D717" s="182"/>
      <c r="E717" s="153"/>
      <c r="F717" s="153"/>
    </row>
    <row r="718">
      <c r="D718" s="182"/>
      <c r="E718" s="153"/>
      <c r="F718" s="153"/>
    </row>
    <row r="719">
      <c r="D719" s="182"/>
      <c r="E719" s="153"/>
      <c r="F719" s="153"/>
    </row>
    <row r="720">
      <c r="D720" s="182"/>
      <c r="E720" s="153"/>
      <c r="F720" s="153"/>
    </row>
    <row r="721">
      <c r="D721" s="182"/>
      <c r="E721" s="153"/>
      <c r="F721" s="153"/>
    </row>
    <row r="722">
      <c r="D722" s="182"/>
      <c r="E722" s="153"/>
      <c r="F722" s="153"/>
    </row>
    <row r="723">
      <c r="D723" s="182"/>
      <c r="E723" s="153"/>
      <c r="F723" s="153"/>
    </row>
    <row r="724">
      <c r="D724" s="182"/>
      <c r="E724" s="153"/>
      <c r="F724" s="153"/>
    </row>
    <row r="725">
      <c r="D725" s="182"/>
      <c r="E725" s="153"/>
      <c r="F725" s="153"/>
    </row>
    <row r="726">
      <c r="D726" s="182"/>
      <c r="E726" s="153"/>
      <c r="F726" s="153"/>
    </row>
    <row r="727">
      <c r="D727" s="182"/>
      <c r="E727" s="153"/>
      <c r="F727" s="153"/>
    </row>
    <row r="728">
      <c r="D728" s="182"/>
      <c r="E728" s="153"/>
      <c r="F728" s="153"/>
    </row>
    <row r="729">
      <c r="D729" s="182"/>
      <c r="E729" s="153"/>
      <c r="F729" s="153"/>
    </row>
    <row r="730">
      <c r="D730" s="182"/>
      <c r="E730" s="153"/>
      <c r="F730" s="153"/>
    </row>
    <row r="731">
      <c r="D731" s="182"/>
      <c r="E731" s="153"/>
      <c r="F731" s="153"/>
    </row>
    <row r="732">
      <c r="D732" s="182"/>
      <c r="E732" s="153"/>
      <c r="F732" s="153"/>
    </row>
    <row r="733">
      <c r="D733" s="182"/>
      <c r="E733" s="153"/>
      <c r="F733" s="153"/>
    </row>
    <row r="734">
      <c r="D734" s="182"/>
      <c r="E734" s="153"/>
      <c r="F734" s="153"/>
    </row>
    <row r="735">
      <c r="D735" s="182"/>
      <c r="E735" s="153"/>
      <c r="F735" s="153"/>
    </row>
    <row r="736">
      <c r="D736" s="182"/>
      <c r="E736" s="153"/>
      <c r="F736" s="153"/>
    </row>
    <row r="737">
      <c r="D737" s="182"/>
      <c r="E737" s="153"/>
      <c r="F737" s="153"/>
    </row>
    <row r="738">
      <c r="D738" s="182"/>
      <c r="E738" s="153"/>
      <c r="F738" s="153"/>
    </row>
    <row r="739">
      <c r="D739" s="182"/>
      <c r="E739" s="153"/>
      <c r="F739" s="153"/>
    </row>
    <row r="740">
      <c r="D740" s="182"/>
      <c r="E740" s="153"/>
      <c r="F740" s="153"/>
    </row>
    <row r="741">
      <c r="D741" s="182"/>
      <c r="E741" s="153"/>
      <c r="F741" s="153"/>
    </row>
    <row r="742">
      <c r="D742" s="182"/>
      <c r="E742" s="153"/>
      <c r="F742" s="153"/>
    </row>
    <row r="743">
      <c r="D743" s="182"/>
      <c r="E743" s="153"/>
      <c r="F743" s="153"/>
    </row>
    <row r="744">
      <c r="D744" s="182"/>
      <c r="E744" s="153"/>
      <c r="F744" s="153"/>
    </row>
    <row r="745">
      <c r="D745" s="182"/>
      <c r="E745" s="153"/>
      <c r="F745" s="153"/>
    </row>
    <row r="746">
      <c r="D746" s="182"/>
      <c r="E746" s="153"/>
      <c r="F746" s="153"/>
    </row>
    <row r="747">
      <c r="D747" s="182"/>
      <c r="E747" s="153"/>
      <c r="F747" s="153"/>
    </row>
    <row r="748">
      <c r="D748" s="182"/>
      <c r="E748" s="153"/>
      <c r="F748" s="153"/>
    </row>
    <row r="749">
      <c r="D749" s="182"/>
      <c r="E749" s="153"/>
      <c r="F749" s="153"/>
    </row>
    <row r="750">
      <c r="D750" s="182"/>
      <c r="E750" s="153"/>
      <c r="F750" s="153"/>
    </row>
    <row r="751">
      <c r="D751" s="182"/>
      <c r="E751" s="153"/>
      <c r="F751" s="153"/>
    </row>
    <row r="752">
      <c r="D752" s="182"/>
      <c r="E752" s="153"/>
      <c r="F752" s="153"/>
    </row>
    <row r="753">
      <c r="D753" s="182"/>
      <c r="E753" s="153"/>
      <c r="F753" s="153"/>
    </row>
    <row r="754">
      <c r="D754" s="182"/>
      <c r="E754" s="153"/>
      <c r="F754" s="153"/>
    </row>
    <row r="755">
      <c r="D755" s="182"/>
      <c r="E755" s="153"/>
      <c r="F755" s="153"/>
    </row>
    <row r="756">
      <c r="D756" s="182"/>
      <c r="E756" s="153"/>
      <c r="F756" s="153"/>
    </row>
    <row r="757">
      <c r="D757" s="182"/>
      <c r="E757" s="153"/>
      <c r="F757" s="153"/>
    </row>
    <row r="758">
      <c r="D758" s="182"/>
      <c r="E758" s="153"/>
      <c r="F758" s="153"/>
    </row>
    <row r="759">
      <c r="D759" s="182"/>
      <c r="E759" s="153"/>
      <c r="F759" s="153"/>
    </row>
    <row r="760">
      <c r="D760" s="182"/>
      <c r="E760" s="153"/>
      <c r="F760" s="153"/>
    </row>
    <row r="761">
      <c r="D761" s="182"/>
      <c r="E761" s="153"/>
      <c r="F761" s="153"/>
    </row>
    <row r="762">
      <c r="D762" s="182"/>
      <c r="E762" s="153"/>
      <c r="F762" s="153"/>
    </row>
    <row r="763">
      <c r="D763" s="182"/>
      <c r="E763" s="153"/>
      <c r="F763" s="153"/>
    </row>
    <row r="764">
      <c r="D764" s="182"/>
      <c r="E764" s="153"/>
      <c r="F764" s="153"/>
    </row>
    <row r="765">
      <c r="D765" s="182"/>
      <c r="E765" s="153"/>
      <c r="F765" s="153"/>
    </row>
    <row r="766">
      <c r="D766" s="182"/>
      <c r="E766" s="153"/>
      <c r="F766" s="153"/>
    </row>
    <row r="767">
      <c r="D767" s="182"/>
      <c r="E767" s="153"/>
      <c r="F767" s="153"/>
    </row>
    <row r="768">
      <c r="D768" s="182"/>
      <c r="E768" s="153"/>
      <c r="F768" s="153"/>
    </row>
    <row r="769">
      <c r="D769" s="182"/>
      <c r="E769" s="153"/>
      <c r="F769" s="153"/>
    </row>
    <row r="770">
      <c r="D770" s="182"/>
      <c r="E770" s="153"/>
      <c r="F770" s="153"/>
    </row>
    <row r="771">
      <c r="D771" s="182"/>
      <c r="E771" s="153"/>
      <c r="F771" s="153"/>
    </row>
    <row r="772">
      <c r="D772" s="182"/>
      <c r="E772" s="153"/>
      <c r="F772" s="153"/>
    </row>
    <row r="773">
      <c r="D773" s="182"/>
      <c r="E773" s="153"/>
      <c r="F773" s="153"/>
    </row>
    <row r="774">
      <c r="D774" s="182"/>
      <c r="E774" s="153"/>
      <c r="F774" s="153"/>
    </row>
    <row r="775">
      <c r="D775" s="182"/>
      <c r="E775" s="153"/>
      <c r="F775" s="153"/>
    </row>
    <row r="776">
      <c r="D776" s="182"/>
      <c r="E776" s="153"/>
      <c r="F776" s="153"/>
    </row>
    <row r="777">
      <c r="D777" s="182"/>
      <c r="E777" s="153"/>
      <c r="F777" s="153"/>
    </row>
    <row r="778">
      <c r="D778" s="182"/>
      <c r="E778" s="153"/>
      <c r="F778" s="153"/>
    </row>
    <row r="779">
      <c r="D779" s="182"/>
      <c r="E779" s="153"/>
      <c r="F779" s="153"/>
    </row>
    <row r="780">
      <c r="D780" s="182"/>
      <c r="E780" s="153"/>
      <c r="F780" s="153"/>
    </row>
    <row r="781">
      <c r="D781" s="182"/>
      <c r="E781" s="153"/>
      <c r="F781" s="153"/>
    </row>
    <row r="782">
      <c r="D782" s="182"/>
      <c r="E782" s="153"/>
      <c r="F782" s="153"/>
    </row>
    <row r="783">
      <c r="D783" s="182"/>
      <c r="E783" s="153"/>
      <c r="F783" s="153"/>
    </row>
    <row r="784">
      <c r="D784" s="182"/>
      <c r="E784" s="153"/>
      <c r="F784" s="153"/>
    </row>
    <row r="785">
      <c r="D785" s="182"/>
      <c r="E785" s="153"/>
      <c r="F785" s="153"/>
    </row>
    <row r="786">
      <c r="D786" s="182"/>
      <c r="E786" s="153"/>
      <c r="F786" s="153"/>
    </row>
    <row r="787">
      <c r="D787" s="182"/>
      <c r="E787" s="153"/>
      <c r="F787" s="153"/>
    </row>
    <row r="788">
      <c r="D788" s="182"/>
      <c r="E788" s="153"/>
      <c r="F788" s="153"/>
    </row>
    <row r="789">
      <c r="D789" s="182"/>
      <c r="E789" s="153"/>
      <c r="F789" s="153"/>
    </row>
    <row r="790">
      <c r="D790" s="182"/>
      <c r="E790" s="153"/>
      <c r="F790" s="153"/>
    </row>
    <row r="791">
      <c r="D791" s="182"/>
      <c r="E791" s="153"/>
      <c r="F791" s="153"/>
    </row>
    <row r="792">
      <c r="D792" s="182"/>
      <c r="E792" s="153"/>
      <c r="F792" s="153"/>
    </row>
    <row r="793">
      <c r="D793" s="182"/>
      <c r="E793" s="153"/>
      <c r="F793" s="153"/>
    </row>
    <row r="794">
      <c r="D794" s="182"/>
      <c r="E794" s="153"/>
      <c r="F794" s="153"/>
    </row>
    <row r="795">
      <c r="D795" s="182"/>
      <c r="E795" s="153"/>
      <c r="F795" s="153"/>
    </row>
    <row r="796">
      <c r="D796" s="182"/>
      <c r="E796" s="153"/>
      <c r="F796" s="153"/>
    </row>
    <row r="797">
      <c r="D797" s="182"/>
      <c r="E797" s="153"/>
      <c r="F797" s="153"/>
    </row>
    <row r="798">
      <c r="D798" s="182"/>
      <c r="E798" s="153"/>
      <c r="F798" s="153"/>
    </row>
    <row r="799">
      <c r="D799" s="182"/>
      <c r="E799" s="153"/>
      <c r="F799" s="153"/>
    </row>
    <row r="800">
      <c r="D800" s="182"/>
      <c r="E800" s="153"/>
      <c r="F800" s="153"/>
    </row>
    <row r="801">
      <c r="D801" s="182"/>
      <c r="E801" s="153"/>
      <c r="F801" s="153"/>
    </row>
    <row r="802">
      <c r="D802" s="182"/>
      <c r="E802" s="153"/>
      <c r="F802" s="153"/>
    </row>
    <row r="803">
      <c r="D803" s="182"/>
      <c r="E803" s="153"/>
      <c r="F803" s="153"/>
    </row>
    <row r="804">
      <c r="D804" s="182"/>
      <c r="E804" s="153"/>
      <c r="F804" s="153"/>
    </row>
    <row r="805">
      <c r="D805" s="182"/>
      <c r="E805" s="153"/>
      <c r="F805" s="153"/>
    </row>
    <row r="806">
      <c r="D806" s="182"/>
      <c r="E806" s="153"/>
      <c r="F806" s="153"/>
    </row>
    <row r="807">
      <c r="D807" s="182"/>
      <c r="E807" s="153"/>
      <c r="F807" s="153"/>
    </row>
    <row r="808">
      <c r="D808" s="182"/>
      <c r="E808" s="153"/>
      <c r="F808" s="153"/>
    </row>
    <row r="809">
      <c r="D809" s="182"/>
      <c r="E809" s="153"/>
      <c r="F809" s="153"/>
    </row>
    <row r="810">
      <c r="D810" s="182"/>
      <c r="E810" s="153"/>
      <c r="F810" s="153"/>
    </row>
    <row r="811">
      <c r="D811" s="182"/>
      <c r="E811" s="153"/>
      <c r="F811" s="153"/>
    </row>
    <row r="812">
      <c r="D812" s="182"/>
      <c r="E812" s="153"/>
      <c r="F812" s="153"/>
    </row>
    <row r="813">
      <c r="D813" s="182"/>
      <c r="E813" s="153"/>
      <c r="F813" s="153"/>
    </row>
    <row r="814">
      <c r="D814" s="182"/>
      <c r="E814" s="153"/>
      <c r="F814" s="153"/>
    </row>
    <row r="815">
      <c r="D815" s="182"/>
      <c r="E815" s="153"/>
      <c r="F815" s="153"/>
    </row>
    <row r="816">
      <c r="D816" s="182"/>
      <c r="E816" s="153"/>
      <c r="F816" s="153"/>
    </row>
    <row r="817">
      <c r="D817" s="182"/>
      <c r="E817" s="153"/>
      <c r="F817" s="153"/>
    </row>
    <row r="818">
      <c r="D818" s="182"/>
      <c r="E818" s="153"/>
      <c r="F818" s="153"/>
    </row>
    <row r="819">
      <c r="D819" s="182"/>
      <c r="E819" s="153"/>
      <c r="F819" s="153"/>
    </row>
    <row r="820">
      <c r="D820" s="182"/>
      <c r="E820" s="153"/>
      <c r="F820" s="153"/>
    </row>
    <row r="821">
      <c r="D821" s="182"/>
      <c r="E821" s="153"/>
      <c r="F821" s="153"/>
    </row>
    <row r="822">
      <c r="D822" s="182"/>
      <c r="E822" s="153"/>
      <c r="F822" s="153"/>
    </row>
    <row r="823">
      <c r="D823" s="182"/>
      <c r="E823" s="153"/>
      <c r="F823" s="153"/>
    </row>
    <row r="824">
      <c r="D824" s="182"/>
      <c r="E824" s="153"/>
      <c r="F824" s="153"/>
    </row>
    <row r="825">
      <c r="D825" s="182"/>
      <c r="E825" s="153"/>
      <c r="F825" s="153"/>
    </row>
    <row r="826">
      <c r="D826" s="182"/>
      <c r="E826" s="153"/>
      <c r="F826" s="153"/>
    </row>
    <row r="827">
      <c r="D827" s="182"/>
      <c r="E827" s="153"/>
      <c r="F827" s="153"/>
    </row>
    <row r="828">
      <c r="D828" s="182"/>
      <c r="E828" s="153"/>
      <c r="F828" s="153"/>
    </row>
    <row r="829">
      <c r="D829" s="182"/>
      <c r="E829" s="153"/>
      <c r="F829" s="153"/>
    </row>
    <row r="830">
      <c r="D830" s="182"/>
      <c r="E830" s="153"/>
      <c r="F830" s="153"/>
    </row>
    <row r="831">
      <c r="D831" s="182"/>
      <c r="E831" s="153"/>
      <c r="F831" s="153"/>
    </row>
    <row r="832">
      <c r="D832" s="182"/>
      <c r="E832" s="153"/>
      <c r="F832" s="153"/>
    </row>
    <row r="833">
      <c r="D833" s="182"/>
      <c r="E833" s="153"/>
      <c r="F833" s="153"/>
    </row>
    <row r="834">
      <c r="D834" s="182"/>
      <c r="E834" s="153"/>
      <c r="F834" s="153"/>
    </row>
    <row r="835">
      <c r="D835" s="182"/>
      <c r="E835" s="153"/>
      <c r="F835" s="153"/>
    </row>
    <row r="836">
      <c r="D836" s="182"/>
      <c r="E836" s="153"/>
      <c r="F836" s="153"/>
    </row>
    <row r="837">
      <c r="D837" s="182"/>
      <c r="E837" s="153"/>
      <c r="F837" s="153"/>
    </row>
    <row r="838">
      <c r="D838" s="182"/>
      <c r="E838" s="153"/>
      <c r="F838" s="153"/>
    </row>
    <row r="839">
      <c r="D839" s="182"/>
      <c r="E839" s="153"/>
      <c r="F839" s="153"/>
    </row>
    <row r="840">
      <c r="D840" s="182"/>
      <c r="E840" s="153"/>
      <c r="F840" s="153"/>
    </row>
    <row r="841">
      <c r="D841" s="182"/>
      <c r="E841" s="153"/>
      <c r="F841" s="153"/>
    </row>
    <row r="842">
      <c r="D842" s="182"/>
      <c r="E842" s="153"/>
      <c r="F842" s="153"/>
    </row>
    <row r="843">
      <c r="D843" s="182"/>
      <c r="E843" s="153"/>
      <c r="F843" s="153"/>
    </row>
    <row r="844">
      <c r="D844" s="182"/>
      <c r="E844" s="153"/>
      <c r="F844" s="153"/>
    </row>
    <row r="845">
      <c r="D845" s="182"/>
      <c r="E845" s="153"/>
      <c r="F845" s="153"/>
    </row>
    <row r="846">
      <c r="D846" s="182"/>
      <c r="E846" s="153"/>
      <c r="F846" s="153"/>
    </row>
    <row r="847">
      <c r="D847" s="182"/>
      <c r="E847" s="153"/>
      <c r="F847" s="153"/>
    </row>
    <row r="848">
      <c r="D848" s="182"/>
      <c r="E848" s="153"/>
      <c r="F848" s="153"/>
    </row>
    <row r="849">
      <c r="D849" s="182"/>
      <c r="E849" s="153"/>
      <c r="F849" s="153"/>
    </row>
    <row r="850">
      <c r="D850" s="182"/>
      <c r="E850" s="153"/>
      <c r="F850" s="153"/>
    </row>
    <row r="851">
      <c r="D851" s="182"/>
      <c r="E851" s="153"/>
      <c r="F851" s="153"/>
    </row>
    <row r="852">
      <c r="D852" s="182"/>
      <c r="E852" s="153"/>
      <c r="F852" s="153"/>
    </row>
    <row r="853">
      <c r="D853" s="182"/>
      <c r="E853" s="153"/>
      <c r="F853" s="153"/>
    </row>
    <row r="854">
      <c r="D854" s="182"/>
      <c r="E854" s="153"/>
      <c r="F854" s="153"/>
    </row>
    <row r="855">
      <c r="D855" s="182"/>
      <c r="E855" s="153"/>
      <c r="F855" s="153"/>
    </row>
    <row r="856">
      <c r="D856" s="182"/>
      <c r="E856" s="153"/>
      <c r="F856" s="153"/>
    </row>
    <row r="857">
      <c r="D857" s="182"/>
      <c r="E857" s="153"/>
      <c r="F857" s="153"/>
    </row>
    <row r="858">
      <c r="D858" s="182"/>
      <c r="E858" s="153"/>
      <c r="F858" s="153"/>
    </row>
    <row r="859">
      <c r="D859" s="182"/>
      <c r="E859" s="153"/>
      <c r="F859" s="153"/>
    </row>
    <row r="860">
      <c r="D860" s="182"/>
      <c r="E860" s="153"/>
      <c r="F860" s="153"/>
    </row>
    <row r="861">
      <c r="D861" s="182"/>
      <c r="E861" s="153"/>
      <c r="F861" s="153"/>
    </row>
    <row r="862">
      <c r="D862" s="182"/>
      <c r="E862" s="153"/>
      <c r="F862" s="153"/>
    </row>
    <row r="863">
      <c r="D863" s="182"/>
      <c r="E863" s="153"/>
      <c r="F863" s="153"/>
    </row>
    <row r="864">
      <c r="D864" s="182"/>
      <c r="E864" s="153"/>
      <c r="F864" s="153"/>
    </row>
    <row r="865">
      <c r="D865" s="182"/>
      <c r="E865" s="153"/>
      <c r="F865" s="153"/>
    </row>
    <row r="866">
      <c r="D866" s="182"/>
      <c r="E866" s="153"/>
      <c r="F866" s="153"/>
    </row>
    <row r="867">
      <c r="D867" s="182"/>
      <c r="E867" s="153"/>
      <c r="F867" s="153"/>
    </row>
    <row r="868">
      <c r="D868" s="182"/>
      <c r="E868" s="153"/>
      <c r="F868" s="153"/>
    </row>
    <row r="869">
      <c r="D869" s="182"/>
      <c r="E869" s="153"/>
      <c r="F869" s="153"/>
    </row>
    <row r="870">
      <c r="D870" s="182"/>
      <c r="E870" s="153"/>
      <c r="F870" s="153"/>
    </row>
    <row r="871">
      <c r="D871" s="182"/>
      <c r="E871" s="153"/>
      <c r="F871" s="153"/>
    </row>
    <row r="872">
      <c r="D872" s="182"/>
      <c r="E872" s="153"/>
      <c r="F872" s="153"/>
    </row>
    <row r="873">
      <c r="D873" s="182"/>
      <c r="E873" s="153"/>
      <c r="F873" s="153"/>
    </row>
    <row r="874">
      <c r="D874" s="182"/>
      <c r="E874" s="153"/>
      <c r="F874" s="153"/>
    </row>
    <row r="875">
      <c r="D875" s="182"/>
      <c r="E875" s="153"/>
      <c r="F875" s="153"/>
    </row>
    <row r="876">
      <c r="D876" s="182"/>
      <c r="E876" s="153"/>
      <c r="F876" s="153"/>
    </row>
    <row r="877">
      <c r="D877" s="182"/>
      <c r="E877" s="153"/>
      <c r="F877" s="153"/>
    </row>
    <row r="878">
      <c r="D878" s="182"/>
      <c r="E878" s="153"/>
      <c r="F878" s="153"/>
    </row>
    <row r="879">
      <c r="D879" s="182"/>
      <c r="E879" s="153"/>
      <c r="F879" s="153"/>
    </row>
    <row r="880">
      <c r="D880" s="182"/>
      <c r="E880" s="153"/>
      <c r="F880" s="153"/>
    </row>
    <row r="881">
      <c r="D881" s="182"/>
      <c r="E881" s="153"/>
      <c r="F881" s="153"/>
    </row>
    <row r="882">
      <c r="D882" s="182"/>
      <c r="E882" s="153"/>
      <c r="F882" s="153"/>
    </row>
    <row r="883">
      <c r="D883" s="182"/>
      <c r="E883" s="153"/>
      <c r="F883" s="153"/>
    </row>
    <row r="884">
      <c r="D884" s="182"/>
      <c r="E884" s="153"/>
      <c r="F884" s="153"/>
    </row>
    <row r="885">
      <c r="D885" s="182"/>
      <c r="E885" s="153"/>
      <c r="F885" s="153"/>
    </row>
    <row r="886">
      <c r="D886" s="182"/>
      <c r="E886" s="153"/>
      <c r="F886" s="153"/>
    </row>
    <row r="887">
      <c r="D887" s="182"/>
      <c r="E887" s="153"/>
      <c r="F887" s="153"/>
    </row>
    <row r="888">
      <c r="D888" s="182"/>
      <c r="E888" s="153"/>
      <c r="F888" s="153"/>
    </row>
    <row r="889">
      <c r="D889" s="182"/>
      <c r="E889" s="153"/>
      <c r="F889" s="153"/>
    </row>
    <row r="890">
      <c r="D890" s="182"/>
      <c r="E890" s="153"/>
      <c r="F890" s="153"/>
    </row>
    <row r="891">
      <c r="D891" s="182"/>
      <c r="E891" s="153"/>
      <c r="F891" s="153"/>
    </row>
    <row r="892">
      <c r="D892" s="182"/>
      <c r="E892" s="153"/>
      <c r="F892" s="153"/>
    </row>
    <row r="893">
      <c r="D893" s="182"/>
      <c r="E893" s="153"/>
      <c r="F893" s="153"/>
    </row>
    <row r="894">
      <c r="D894" s="182"/>
      <c r="E894" s="153"/>
      <c r="F894" s="153"/>
    </row>
    <row r="895">
      <c r="D895" s="182"/>
      <c r="E895" s="153"/>
      <c r="F895" s="153"/>
    </row>
    <row r="896">
      <c r="D896" s="182"/>
      <c r="E896" s="153"/>
      <c r="F896" s="153"/>
    </row>
    <row r="897">
      <c r="D897" s="182"/>
      <c r="E897" s="153"/>
      <c r="F897" s="153"/>
    </row>
    <row r="898">
      <c r="D898" s="182"/>
      <c r="E898" s="153"/>
      <c r="F898" s="153"/>
    </row>
    <row r="899">
      <c r="D899" s="182"/>
      <c r="E899" s="153"/>
      <c r="F899" s="153"/>
    </row>
    <row r="900">
      <c r="D900" s="182"/>
      <c r="E900" s="153"/>
      <c r="F900" s="153"/>
    </row>
    <row r="901">
      <c r="D901" s="182"/>
      <c r="E901" s="153"/>
      <c r="F901" s="153"/>
    </row>
    <row r="902">
      <c r="D902" s="182"/>
      <c r="E902" s="153"/>
      <c r="F902" s="153"/>
    </row>
    <row r="903">
      <c r="D903" s="182"/>
      <c r="E903" s="153"/>
      <c r="F903" s="153"/>
    </row>
    <row r="904">
      <c r="D904" s="182"/>
      <c r="E904" s="153"/>
      <c r="F904" s="153"/>
    </row>
    <row r="905">
      <c r="D905" s="182"/>
      <c r="E905" s="153"/>
      <c r="F905" s="153"/>
    </row>
    <row r="906">
      <c r="D906" s="182"/>
      <c r="E906" s="153"/>
      <c r="F906" s="153"/>
    </row>
    <row r="907">
      <c r="D907" s="182"/>
      <c r="E907" s="153"/>
      <c r="F907" s="153"/>
    </row>
    <row r="908">
      <c r="D908" s="182"/>
      <c r="E908" s="153"/>
      <c r="F908" s="153"/>
    </row>
    <row r="909">
      <c r="D909" s="182"/>
      <c r="E909" s="153"/>
      <c r="F909" s="153"/>
    </row>
    <row r="910">
      <c r="D910" s="182"/>
      <c r="E910" s="153"/>
      <c r="F910" s="153"/>
    </row>
    <row r="911">
      <c r="D911" s="182"/>
      <c r="E911" s="153"/>
      <c r="F911" s="153"/>
    </row>
    <row r="912">
      <c r="D912" s="182"/>
      <c r="E912" s="153"/>
      <c r="F912" s="153"/>
    </row>
    <row r="913">
      <c r="D913" s="182"/>
      <c r="E913" s="153"/>
      <c r="F913" s="153"/>
    </row>
    <row r="914">
      <c r="D914" s="182"/>
      <c r="E914" s="153"/>
      <c r="F914" s="153"/>
    </row>
    <row r="915">
      <c r="D915" s="182"/>
      <c r="E915" s="153"/>
      <c r="F915" s="153"/>
    </row>
    <row r="916">
      <c r="D916" s="182"/>
      <c r="E916" s="153"/>
      <c r="F916" s="153"/>
    </row>
    <row r="917">
      <c r="D917" s="182"/>
      <c r="E917" s="153"/>
      <c r="F917" s="153"/>
    </row>
    <row r="918">
      <c r="D918" s="182"/>
      <c r="E918" s="153"/>
      <c r="F918" s="153"/>
    </row>
    <row r="919">
      <c r="D919" s="182"/>
      <c r="E919" s="153"/>
      <c r="F919" s="153"/>
    </row>
    <row r="920">
      <c r="D920" s="182"/>
      <c r="E920" s="153"/>
      <c r="F920" s="153"/>
    </row>
    <row r="921">
      <c r="D921" s="182"/>
      <c r="E921" s="153"/>
      <c r="F921" s="153"/>
    </row>
    <row r="922">
      <c r="D922" s="182"/>
      <c r="E922" s="153"/>
      <c r="F922" s="153"/>
    </row>
    <row r="923">
      <c r="D923" s="182"/>
      <c r="E923" s="153"/>
      <c r="F923" s="153"/>
    </row>
    <row r="924">
      <c r="D924" s="182"/>
      <c r="E924" s="153"/>
      <c r="F924" s="153"/>
    </row>
    <row r="925">
      <c r="D925" s="182"/>
      <c r="E925" s="153"/>
      <c r="F925" s="153"/>
    </row>
    <row r="926">
      <c r="D926" s="182"/>
      <c r="E926" s="153"/>
      <c r="F926" s="153"/>
    </row>
    <row r="927">
      <c r="D927" s="182"/>
      <c r="E927" s="153"/>
      <c r="F927" s="153"/>
    </row>
    <row r="928">
      <c r="D928" s="182"/>
      <c r="E928" s="153"/>
      <c r="F928" s="153"/>
    </row>
    <row r="929">
      <c r="D929" s="182"/>
      <c r="E929" s="153"/>
      <c r="F929" s="153"/>
    </row>
    <row r="930">
      <c r="D930" s="182"/>
      <c r="E930" s="153"/>
      <c r="F930" s="153"/>
    </row>
    <row r="931">
      <c r="D931" s="182"/>
      <c r="E931" s="153"/>
      <c r="F931" s="153"/>
    </row>
    <row r="932">
      <c r="D932" s="182"/>
      <c r="E932" s="153"/>
      <c r="F932" s="153"/>
    </row>
    <row r="933">
      <c r="D933" s="182"/>
      <c r="E933" s="153"/>
      <c r="F933" s="153"/>
    </row>
    <row r="934">
      <c r="D934" s="182"/>
      <c r="E934" s="153"/>
      <c r="F934" s="153"/>
    </row>
    <row r="935">
      <c r="D935" s="182"/>
      <c r="E935" s="153"/>
      <c r="F935" s="153"/>
    </row>
    <row r="936">
      <c r="D936" s="182"/>
      <c r="E936" s="153"/>
      <c r="F936" s="153"/>
    </row>
    <row r="937">
      <c r="D937" s="182"/>
      <c r="E937" s="153"/>
      <c r="F937" s="153"/>
    </row>
    <row r="938">
      <c r="D938" s="182"/>
      <c r="E938" s="153"/>
      <c r="F938" s="153"/>
    </row>
    <row r="939">
      <c r="D939" s="182"/>
      <c r="E939" s="153"/>
      <c r="F939" s="153"/>
    </row>
    <row r="940">
      <c r="D940" s="182"/>
      <c r="E940" s="153"/>
      <c r="F940" s="153"/>
    </row>
    <row r="941">
      <c r="D941" s="182"/>
      <c r="E941" s="153"/>
      <c r="F941" s="153"/>
    </row>
    <row r="942">
      <c r="D942" s="182"/>
      <c r="E942" s="153"/>
      <c r="F942" s="153"/>
    </row>
    <row r="943">
      <c r="D943" s="182"/>
      <c r="E943" s="153"/>
      <c r="F943" s="153"/>
    </row>
    <row r="944">
      <c r="D944" s="182"/>
      <c r="E944" s="153"/>
      <c r="F944" s="153"/>
    </row>
    <row r="945">
      <c r="D945" s="182"/>
      <c r="E945" s="153"/>
      <c r="F945" s="153"/>
    </row>
    <row r="946">
      <c r="D946" s="182"/>
      <c r="E946" s="153"/>
      <c r="F946" s="153"/>
    </row>
    <row r="947">
      <c r="D947" s="182"/>
      <c r="E947" s="153"/>
      <c r="F947" s="153"/>
    </row>
    <row r="948">
      <c r="D948" s="182"/>
      <c r="E948" s="153"/>
      <c r="F948" s="153"/>
    </row>
    <row r="949">
      <c r="D949" s="182"/>
      <c r="E949" s="153"/>
      <c r="F949" s="153"/>
    </row>
    <row r="950">
      <c r="D950" s="182"/>
      <c r="E950" s="153"/>
      <c r="F950" s="153"/>
    </row>
    <row r="951">
      <c r="D951" s="182"/>
      <c r="E951" s="153"/>
      <c r="F951" s="153"/>
    </row>
    <row r="952">
      <c r="D952" s="182"/>
      <c r="E952" s="153"/>
      <c r="F952" s="153"/>
    </row>
    <row r="953">
      <c r="D953" s="182"/>
      <c r="E953" s="153"/>
      <c r="F953" s="153"/>
    </row>
    <row r="954">
      <c r="D954" s="182"/>
      <c r="E954" s="153"/>
      <c r="F954" s="153"/>
    </row>
    <row r="955">
      <c r="D955" s="182"/>
      <c r="E955" s="153"/>
      <c r="F955" s="153"/>
    </row>
    <row r="956">
      <c r="D956" s="182"/>
      <c r="E956" s="153"/>
      <c r="F956" s="153"/>
    </row>
    <row r="957">
      <c r="D957" s="182"/>
      <c r="E957" s="153"/>
      <c r="F957" s="153"/>
    </row>
    <row r="958">
      <c r="D958" s="182"/>
      <c r="E958" s="153"/>
      <c r="F958" s="153"/>
    </row>
    <row r="959">
      <c r="D959" s="182"/>
      <c r="E959" s="153"/>
      <c r="F959" s="153"/>
    </row>
    <row r="960">
      <c r="D960" s="182"/>
      <c r="E960" s="153"/>
      <c r="F960" s="153"/>
    </row>
    <row r="961">
      <c r="D961" s="182"/>
      <c r="E961" s="153"/>
      <c r="F961" s="153"/>
    </row>
    <row r="962">
      <c r="D962" s="182"/>
      <c r="E962" s="153"/>
      <c r="F962" s="153"/>
    </row>
    <row r="963">
      <c r="D963" s="182"/>
      <c r="E963" s="153"/>
      <c r="F963" s="153"/>
    </row>
    <row r="964">
      <c r="D964" s="182"/>
      <c r="E964" s="153"/>
      <c r="F964" s="153"/>
    </row>
    <row r="965">
      <c r="D965" s="182"/>
      <c r="E965" s="153"/>
      <c r="F965" s="153"/>
    </row>
    <row r="966">
      <c r="D966" s="182"/>
      <c r="E966" s="153"/>
      <c r="F966" s="153"/>
    </row>
    <row r="967">
      <c r="D967" s="182"/>
      <c r="E967" s="153"/>
      <c r="F967" s="153"/>
    </row>
    <row r="968">
      <c r="D968" s="182"/>
      <c r="E968" s="153"/>
      <c r="F968" s="153"/>
    </row>
    <row r="969">
      <c r="D969" s="182"/>
      <c r="E969" s="153"/>
      <c r="F969" s="153"/>
    </row>
    <row r="970">
      <c r="D970" s="182"/>
      <c r="E970" s="153"/>
      <c r="F970" s="153"/>
    </row>
    <row r="971">
      <c r="D971" s="182"/>
      <c r="E971" s="153"/>
      <c r="F971" s="153"/>
    </row>
    <row r="972">
      <c r="D972" s="182"/>
      <c r="E972" s="153"/>
      <c r="F972" s="153"/>
    </row>
    <row r="973">
      <c r="D973" s="182"/>
      <c r="E973" s="153"/>
      <c r="F973" s="153"/>
    </row>
    <row r="974">
      <c r="D974" s="182"/>
      <c r="E974" s="153"/>
      <c r="F974" s="153"/>
    </row>
    <row r="975">
      <c r="D975" s="182"/>
      <c r="E975" s="153"/>
      <c r="F975" s="153"/>
    </row>
    <row r="976">
      <c r="D976" s="182"/>
      <c r="E976" s="153"/>
      <c r="F976" s="153"/>
    </row>
    <row r="977">
      <c r="D977" s="182"/>
      <c r="E977" s="153"/>
      <c r="F977" s="153"/>
    </row>
    <row r="978">
      <c r="D978" s="182"/>
      <c r="E978" s="153"/>
      <c r="F978" s="153"/>
    </row>
    <row r="979">
      <c r="D979" s="182"/>
      <c r="E979" s="153"/>
      <c r="F979" s="153"/>
    </row>
    <row r="980">
      <c r="D980" s="182"/>
      <c r="E980" s="153"/>
      <c r="F980" s="153"/>
    </row>
    <row r="981">
      <c r="D981" s="182"/>
      <c r="E981" s="153"/>
      <c r="F981" s="153"/>
    </row>
    <row r="982">
      <c r="D982" s="182"/>
      <c r="E982" s="153"/>
      <c r="F982" s="153"/>
    </row>
    <row r="983">
      <c r="D983" s="182"/>
      <c r="E983" s="153"/>
      <c r="F983" s="153"/>
    </row>
    <row r="984">
      <c r="D984" s="182"/>
      <c r="E984" s="153"/>
      <c r="F984" s="153"/>
    </row>
    <row r="985">
      <c r="D985" s="182"/>
      <c r="E985" s="153"/>
      <c r="F985" s="153"/>
    </row>
    <row r="986">
      <c r="D986" s="182"/>
      <c r="E986" s="153"/>
      <c r="F986" s="153"/>
    </row>
    <row r="987">
      <c r="D987" s="182"/>
      <c r="E987" s="153"/>
      <c r="F987" s="153"/>
    </row>
    <row r="988">
      <c r="D988" s="182"/>
      <c r="E988" s="153"/>
      <c r="F988" s="153"/>
    </row>
    <row r="989">
      <c r="D989" s="182"/>
      <c r="E989" s="153"/>
      <c r="F989" s="153"/>
    </row>
    <row r="990">
      <c r="D990" s="182"/>
      <c r="E990" s="153"/>
      <c r="F990" s="153"/>
    </row>
    <row r="991">
      <c r="D991" s="182"/>
      <c r="E991" s="153"/>
      <c r="F991" s="153"/>
    </row>
    <row r="992">
      <c r="D992" s="182"/>
      <c r="E992" s="153"/>
      <c r="F992" s="153"/>
    </row>
    <row r="993">
      <c r="D993" s="182"/>
      <c r="E993" s="153"/>
      <c r="F993" s="153"/>
    </row>
    <row r="994">
      <c r="D994" s="182"/>
      <c r="E994" s="153"/>
      <c r="F994" s="153"/>
    </row>
    <row r="995">
      <c r="D995" s="182"/>
      <c r="E995" s="153"/>
      <c r="F995" s="153"/>
    </row>
    <row r="996">
      <c r="D996" s="182"/>
      <c r="E996" s="153"/>
      <c r="F996" s="153"/>
    </row>
    <row r="997">
      <c r="D997" s="182"/>
      <c r="E997" s="153"/>
      <c r="F997" s="153"/>
    </row>
    <row r="998">
      <c r="D998" s="182"/>
      <c r="E998" s="153"/>
      <c r="F998" s="153"/>
    </row>
    <row r="999">
      <c r="D999" s="182"/>
      <c r="E999" s="153"/>
      <c r="F999" s="153"/>
    </row>
  </sheetData>
  <autoFilter ref="$A$1:$F$3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155" t="s">
        <v>9</v>
      </c>
      <c r="B1" s="155" t="s">
        <v>10</v>
      </c>
      <c r="C1" s="155" t="s">
        <v>120</v>
      </c>
      <c r="D1" s="155" t="s">
        <v>12</v>
      </c>
      <c r="E1" s="155" t="s">
        <v>13</v>
      </c>
      <c r="F1" s="155" t="s">
        <v>14</v>
      </c>
      <c r="G1" s="155" t="s">
        <v>15</v>
      </c>
      <c r="H1" s="155" t="s">
        <v>16</v>
      </c>
    </row>
    <row r="2">
      <c r="A2" t="str">
        <f>VLOOKUP('Plan - NL'!I8,'2021 status'!$B$2:$F$30,5,FALSE)</f>
        <v>#N/A</v>
      </c>
      <c r="B2" t="str">
        <f>VLOOKUP('Plan - NL'!J8,'2021 status'!$B$2:$F$30,5,FALSE)</f>
        <v>#N/A</v>
      </c>
      <c r="C2" t="str">
        <f>VLOOKUP('Plan - NL'!K8,'2021 status'!$B$2:$F$30,5,FALSE)</f>
        <v>#N/A</v>
      </c>
      <c r="D2">
        <f>VLOOKUP('Plan - NL'!L8,'2021 status'!$B$2:$F$30,5,FALSE)</f>
        <v>1</v>
      </c>
      <c r="E2" t="str">
        <f>VLOOKUP('Plan - NL'!M8,'2021 status'!$B$2:$F$30,5,FALSE)</f>
        <v>#N/A</v>
      </c>
      <c r="F2">
        <f>VLOOKUP('Plan - NL'!N8,'2021 status'!$B$2:$F$30,5,FALSE)</f>
        <v>2</v>
      </c>
      <c r="G2">
        <f>VLOOKUP('Plan - NL'!O8,'2021 status'!$B$2:$F$30,5,FALSE)</f>
        <v>2</v>
      </c>
      <c r="H2" t="str">
        <f>VLOOKUP('Plan - NL'!P8,'2021 status'!$B$2:$F$30,5,FALSE)</f>
        <v>#N/A</v>
      </c>
    </row>
    <row r="3">
      <c r="A3" t="str">
        <f>VLOOKUP(#REF!,'2021 status'!$B$2:$F$30,5,FALSE)</f>
        <v>#REF!</v>
      </c>
      <c r="B3" t="str">
        <f>VLOOKUP(#REF!,'2021 status'!$B$2:$F$30,5,FALSE)</f>
        <v>#REF!</v>
      </c>
      <c r="C3" t="str">
        <f>VLOOKUP(#REF!,'2021 status'!$B$2:$F$30,5,FALSE)</f>
        <v>#REF!</v>
      </c>
      <c r="D3" t="str">
        <f>VLOOKUP(#REF!,'2021 status'!$B$2:$F$30,5,FALSE)</f>
        <v>#REF!</v>
      </c>
      <c r="E3" t="str">
        <f>VLOOKUP(#REF!,'2021 status'!$B$2:$F$30,5,FALSE)</f>
        <v>#REF!</v>
      </c>
      <c r="F3" t="str">
        <f>VLOOKUP(#REF!,'2021 status'!$B$2:$F$30,5,FALSE)</f>
        <v>#REF!</v>
      </c>
      <c r="G3" t="str">
        <f>VLOOKUP(#REF!,'2021 status'!$B$2:$F$30,5,FALSE)</f>
        <v>#REF!</v>
      </c>
      <c r="H3" t="str">
        <f>VLOOKUP(#REF!,'2021 status'!$B$2:$F$30,5,FALSE)</f>
        <v>#REF!</v>
      </c>
    </row>
    <row r="4">
      <c r="A4" t="str">
        <f>VLOOKUP(#REF!,'2021 status'!$B$2:$F$30,5,FALSE)</f>
        <v>#REF!</v>
      </c>
      <c r="B4" t="str">
        <f>VLOOKUP(#REF!,'2021 status'!$B$2:$F$30,5,FALSE)</f>
        <v>#REF!</v>
      </c>
      <c r="C4" t="str">
        <f>VLOOKUP(#REF!,'2021 status'!$B$2:$F$30,5,FALSE)</f>
        <v>#REF!</v>
      </c>
      <c r="D4" t="str">
        <f>VLOOKUP(#REF!,'2021 status'!$B$2:$F$30,5,FALSE)</f>
        <v>#REF!</v>
      </c>
      <c r="E4" t="str">
        <f>VLOOKUP(#REF!,'2021 status'!$B$2:$F$30,5,FALSE)</f>
        <v>#REF!</v>
      </c>
      <c r="F4" t="str">
        <f>VLOOKUP(#REF!,'2021 status'!$B$2:$F$30,5,FALSE)</f>
        <v>#REF!</v>
      </c>
      <c r="G4" t="str">
        <f>VLOOKUP(#REF!,'2021 status'!$B$2:$F$30,5,FALSE)</f>
        <v>#REF!</v>
      </c>
      <c r="H4" t="str">
        <f>VLOOKUP(#REF!,'2021 status'!$B$2:$F$30,5,FALSE)</f>
        <v>#REF!</v>
      </c>
    </row>
    <row r="5">
      <c r="A5" t="str">
        <f>VLOOKUP(#REF!,'2021 status'!$B$2:$F$30,5,FALSE)</f>
        <v>#REF!</v>
      </c>
      <c r="B5" t="str">
        <f>VLOOKUP(#REF!,'2021 status'!$B$2:$F$30,5,FALSE)</f>
        <v>#REF!</v>
      </c>
      <c r="C5" t="str">
        <f>VLOOKUP(#REF!,'2021 status'!$B$2:$F$30,5,FALSE)</f>
        <v>#REF!</v>
      </c>
      <c r="D5" t="str">
        <f>VLOOKUP(#REF!,'2021 status'!$B$2:$F$30,5,FALSE)</f>
        <v>#REF!</v>
      </c>
      <c r="E5" t="str">
        <f>VLOOKUP(#REF!,'2021 status'!$B$2:$F$30,5,FALSE)</f>
        <v>#REF!</v>
      </c>
      <c r="F5" t="str">
        <f>VLOOKUP(#REF!,'2021 status'!$B$2:$F$30,5,FALSE)</f>
        <v>#REF!</v>
      </c>
      <c r="G5" t="str">
        <f>VLOOKUP(#REF!,'2021 status'!$B$2:$F$30,5,FALSE)</f>
        <v>#REF!</v>
      </c>
      <c r="H5" t="str">
        <f>VLOOKUP(#REF!,'2021 status'!$B$2:$F$30,5,FALSE)</f>
        <v>#REF!</v>
      </c>
    </row>
    <row r="6">
      <c r="A6">
        <f>VLOOKUP('Plan - NL'!I9,'2021 status'!$B$2:$F$30,5,FALSE)</f>
        <v>1</v>
      </c>
      <c r="B6" t="str">
        <f>VLOOKUP('Plan - NL'!J9,'2021 status'!$B$2:$F$30,5,FALSE)</f>
        <v>#N/A</v>
      </c>
      <c r="C6" t="str">
        <f>VLOOKUP('Plan - NL'!K9,'2021 status'!$B$2:$F$30,5,FALSE)</f>
        <v>#N/A</v>
      </c>
      <c r="D6">
        <f>VLOOKUP('Plan - NL'!L9,'2021 status'!$B$2:$F$30,5,FALSE)</f>
        <v>2</v>
      </c>
      <c r="E6" t="str">
        <f>VLOOKUP('Plan - NL'!M9,'2021 status'!$B$2:$F$30,5,FALSE)</f>
        <v>#N/A</v>
      </c>
      <c r="F6">
        <f>VLOOKUP('Plan - NL'!N9,'2021 status'!$B$2:$F$30,5,FALSE)</f>
        <v>1</v>
      </c>
      <c r="G6">
        <f>VLOOKUP('Plan - NL'!O9,'2021 status'!$B$2:$F$30,5,FALSE)</f>
        <v>3</v>
      </c>
      <c r="H6" t="str">
        <f>VLOOKUP('Plan - NL'!P9,'2021 status'!$B$2:$F$30,5,FALSE)</f>
        <v>#N/A</v>
      </c>
    </row>
    <row r="7">
      <c r="A7" t="str">
        <f>VLOOKUP(#REF!,'2021 status'!$B$2:$F$30,5,FALSE)</f>
        <v>#REF!</v>
      </c>
      <c r="B7" t="str">
        <f>VLOOKUP(#REF!,'2021 status'!$B$2:$F$30,5,FALSE)</f>
        <v>#REF!</v>
      </c>
      <c r="C7" t="str">
        <f>VLOOKUP(#REF!,'2021 status'!$B$2:$F$30,5,FALSE)</f>
        <v>#REF!</v>
      </c>
      <c r="D7" t="str">
        <f>VLOOKUP(#REF!,'2021 status'!$B$2:$F$30,5,FALSE)</f>
        <v>#REF!</v>
      </c>
      <c r="E7" t="str">
        <f>VLOOKUP(#REF!,'2021 status'!$B$2:$F$30,5,FALSE)</f>
        <v>#REF!</v>
      </c>
      <c r="F7" t="str">
        <f>VLOOKUP(#REF!,'2021 status'!$B$2:$F$30,5,FALSE)</f>
        <v>#REF!</v>
      </c>
      <c r="G7" t="str">
        <f>VLOOKUP(#REF!,'2021 status'!$B$2:$F$30,5,FALSE)</f>
        <v>#REF!</v>
      </c>
      <c r="H7" t="str">
        <f>VLOOKUP(#REF!,'2021 status'!$B$2:$F$30,5,FALSE)</f>
        <v>#REF!</v>
      </c>
    </row>
    <row r="8">
      <c r="A8" t="str">
        <f>VLOOKUP(#REF!,'2021 status'!$B$2:$F$30,5,FALSE)</f>
        <v>#REF!</v>
      </c>
      <c r="B8" t="str">
        <f>VLOOKUP(#REF!,'2021 status'!$B$2:$F$30,5,FALSE)</f>
        <v>#REF!</v>
      </c>
      <c r="C8" t="str">
        <f>VLOOKUP(#REF!,'2021 status'!$B$2:$F$30,5,FALSE)</f>
        <v>#REF!</v>
      </c>
      <c r="D8" t="str">
        <f>VLOOKUP(#REF!,'2021 status'!$B$2:$F$30,5,FALSE)</f>
        <v>#REF!</v>
      </c>
      <c r="E8" t="str">
        <f>VLOOKUP(#REF!,'2021 status'!$B$2:$F$30,5,FALSE)</f>
        <v>#REF!</v>
      </c>
      <c r="F8" t="str">
        <f>VLOOKUP(#REF!,'2021 status'!$B$2:$F$30,5,FALSE)</f>
        <v>#REF!</v>
      </c>
      <c r="G8" t="str">
        <f>VLOOKUP(#REF!,'2021 status'!$B$2:$F$30,5,FALSE)</f>
        <v>#REF!</v>
      </c>
      <c r="H8" t="str">
        <f>VLOOKUP(#REF!,'2021 status'!$B$2:$F$30,5,FALSE)</f>
        <v>#REF!</v>
      </c>
    </row>
    <row r="9">
      <c r="A9" t="str">
        <f>VLOOKUP(#REF!,'2021 status'!$B$2:$F$30,5,FALSE)</f>
        <v>#REF!</v>
      </c>
      <c r="B9" t="str">
        <f>VLOOKUP(#REF!,'2021 status'!$B$2:$F$30,5,FALSE)</f>
        <v>#REF!</v>
      </c>
      <c r="C9" t="str">
        <f>VLOOKUP(#REF!,'2021 status'!$B$2:$F$30,5,FALSE)</f>
        <v>#REF!</v>
      </c>
      <c r="D9" t="str">
        <f>VLOOKUP(#REF!,'2021 status'!$B$2:$F$30,5,FALSE)</f>
        <v>#REF!</v>
      </c>
      <c r="E9" t="str">
        <f>VLOOKUP(#REF!,'2021 status'!$B$2:$F$30,5,FALSE)</f>
        <v>#REF!</v>
      </c>
      <c r="F9" t="str">
        <f>VLOOKUP(#REF!,'2021 status'!$B$2:$F$30,5,FALSE)</f>
        <v>#REF!</v>
      </c>
      <c r="G9" t="str">
        <f>VLOOKUP(#REF!,'2021 status'!$B$2:$F$30,5,FALSE)</f>
        <v>#REF!</v>
      </c>
      <c r="H9" t="str">
        <f>VLOOKUP(#REF!,'2021 status'!$B$2:$F$30,5,FALSE)</f>
        <v>#REF!</v>
      </c>
    </row>
    <row r="10">
      <c r="A10" t="str">
        <f>VLOOKUP(#REF!,'2021 status'!$B$2:$F$30,5,FALSE)</f>
        <v>#REF!</v>
      </c>
      <c r="B10" t="str">
        <f>VLOOKUP(#REF!,'2021 status'!$B$2:$F$30,5,FALSE)</f>
        <v>#REF!</v>
      </c>
      <c r="C10" t="str">
        <f>VLOOKUP(#REF!,'2021 status'!$B$2:$F$30,5,FALSE)</f>
        <v>#REF!</v>
      </c>
      <c r="D10" t="str">
        <f>VLOOKUP(#REF!,'2021 status'!$B$2:$F$30,5,FALSE)</f>
        <v>#REF!</v>
      </c>
      <c r="E10" t="str">
        <f>VLOOKUP(#REF!,'2021 status'!$B$2:$F$30,5,FALSE)</f>
        <v>#REF!</v>
      </c>
      <c r="F10" t="str">
        <f>VLOOKUP(#REF!,'2021 status'!$B$2:$F$30,5,FALSE)</f>
        <v>#REF!</v>
      </c>
      <c r="G10" t="str">
        <f>VLOOKUP(#REF!,'2021 status'!$B$2:$F$30,5,FALSE)</f>
        <v>#REF!</v>
      </c>
      <c r="H10" t="str">
        <f>VLOOKUP(#REF!,'2021 status'!$B$2:$F$30,5,FALSE)</f>
        <v>#REF!</v>
      </c>
    </row>
    <row r="11">
      <c r="A11" t="str">
        <f>VLOOKUP(#REF!,'2021 status'!$B$2:$F$30,5,FALSE)</f>
        <v>#REF!</v>
      </c>
      <c r="B11" t="str">
        <f>VLOOKUP(#REF!,'2021 status'!$B$2:$F$30,5,FALSE)</f>
        <v>#REF!</v>
      </c>
      <c r="C11" t="str">
        <f>VLOOKUP(#REF!,'2021 status'!$B$2:$F$30,5,FALSE)</f>
        <v>#REF!</v>
      </c>
      <c r="D11" t="str">
        <f>VLOOKUP(#REF!,'2021 status'!$B$2:$F$30,5,FALSE)</f>
        <v>#REF!</v>
      </c>
      <c r="E11" t="str">
        <f>VLOOKUP(#REF!,'2021 status'!$B$2:$F$30,5,FALSE)</f>
        <v>#REF!</v>
      </c>
      <c r="F11" t="str">
        <f>VLOOKUP(#REF!,'2021 status'!$B$2:$F$30,5,FALSE)</f>
        <v>#REF!</v>
      </c>
      <c r="G11" t="str">
        <f>VLOOKUP(#REF!,'2021 status'!$B$2:$F$30,5,FALSE)</f>
        <v>#REF!</v>
      </c>
      <c r="H11" t="str">
        <f>VLOOKUP(#REF!,'2021 status'!$B$2:$F$30,5,FALSE)</f>
        <v>#REF!</v>
      </c>
    </row>
    <row r="12">
      <c r="A12">
        <f>VLOOKUP('Plan - NL'!I20,'2021 status'!$B$2:$F$30,5,FALSE)</f>
        <v>1</v>
      </c>
      <c r="B12" t="str">
        <f>VLOOKUP('Plan - NL'!J20,'2021 status'!$B$2:$F$30,5,FALSE)</f>
        <v>#N/A</v>
      </c>
      <c r="C12">
        <f>VLOOKUP('Plan - NL'!K20,'2021 status'!$B$2:$F$30,5,FALSE)</f>
        <v>1</v>
      </c>
      <c r="D12" t="str">
        <f>VLOOKUP('Plan - NL'!L20,'2021 status'!$B$2:$F$30,5,FALSE)</f>
        <v>#N/A</v>
      </c>
      <c r="E12">
        <f>VLOOKUP('Plan - NL'!M20,'2021 status'!$B$2:$F$30,5,FALSE)</f>
        <v>1</v>
      </c>
      <c r="F12">
        <f>VLOOKUP('Plan - NL'!N20,'2021 status'!$B$2:$F$30,5,FALSE)</f>
        <v>1</v>
      </c>
      <c r="G12">
        <f>VLOOKUP('Plan - NL'!O20,'2021 status'!$B$2:$F$30,5,FALSE)</f>
        <v>3</v>
      </c>
      <c r="H12" t="str">
        <f>VLOOKUP('Plan - NL'!P20,'2021 status'!$B$2:$F$30,5,FALSE)</f>
        <v>#N/A</v>
      </c>
    </row>
    <row r="13">
      <c r="A13" t="str">
        <f>VLOOKUP(#REF!,'2021 status'!$B$2:$F$30,5,FALSE)</f>
        <v>#REF!</v>
      </c>
      <c r="B13" t="str">
        <f>VLOOKUP(#REF!,'2021 status'!$B$2:$F$30,5,FALSE)</f>
        <v>#REF!</v>
      </c>
      <c r="C13" t="str">
        <f>VLOOKUP(#REF!,'2021 status'!$B$2:$F$30,5,FALSE)</f>
        <v>#REF!</v>
      </c>
      <c r="D13" t="str">
        <f>VLOOKUP(#REF!,'2021 status'!$B$2:$F$30,5,FALSE)</f>
        <v>#REF!</v>
      </c>
      <c r="E13" t="str">
        <f>VLOOKUP(#REF!,'2021 status'!$B$2:$F$30,5,FALSE)</f>
        <v>#REF!</v>
      </c>
      <c r="F13" t="str">
        <f>VLOOKUP(#REF!,'2021 status'!$B$2:$F$30,5,FALSE)</f>
        <v>#REF!</v>
      </c>
      <c r="G13" t="str">
        <f>VLOOKUP(#REF!,'2021 status'!$B$2:$F$30,5,FALSE)</f>
        <v>#REF!</v>
      </c>
      <c r="H13" t="str">
        <f>VLOOKUP(#REF!,'2021 status'!$B$2:$F$30,5,FALSE)</f>
        <v>#REF!</v>
      </c>
    </row>
    <row r="14">
      <c r="A14" t="str">
        <f>VLOOKUP(#REF!,'2021 status'!$B$2:$F$30,5,FALSE)</f>
        <v>#REF!</v>
      </c>
      <c r="B14" t="str">
        <f>VLOOKUP(#REF!,'2021 status'!$B$2:$F$30,5,FALSE)</f>
        <v>#REF!</v>
      </c>
      <c r="C14" t="str">
        <f>VLOOKUP(#REF!,'2021 status'!$B$2:$F$30,5,FALSE)</f>
        <v>#REF!</v>
      </c>
      <c r="D14" t="str">
        <f>VLOOKUP(#REF!,'2021 status'!$B$2:$F$30,5,FALSE)</f>
        <v>#REF!</v>
      </c>
      <c r="E14" t="str">
        <f>VLOOKUP(#REF!,'2021 status'!$B$2:$F$30,5,FALSE)</f>
        <v>#REF!</v>
      </c>
      <c r="F14" t="str">
        <f>VLOOKUP(#REF!,'2021 status'!$B$2:$F$30,5,FALSE)</f>
        <v>#REF!</v>
      </c>
      <c r="G14" t="str">
        <f>VLOOKUP(#REF!,'2021 status'!$B$2:$F$30,5,FALSE)</f>
        <v>#REF!</v>
      </c>
      <c r="H14" t="str">
        <f>VLOOKUP(#REF!,'2021 status'!$B$2:$F$30,5,FALSE)</f>
        <v>#REF!</v>
      </c>
    </row>
    <row r="15">
      <c r="A15" t="str">
        <f>VLOOKUP(#REF!,'2021 status'!$B$2:$F$30,5,FALSE)</f>
        <v>#REF!</v>
      </c>
      <c r="B15" t="str">
        <f>VLOOKUP(#REF!,'2021 status'!$B$2:$F$30,5,FALSE)</f>
        <v>#REF!</v>
      </c>
      <c r="C15" t="str">
        <f>VLOOKUP(#REF!,'2021 status'!$B$2:$F$30,5,FALSE)</f>
        <v>#REF!</v>
      </c>
      <c r="D15" t="str">
        <f>VLOOKUP(#REF!,'2021 status'!$B$2:$F$30,5,FALSE)</f>
        <v>#REF!</v>
      </c>
      <c r="E15" t="str">
        <f>VLOOKUP(#REF!,'2021 status'!$B$2:$F$30,5,FALSE)</f>
        <v>#REF!</v>
      </c>
      <c r="F15" t="str">
        <f>VLOOKUP(#REF!,'2021 status'!$B$2:$F$30,5,FALSE)</f>
        <v>#REF!</v>
      </c>
      <c r="G15" t="str">
        <f>VLOOKUP(#REF!,'2021 status'!$B$2:$F$30,5,FALSE)</f>
        <v>#REF!</v>
      </c>
      <c r="H15" t="str">
        <f>VLOOKUP(#REF!,'2021 status'!$B$2:$F$30,5,FALSE)</f>
        <v>#REF!</v>
      </c>
    </row>
    <row r="16">
      <c r="A16" t="str">
        <f>VLOOKUP(#REF!,'2021 status'!$B$2:$F$30,5,FALSE)</f>
        <v>#REF!</v>
      </c>
      <c r="B16" t="str">
        <f>VLOOKUP(#REF!,'2021 status'!$B$2:$F$30,5,FALSE)</f>
        <v>#REF!</v>
      </c>
      <c r="C16" t="str">
        <f>VLOOKUP(#REF!,'2021 status'!$B$2:$F$30,5,FALSE)</f>
        <v>#REF!</v>
      </c>
      <c r="D16" t="str">
        <f>VLOOKUP(#REF!,'2021 status'!$B$2:$F$30,5,FALSE)</f>
        <v>#REF!</v>
      </c>
      <c r="E16" t="str">
        <f>VLOOKUP(#REF!,'2021 status'!$B$2:$F$30,5,FALSE)</f>
        <v>#REF!</v>
      </c>
      <c r="F16" t="str">
        <f>VLOOKUP(#REF!,'2021 status'!$B$2:$F$30,5,FALSE)</f>
        <v>#REF!</v>
      </c>
      <c r="G16" t="str">
        <f>VLOOKUP(#REF!,'2021 status'!$B$2:$F$30,5,FALSE)</f>
        <v>#REF!</v>
      </c>
      <c r="H16" t="str">
        <f>VLOOKUP(#REF!,'2021 status'!$B$2:$F$30,5,FALSE)</f>
        <v>#REF!</v>
      </c>
    </row>
    <row r="17">
      <c r="A17" t="str">
        <f>VLOOKUP(#REF!,'2021 status'!$B$2:$F$30,5,FALSE)</f>
        <v>#REF!</v>
      </c>
      <c r="B17" t="str">
        <f>VLOOKUP(#REF!,'2021 status'!$B$2:$F$30,5,FALSE)</f>
        <v>#REF!</v>
      </c>
      <c r="C17" t="str">
        <f>VLOOKUP(#REF!,'2021 status'!$B$2:$F$30,5,FALSE)</f>
        <v>#REF!</v>
      </c>
      <c r="D17" t="str">
        <f>VLOOKUP(#REF!,'2021 status'!$B$2:$F$30,5,FALSE)</f>
        <v>#REF!</v>
      </c>
      <c r="E17" t="str">
        <f>VLOOKUP(#REF!,'2021 status'!$B$2:$F$30,5,FALSE)</f>
        <v>#REF!</v>
      </c>
      <c r="F17" t="str">
        <f>VLOOKUP(#REF!,'2021 status'!$B$2:$F$30,5,FALSE)</f>
        <v>#REF!</v>
      </c>
      <c r="G17" t="str">
        <f>VLOOKUP(#REF!,'2021 status'!$B$2:$F$30,5,FALSE)</f>
        <v>#REF!</v>
      </c>
      <c r="H17" t="str">
        <f>VLOOKUP(#REF!,'2021 status'!$B$2:$F$30,5,FALSE)</f>
        <v>#REF!</v>
      </c>
    </row>
    <row r="18">
      <c r="A18" t="str">
        <f>VLOOKUP(#REF!,'2021 status'!$B$2:$F$30,5,FALSE)</f>
        <v>#REF!</v>
      </c>
      <c r="B18" t="str">
        <f>VLOOKUP(#REF!,'2021 status'!$B$2:$F$30,5,FALSE)</f>
        <v>#REF!</v>
      </c>
      <c r="C18" t="str">
        <f>VLOOKUP(#REF!,'2021 status'!$B$2:$F$30,5,FALSE)</f>
        <v>#REF!</v>
      </c>
      <c r="D18" t="str">
        <f>VLOOKUP(#REF!,'2021 status'!$B$2:$F$30,5,FALSE)</f>
        <v>#REF!</v>
      </c>
      <c r="E18" t="str">
        <f>VLOOKUP(#REF!,'2021 status'!$B$2:$F$30,5,FALSE)</f>
        <v>#REF!</v>
      </c>
      <c r="F18" t="str">
        <f>VLOOKUP(#REF!,'2021 status'!$B$2:$F$30,5,FALSE)</f>
        <v>#REF!</v>
      </c>
      <c r="G18" t="str">
        <f>VLOOKUP(#REF!,'2021 status'!$B$2:$F$30,5,FALSE)</f>
        <v>#REF!</v>
      </c>
      <c r="H18" t="str">
        <f>VLOOKUP(#REF!,'2021 status'!$B$2:$F$30,5,FALSE)</f>
        <v>#REF!</v>
      </c>
    </row>
    <row r="19">
      <c r="A19">
        <f>VLOOKUP('Plan - NL'!I25,'2021 status'!$B$2:$F$30,5,FALSE)</f>
        <v>1</v>
      </c>
      <c r="B19" t="str">
        <f>VLOOKUP('Plan - NL'!J25,'2021 status'!$B$2:$F$30,5,FALSE)</f>
        <v>#N/A</v>
      </c>
      <c r="C19" t="str">
        <f>VLOOKUP('Plan - NL'!K25,'2021 status'!$B$2:$F$30,5,FALSE)</f>
        <v>#N/A</v>
      </c>
      <c r="D19" t="str">
        <f>VLOOKUP('Plan - NL'!L25,'2021 status'!$B$2:$F$30,5,FALSE)</f>
        <v>#N/A</v>
      </c>
      <c r="E19">
        <f>VLOOKUP('Plan - NL'!M25,'2021 status'!$B$2:$F$30,5,FALSE)</f>
        <v>1</v>
      </c>
      <c r="F19">
        <f>VLOOKUP('Plan - NL'!N25,'2021 status'!$B$2:$F$30,5,FALSE)</f>
        <v>2</v>
      </c>
      <c r="G19">
        <f>VLOOKUP('Plan - NL'!O25,'2021 status'!$B$2:$F$30,5,FALSE)</f>
        <v>2</v>
      </c>
      <c r="H19" t="str">
        <f>VLOOKUP('Plan - NL'!P25,'2021 status'!$B$2:$F$30,5,FALSE)</f>
        <v>#N/A</v>
      </c>
    </row>
    <row r="20">
      <c r="A20" t="str">
        <f>VLOOKUP(#REF!,'2021 status'!$B$2:$F$30,5,FALSE)</f>
        <v>#REF!</v>
      </c>
      <c r="B20" t="str">
        <f>VLOOKUP(#REF!,'2021 status'!$B$2:$F$30,5,FALSE)</f>
        <v>#REF!</v>
      </c>
      <c r="C20" t="str">
        <f>VLOOKUP(#REF!,'2021 status'!$B$2:$F$30,5,FALSE)</f>
        <v>#REF!</v>
      </c>
      <c r="D20" t="str">
        <f>VLOOKUP(#REF!,'2021 status'!$B$2:$F$30,5,FALSE)</f>
        <v>#REF!</v>
      </c>
      <c r="E20" t="str">
        <f>VLOOKUP(#REF!,'2021 status'!$B$2:$F$30,5,FALSE)</f>
        <v>#REF!</v>
      </c>
      <c r="F20" t="str">
        <f>VLOOKUP(#REF!,'2021 status'!$B$2:$F$30,5,FALSE)</f>
        <v>#REF!</v>
      </c>
      <c r="G20" t="str">
        <f>VLOOKUP(#REF!,'2021 status'!$B$2:$F$30,5,FALSE)</f>
        <v>#REF!</v>
      </c>
      <c r="H20" t="str">
        <f>VLOOKUP(#REF!,'2021 status'!$B$2:$F$30,5,FALSE)</f>
        <v>#REF!</v>
      </c>
    </row>
    <row r="21">
      <c r="A21" t="str">
        <f>VLOOKUP(#REF!,'2021 status'!$B$2:$F$30,5,FALSE)</f>
        <v>#REF!</v>
      </c>
      <c r="B21" t="str">
        <f>VLOOKUP(#REF!,'2021 status'!$B$2:$F$30,5,FALSE)</f>
        <v>#REF!</v>
      </c>
      <c r="C21" t="str">
        <f>VLOOKUP(#REF!,'2021 status'!$B$2:$F$30,5,FALSE)</f>
        <v>#REF!</v>
      </c>
      <c r="D21" t="str">
        <f>VLOOKUP(#REF!,'2021 status'!$B$2:$F$30,5,FALSE)</f>
        <v>#REF!</v>
      </c>
      <c r="E21" t="str">
        <f>VLOOKUP(#REF!,'2021 status'!$B$2:$F$30,5,FALSE)</f>
        <v>#REF!</v>
      </c>
      <c r="F21" t="str">
        <f>VLOOKUP(#REF!,'2021 status'!$B$2:$F$30,5,FALSE)</f>
        <v>#REF!</v>
      </c>
      <c r="G21" t="str">
        <f>VLOOKUP(#REF!,'2021 status'!$B$2:$F$30,5,FALSE)</f>
        <v>#REF!</v>
      </c>
      <c r="H21" t="str">
        <f>VLOOKUP(#REF!,'2021 status'!$B$2:$F$30,5,FALSE)</f>
        <v>#REF!</v>
      </c>
    </row>
    <row r="22">
      <c r="A22" t="str">
        <f>VLOOKUP(#REF!,'2021 status'!$B$2:$F$30,5,FALSE)</f>
        <v>#REF!</v>
      </c>
      <c r="B22" t="str">
        <f>VLOOKUP(#REF!,'2021 status'!$B$2:$F$30,5,FALSE)</f>
        <v>#REF!</v>
      </c>
      <c r="C22" t="str">
        <f>VLOOKUP(#REF!,'2021 status'!$B$2:$F$30,5,FALSE)</f>
        <v>#REF!</v>
      </c>
      <c r="D22" t="str">
        <f>VLOOKUP(#REF!,'2021 status'!$B$2:$F$30,5,FALSE)</f>
        <v>#REF!</v>
      </c>
      <c r="E22" t="str">
        <f>VLOOKUP(#REF!,'2021 status'!$B$2:$F$30,5,FALSE)</f>
        <v>#REF!</v>
      </c>
      <c r="F22" t="str">
        <f>VLOOKUP(#REF!,'2021 status'!$B$2:$F$30,5,FALSE)</f>
        <v>#REF!</v>
      </c>
      <c r="G22" t="str">
        <f>VLOOKUP(#REF!,'2021 status'!$B$2:$F$30,5,FALSE)</f>
        <v>#REF!</v>
      </c>
      <c r="H22" t="str">
        <f>VLOOKUP(#REF!,'2021 status'!$B$2:$F$30,5,FALSE)</f>
        <v>#REF!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2" max="2" width="9.88"/>
    <col customWidth="1" min="4" max="4" width="4.88"/>
  </cols>
  <sheetData>
    <row r="1">
      <c r="A1" s="3" t="s">
        <v>342</v>
      </c>
      <c r="B1" s="3" t="s">
        <v>189</v>
      </c>
      <c r="C1" s="3" t="s">
        <v>190</v>
      </c>
      <c r="D1" s="136" t="s">
        <v>191</v>
      </c>
      <c r="E1" s="136" t="s">
        <v>192</v>
      </c>
      <c r="F1" s="153"/>
    </row>
    <row r="2">
      <c r="A2" s="155" t="s">
        <v>58</v>
      </c>
      <c r="B2" s="3" t="s">
        <v>197</v>
      </c>
      <c r="D2" s="136" t="s">
        <v>12</v>
      </c>
      <c r="E2" s="136">
        <v>3.0</v>
      </c>
      <c r="F2" s="158"/>
    </row>
    <row r="3">
      <c r="A3" s="155" t="s">
        <v>102</v>
      </c>
      <c r="B3" s="3" t="s">
        <v>197</v>
      </c>
      <c r="D3" s="136" t="s">
        <v>15</v>
      </c>
      <c r="E3" s="136">
        <v>3.0</v>
      </c>
      <c r="F3" s="158"/>
    </row>
    <row r="4">
      <c r="A4" s="155" t="s">
        <v>64</v>
      </c>
      <c r="B4" s="3" t="s">
        <v>197</v>
      </c>
      <c r="D4" s="136" t="s">
        <v>13</v>
      </c>
      <c r="E4" s="136">
        <v>2.0</v>
      </c>
      <c r="F4" s="158"/>
    </row>
    <row r="5">
      <c r="A5" s="3" t="s">
        <v>113</v>
      </c>
      <c r="B5" s="3" t="s">
        <v>197</v>
      </c>
      <c r="C5" s="3"/>
      <c r="D5" s="136" t="s">
        <v>13</v>
      </c>
      <c r="E5" s="136">
        <v>3.0</v>
      </c>
      <c r="F5" s="158"/>
    </row>
    <row r="6">
      <c r="A6" s="155" t="s">
        <v>86</v>
      </c>
      <c r="B6" s="3" t="s">
        <v>197</v>
      </c>
      <c r="C6" s="3" t="s">
        <v>343</v>
      </c>
      <c r="D6" s="136" t="s">
        <v>10</v>
      </c>
      <c r="E6" s="136">
        <v>1.0</v>
      </c>
      <c r="F6" s="158"/>
    </row>
    <row r="7">
      <c r="A7" s="155" t="s">
        <v>131</v>
      </c>
      <c r="B7" s="3" t="s">
        <v>197</v>
      </c>
      <c r="C7" s="3" t="s">
        <v>344</v>
      </c>
      <c r="D7" s="136" t="s">
        <v>13</v>
      </c>
      <c r="E7" s="136">
        <v>2.0</v>
      </c>
      <c r="F7" s="158"/>
    </row>
    <row r="8">
      <c r="A8" s="155" t="s">
        <v>98</v>
      </c>
      <c r="B8" s="3" t="s">
        <v>197</v>
      </c>
      <c r="C8" s="3" t="s">
        <v>345</v>
      </c>
      <c r="D8" s="136" t="s">
        <v>14</v>
      </c>
      <c r="E8" s="136">
        <v>2.0</v>
      </c>
      <c r="F8" s="158"/>
    </row>
    <row r="9">
      <c r="A9" s="155" t="s">
        <v>69</v>
      </c>
      <c r="B9" s="3" t="s">
        <v>197</v>
      </c>
      <c r="D9" s="136" t="s">
        <v>13</v>
      </c>
      <c r="E9" s="136">
        <v>1.0</v>
      </c>
      <c r="F9" s="158"/>
    </row>
    <row r="10">
      <c r="A10" s="155" t="s">
        <v>95</v>
      </c>
      <c r="B10" s="3" t="s">
        <v>197</v>
      </c>
      <c r="D10" s="136" t="s">
        <v>9</v>
      </c>
      <c r="E10" s="136">
        <v>1.0</v>
      </c>
      <c r="F10" s="158"/>
    </row>
    <row r="11">
      <c r="A11" s="155" t="s">
        <v>85</v>
      </c>
      <c r="B11" s="3" t="s">
        <v>197</v>
      </c>
      <c r="D11" s="136" t="s">
        <v>14</v>
      </c>
      <c r="E11" s="136">
        <v>1.0</v>
      </c>
      <c r="F11" s="158"/>
    </row>
    <row r="12">
      <c r="A12" s="155" t="s">
        <v>157</v>
      </c>
      <c r="B12" s="3" t="s">
        <v>197</v>
      </c>
      <c r="D12" s="136" t="s">
        <v>12</v>
      </c>
      <c r="E12" s="136">
        <v>1.0</v>
      </c>
      <c r="F12" s="158"/>
    </row>
    <row r="13">
      <c r="A13" s="155" t="s">
        <v>82</v>
      </c>
      <c r="B13" s="3" t="s">
        <v>197</v>
      </c>
      <c r="D13" s="136" t="s">
        <v>12</v>
      </c>
      <c r="E13" s="136">
        <v>2.0</v>
      </c>
      <c r="F13" s="158"/>
    </row>
    <row r="14">
      <c r="A14" s="155" t="s">
        <v>111</v>
      </c>
      <c r="B14" s="3" t="s">
        <v>281</v>
      </c>
      <c r="C14" s="3" t="s">
        <v>346</v>
      </c>
      <c r="D14" s="136" t="s">
        <v>10</v>
      </c>
      <c r="E14" s="153"/>
      <c r="F14" s="158"/>
    </row>
    <row r="15">
      <c r="A15" s="155" t="s">
        <v>110</v>
      </c>
      <c r="B15" s="3" t="s">
        <v>197</v>
      </c>
      <c r="D15" s="136" t="s">
        <v>14</v>
      </c>
      <c r="E15" s="136">
        <v>2.0</v>
      </c>
      <c r="F15" s="158"/>
    </row>
    <row r="16">
      <c r="A16" s="155" t="s">
        <v>81</v>
      </c>
      <c r="B16" s="3" t="s">
        <v>197</v>
      </c>
      <c r="D16" s="136" t="s">
        <v>14</v>
      </c>
      <c r="E16" s="136">
        <v>1.0</v>
      </c>
      <c r="F16" s="158"/>
    </row>
    <row r="17">
      <c r="A17" s="155" t="s">
        <v>118</v>
      </c>
      <c r="B17" s="3" t="s">
        <v>197</v>
      </c>
      <c r="D17" s="136" t="s">
        <v>120</v>
      </c>
      <c r="E17" s="136">
        <v>3.0</v>
      </c>
      <c r="F17" s="158"/>
    </row>
    <row r="18">
      <c r="A18" s="155" t="s">
        <v>216</v>
      </c>
      <c r="B18" s="3" t="s">
        <v>197</v>
      </c>
      <c r="D18" s="136" t="s">
        <v>13</v>
      </c>
      <c r="E18" s="136">
        <v>3.0</v>
      </c>
      <c r="F18" s="158"/>
    </row>
    <row r="19">
      <c r="A19" s="155" t="s">
        <v>72</v>
      </c>
      <c r="B19" s="3" t="s">
        <v>197</v>
      </c>
      <c r="D19" s="136" t="s">
        <v>12</v>
      </c>
      <c r="E19" s="136">
        <v>1.0</v>
      </c>
      <c r="F19" s="158"/>
    </row>
    <row r="20">
      <c r="A20" s="155" t="s">
        <v>101</v>
      </c>
      <c r="B20" s="3" t="s">
        <v>197</v>
      </c>
      <c r="D20" s="136" t="s">
        <v>9</v>
      </c>
      <c r="E20" s="136">
        <v>1.0</v>
      </c>
      <c r="F20" s="158"/>
    </row>
    <row r="21">
      <c r="A21" s="155" t="s">
        <v>176</v>
      </c>
      <c r="B21" s="3" t="s">
        <v>197</v>
      </c>
      <c r="D21" s="136" t="s">
        <v>15</v>
      </c>
      <c r="E21" s="136">
        <v>2.0</v>
      </c>
      <c r="F21" s="158"/>
    </row>
    <row r="22">
      <c r="A22" s="155" t="s">
        <v>103</v>
      </c>
      <c r="B22" s="3" t="s">
        <v>197</v>
      </c>
      <c r="D22" s="136" t="s">
        <v>12</v>
      </c>
      <c r="E22" s="136">
        <v>1.0</v>
      </c>
      <c r="F22" s="158"/>
    </row>
    <row r="23">
      <c r="A23" s="155" t="s">
        <v>123</v>
      </c>
      <c r="B23" s="3" t="s">
        <v>197</v>
      </c>
      <c r="D23" s="136" t="s">
        <v>15</v>
      </c>
      <c r="E23" s="136">
        <v>2.0</v>
      </c>
      <c r="F23" s="158"/>
    </row>
    <row r="24">
      <c r="A24" s="3" t="s">
        <v>128</v>
      </c>
      <c r="B24" s="3" t="s">
        <v>197</v>
      </c>
      <c r="C24" s="3" t="s">
        <v>347</v>
      </c>
      <c r="D24" s="136" t="s">
        <v>13</v>
      </c>
      <c r="E24" s="136">
        <v>2.0</v>
      </c>
      <c r="F24" s="158"/>
    </row>
    <row r="25">
      <c r="A25" s="155" t="s">
        <v>225</v>
      </c>
      <c r="B25" s="3" t="s">
        <v>197</v>
      </c>
      <c r="D25" s="136" t="s">
        <v>120</v>
      </c>
      <c r="E25" s="136">
        <v>1.0</v>
      </c>
      <c r="F25" s="158"/>
    </row>
    <row r="26">
      <c r="A26" s="155" t="s">
        <v>228</v>
      </c>
      <c r="B26" s="3" t="s">
        <v>197</v>
      </c>
      <c r="D26" s="136" t="s">
        <v>12</v>
      </c>
      <c r="E26" s="136">
        <v>3.0</v>
      </c>
      <c r="F26" s="158"/>
    </row>
    <row r="27">
      <c r="A27" s="155" t="s">
        <v>105</v>
      </c>
      <c r="B27" s="3" t="s">
        <v>197</v>
      </c>
      <c r="D27" s="136" t="s">
        <v>14</v>
      </c>
      <c r="E27" s="136">
        <v>3.0</v>
      </c>
      <c r="F27" s="158"/>
    </row>
    <row r="28">
      <c r="A28" s="155" t="s">
        <v>148</v>
      </c>
      <c r="B28" s="3" t="s">
        <v>197</v>
      </c>
      <c r="D28" s="136" t="s">
        <v>120</v>
      </c>
      <c r="E28" s="136">
        <v>1.0</v>
      </c>
      <c r="F28" s="158"/>
    </row>
    <row r="29">
      <c r="A29" s="155" t="s">
        <v>144</v>
      </c>
      <c r="B29" s="3" t="s">
        <v>193</v>
      </c>
      <c r="D29" s="136" t="s">
        <v>10</v>
      </c>
      <c r="E29" s="153"/>
      <c r="F29" s="158"/>
    </row>
    <row r="30">
      <c r="A30" s="155" t="s">
        <v>71</v>
      </c>
      <c r="B30" s="3" t="s">
        <v>197</v>
      </c>
      <c r="D30" s="136" t="s">
        <v>10</v>
      </c>
      <c r="E30" s="136">
        <v>2.0</v>
      </c>
      <c r="F30" s="158"/>
    </row>
    <row r="31">
      <c r="D31" s="153"/>
      <c r="E31" s="158"/>
    </row>
    <row r="32">
      <c r="D32" s="153"/>
      <c r="E32" s="158"/>
    </row>
    <row r="33">
      <c r="D33" s="153"/>
      <c r="E33" s="158"/>
    </row>
    <row r="34">
      <c r="D34" s="153"/>
      <c r="E34" s="158"/>
    </row>
    <row r="35">
      <c r="D35" s="153"/>
      <c r="E35" s="158"/>
    </row>
    <row r="36">
      <c r="D36" s="153"/>
      <c r="E36" s="158"/>
    </row>
    <row r="37">
      <c r="D37" s="153"/>
      <c r="E37" s="158"/>
    </row>
    <row r="38">
      <c r="D38" s="153"/>
      <c r="E38" s="158"/>
    </row>
    <row r="39">
      <c r="D39" s="153"/>
      <c r="E39" s="158"/>
    </row>
    <row r="40">
      <c r="D40" s="153"/>
      <c r="E40" s="158"/>
    </row>
    <row r="41">
      <c r="D41" s="153"/>
      <c r="E41" s="158"/>
    </row>
    <row r="42">
      <c r="D42" s="153"/>
      <c r="E42" s="158"/>
    </row>
    <row r="43">
      <c r="D43" s="153"/>
      <c r="E43" s="158"/>
    </row>
    <row r="44">
      <c r="D44" s="153"/>
      <c r="E44" s="158"/>
    </row>
    <row r="45">
      <c r="D45" s="153"/>
      <c r="E45" s="158"/>
    </row>
    <row r="46">
      <c r="D46" s="153"/>
      <c r="E46" s="158"/>
    </row>
    <row r="47">
      <c r="D47" s="153"/>
      <c r="E47" s="158"/>
    </row>
    <row r="48">
      <c r="D48" s="153"/>
      <c r="E48" s="158"/>
    </row>
    <row r="49">
      <c r="D49" s="153"/>
      <c r="E49" s="158"/>
    </row>
    <row r="50">
      <c r="D50" s="153"/>
      <c r="E50" s="158"/>
    </row>
    <row r="51">
      <c r="D51" s="153"/>
      <c r="E51" s="158"/>
    </row>
    <row r="52">
      <c r="D52" s="153"/>
      <c r="E52" s="158"/>
    </row>
    <row r="53">
      <c r="D53" s="153"/>
      <c r="E53" s="158"/>
    </row>
    <row r="54">
      <c r="D54" s="153"/>
      <c r="E54" s="158"/>
    </row>
    <row r="55">
      <c r="D55" s="153"/>
      <c r="E55" s="158"/>
    </row>
    <row r="56">
      <c r="D56" s="153"/>
      <c r="E56" s="158"/>
    </row>
    <row r="57">
      <c r="D57" s="153"/>
      <c r="E57" s="158"/>
    </row>
    <row r="58">
      <c r="D58" s="153"/>
      <c r="E58" s="158"/>
    </row>
    <row r="59">
      <c r="D59" s="153"/>
      <c r="E59" s="158"/>
    </row>
    <row r="60">
      <c r="D60" s="153"/>
      <c r="E60" s="158"/>
    </row>
    <row r="61">
      <c r="D61" s="153"/>
      <c r="E61" s="153"/>
    </row>
    <row r="62">
      <c r="D62" s="153"/>
      <c r="E62" s="153"/>
    </row>
    <row r="63">
      <c r="D63" s="153"/>
      <c r="E63" s="153"/>
    </row>
    <row r="64">
      <c r="D64" s="153"/>
      <c r="E64" s="153"/>
    </row>
    <row r="65">
      <c r="D65" s="153"/>
      <c r="E65" s="153"/>
    </row>
    <row r="66">
      <c r="D66" s="153"/>
      <c r="E66" s="153"/>
    </row>
    <row r="67">
      <c r="D67" s="153"/>
      <c r="E67" s="153"/>
    </row>
    <row r="68">
      <c r="D68" s="153"/>
      <c r="E68" s="153"/>
    </row>
    <row r="69">
      <c r="D69" s="153"/>
      <c r="E69" s="153"/>
    </row>
    <row r="70">
      <c r="D70" s="153"/>
      <c r="E70" s="153"/>
    </row>
    <row r="71">
      <c r="D71" s="153"/>
      <c r="E71" s="153"/>
    </row>
    <row r="72">
      <c r="D72" s="153"/>
      <c r="E72" s="153"/>
    </row>
    <row r="73">
      <c r="D73" s="153"/>
      <c r="E73" s="153"/>
    </row>
    <row r="74">
      <c r="D74" s="153"/>
      <c r="E74" s="153"/>
    </row>
    <row r="75">
      <c r="D75" s="153"/>
      <c r="E75" s="153"/>
    </row>
    <row r="76">
      <c r="D76" s="153"/>
      <c r="E76" s="153"/>
    </row>
    <row r="77">
      <c r="D77" s="153"/>
      <c r="E77" s="153"/>
    </row>
    <row r="78">
      <c r="D78" s="153"/>
      <c r="E78" s="153"/>
    </row>
    <row r="79">
      <c r="D79" s="153"/>
      <c r="E79" s="153"/>
    </row>
    <row r="80">
      <c r="D80" s="153"/>
      <c r="E80" s="153"/>
    </row>
    <row r="81">
      <c r="D81" s="153"/>
      <c r="E81" s="153"/>
    </row>
    <row r="82">
      <c r="D82" s="153"/>
      <c r="E82" s="153"/>
    </row>
    <row r="83">
      <c r="D83" s="153"/>
      <c r="E83" s="153"/>
    </row>
    <row r="84">
      <c r="D84" s="153"/>
      <c r="E84" s="153"/>
    </row>
    <row r="85">
      <c r="D85" s="153"/>
      <c r="E85" s="153"/>
    </row>
    <row r="86">
      <c r="D86" s="153"/>
      <c r="E86" s="153"/>
    </row>
    <row r="87">
      <c r="D87" s="153"/>
      <c r="E87" s="153"/>
    </row>
    <row r="88">
      <c r="D88" s="153"/>
      <c r="E88" s="153"/>
    </row>
    <row r="89">
      <c r="D89" s="153"/>
      <c r="E89" s="153"/>
    </row>
    <row r="90">
      <c r="D90" s="153"/>
      <c r="E90" s="153"/>
    </row>
    <row r="91">
      <c r="D91" s="153"/>
      <c r="E91" s="153"/>
    </row>
    <row r="92">
      <c r="D92" s="153"/>
      <c r="E92" s="153"/>
    </row>
    <row r="93">
      <c r="D93" s="153"/>
      <c r="E93" s="153"/>
    </row>
    <row r="94">
      <c r="D94" s="153"/>
      <c r="E94" s="153"/>
    </row>
    <row r="95">
      <c r="D95" s="153"/>
      <c r="E95" s="153"/>
    </row>
    <row r="96">
      <c r="D96" s="153"/>
      <c r="E96" s="153"/>
    </row>
    <row r="97">
      <c r="D97" s="153"/>
      <c r="E97" s="153"/>
    </row>
    <row r="98">
      <c r="D98" s="153"/>
      <c r="E98" s="153"/>
    </row>
    <row r="99">
      <c r="D99" s="153"/>
      <c r="E99" s="153"/>
    </row>
    <row r="100">
      <c r="D100" s="153"/>
      <c r="E100" s="153"/>
    </row>
    <row r="101">
      <c r="D101" s="153"/>
      <c r="E101" s="153"/>
    </row>
    <row r="102">
      <c r="D102" s="153"/>
      <c r="E102" s="153"/>
    </row>
    <row r="103">
      <c r="D103" s="153"/>
      <c r="E103" s="153"/>
    </row>
    <row r="104">
      <c r="D104" s="153"/>
      <c r="E104" s="153"/>
    </row>
    <row r="105">
      <c r="D105" s="153"/>
      <c r="E105" s="153"/>
    </row>
    <row r="106">
      <c r="D106" s="153"/>
      <c r="E106" s="153"/>
    </row>
    <row r="107">
      <c r="D107" s="153"/>
      <c r="E107" s="153"/>
    </row>
    <row r="108">
      <c r="D108" s="153"/>
      <c r="E108" s="153"/>
    </row>
    <row r="109">
      <c r="D109" s="153"/>
      <c r="E109" s="153"/>
    </row>
    <row r="110">
      <c r="D110" s="153"/>
      <c r="E110" s="153"/>
    </row>
    <row r="111">
      <c r="D111" s="153"/>
      <c r="E111" s="153"/>
    </row>
    <row r="112">
      <c r="D112" s="153"/>
      <c r="E112" s="153"/>
    </row>
    <row r="113">
      <c r="D113" s="153"/>
      <c r="E113" s="153"/>
    </row>
    <row r="114">
      <c r="D114" s="153"/>
      <c r="E114" s="153"/>
    </row>
    <row r="115">
      <c r="D115" s="153"/>
      <c r="E115" s="153"/>
    </row>
    <row r="116">
      <c r="D116" s="153"/>
      <c r="E116" s="153"/>
    </row>
    <row r="117">
      <c r="D117" s="153"/>
      <c r="E117" s="153"/>
    </row>
    <row r="118">
      <c r="D118" s="153"/>
      <c r="E118" s="153"/>
    </row>
    <row r="119">
      <c r="D119" s="153"/>
      <c r="E119" s="153"/>
    </row>
    <row r="120">
      <c r="D120" s="153"/>
      <c r="E120" s="153"/>
    </row>
    <row r="121">
      <c r="D121" s="153"/>
      <c r="E121" s="153"/>
    </row>
    <row r="122">
      <c r="D122" s="153"/>
      <c r="E122" s="153"/>
    </row>
    <row r="123">
      <c r="D123" s="153"/>
      <c r="E123" s="153"/>
    </row>
    <row r="124">
      <c r="D124" s="153"/>
      <c r="E124" s="153"/>
    </row>
    <row r="125">
      <c r="D125" s="153"/>
      <c r="E125" s="153"/>
    </row>
    <row r="126">
      <c r="D126" s="153"/>
      <c r="E126" s="153"/>
    </row>
    <row r="127">
      <c r="D127" s="153"/>
      <c r="E127" s="153"/>
    </row>
    <row r="128">
      <c r="D128" s="153"/>
      <c r="E128" s="153"/>
    </row>
    <row r="129">
      <c r="D129" s="153"/>
      <c r="E129" s="153"/>
    </row>
    <row r="130">
      <c r="D130" s="153"/>
      <c r="E130" s="153"/>
    </row>
    <row r="131">
      <c r="D131" s="153"/>
      <c r="E131" s="153"/>
    </row>
    <row r="132">
      <c r="D132" s="153"/>
      <c r="E132" s="153"/>
    </row>
    <row r="133">
      <c r="D133" s="153"/>
      <c r="E133" s="153"/>
    </row>
    <row r="134">
      <c r="D134" s="153"/>
      <c r="E134" s="153"/>
    </row>
    <row r="135">
      <c r="D135" s="153"/>
      <c r="E135" s="153"/>
    </row>
    <row r="136">
      <c r="D136" s="153"/>
      <c r="E136" s="153"/>
    </row>
    <row r="137">
      <c r="D137" s="153"/>
      <c r="E137" s="153"/>
    </row>
    <row r="138">
      <c r="D138" s="153"/>
      <c r="E138" s="153"/>
    </row>
    <row r="139">
      <c r="D139" s="153"/>
      <c r="E139" s="153"/>
    </row>
    <row r="140">
      <c r="D140" s="153"/>
      <c r="E140" s="153"/>
    </row>
    <row r="141">
      <c r="D141" s="153"/>
      <c r="E141" s="153"/>
    </row>
    <row r="142">
      <c r="D142" s="153"/>
      <c r="E142" s="153"/>
    </row>
    <row r="143">
      <c r="D143" s="153"/>
      <c r="E143" s="153"/>
    </row>
    <row r="144">
      <c r="D144" s="153"/>
      <c r="E144" s="153"/>
    </row>
    <row r="145">
      <c r="D145" s="153"/>
      <c r="E145" s="153"/>
    </row>
    <row r="146">
      <c r="D146" s="153"/>
      <c r="E146" s="153"/>
    </row>
    <row r="147">
      <c r="D147" s="153"/>
      <c r="E147" s="153"/>
    </row>
    <row r="148">
      <c r="D148" s="153"/>
      <c r="E148" s="153"/>
    </row>
    <row r="149">
      <c r="D149" s="153"/>
      <c r="E149" s="153"/>
    </row>
    <row r="150">
      <c r="D150" s="153"/>
      <c r="E150" s="153"/>
    </row>
    <row r="151">
      <c r="D151" s="153"/>
      <c r="E151" s="153"/>
    </row>
    <row r="152">
      <c r="D152" s="153"/>
      <c r="E152" s="153"/>
    </row>
    <row r="153">
      <c r="D153" s="153"/>
      <c r="E153" s="153"/>
    </row>
    <row r="154">
      <c r="D154" s="153"/>
      <c r="E154" s="153"/>
    </row>
    <row r="155">
      <c r="D155" s="153"/>
      <c r="E155" s="153"/>
    </row>
    <row r="156">
      <c r="D156" s="153"/>
      <c r="E156" s="153"/>
    </row>
    <row r="157">
      <c r="D157" s="153"/>
      <c r="E157" s="153"/>
    </row>
    <row r="158">
      <c r="D158" s="153"/>
      <c r="E158" s="153"/>
    </row>
    <row r="159">
      <c r="D159" s="153"/>
      <c r="E159" s="153"/>
    </row>
    <row r="160">
      <c r="D160" s="153"/>
      <c r="E160" s="153"/>
    </row>
    <row r="161">
      <c r="D161" s="153"/>
      <c r="E161" s="153"/>
    </row>
    <row r="162">
      <c r="D162" s="153"/>
      <c r="E162" s="153"/>
    </row>
    <row r="163">
      <c r="D163" s="153"/>
      <c r="E163" s="153"/>
    </row>
    <row r="164">
      <c r="D164" s="153"/>
      <c r="E164" s="153"/>
    </row>
    <row r="165">
      <c r="D165" s="153"/>
      <c r="E165" s="153"/>
    </row>
    <row r="166">
      <c r="D166" s="153"/>
      <c r="E166" s="153"/>
    </row>
    <row r="167">
      <c r="D167" s="153"/>
      <c r="E167" s="153"/>
    </row>
    <row r="168">
      <c r="D168" s="153"/>
      <c r="E168" s="153"/>
    </row>
    <row r="169">
      <c r="D169" s="153"/>
      <c r="E169" s="153"/>
    </row>
    <row r="170">
      <c r="D170" s="153"/>
      <c r="E170" s="153"/>
    </row>
    <row r="171">
      <c r="D171" s="153"/>
      <c r="E171" s="153"/>
    </row>
    <row r="172">
      <c r="D172" s="153"/>
      <c r="E172" s="153"/>
    </row>
    <row r="173">
      <c r="D173" s="153"/>
      <c r="E173" s="153"/>
    </row>
    <row r="174">
      <c r="D174" s="153"/>
      <c r="E174" s="153"/>
    </row>
    <row r="175">
      <c r="D175" s="153"/>
      <c r="E175" s="153"/>
    </row>
    <row r="176">
      <c r="D176" s="153"/>
      <c r="E176" s="153"/>
    </row>
    <row r="177">
      <c r="D177" s="153"/>
      <c r="E177" s="153"/>
    </row>
    <row r="178">
      <c r="D178" s="153"/>
      <c r="E178" s="153"/>
    </row>
    <row r="179">
      <c r="D179" s="153"/>
      <c r="E179" s="153"/>
    </row>
    <row r="180">
      <c r="D180" s="153"/>
      <c r="E180" s="153"/>
    </row>
    <row r="181">
      <c r="D181" s="153"/>
      <c r="E181" s="153"/>
    </row>
    <row r="182">
      <c r="D182" s="153"/>
      <c r="E182" s="153"/>
    </row>
    <row r="183">
      <c r="D183" s="153"/>
      <c r="E183" s="153"/>
    </row>
    <row r="184">
      <c r="D184" s="153"/>
      <c r="E184" s="153"/>
    </row>
    <row r="185">
      <c r="D185" s="153"/>
      <c r="E185" s="153"/>
    </row>
    <row r="186">
      <c r="D186" s="153"/>
      <c r="E186" s="153"/>
    </row>
    <row r="187">
      <c r="D187" s="153"/>
      <c r="E187" s="153"/>
    </row>
    <row r="188">
      <c r="D188" s="153"/>
      <c r="E188" s="153"/>
    </row>
    <row r="189">
      <c r="D189" s="153"/>
      <c r="E189" s="153"/>
    </row>
    <row r="190">
      <c r="D190" s="153"/>
      <c r="E190" s="153"/>
    </row>
    <row r="191">
      <c r="D191" s="153"/>
      <c r="E191" s="153"/>
    </row>
    <row r="192">
      <c r="D192" s="153"/>
      <c r="E192" s="153"/>
    </row>
    <row r="193">
      <c r="D193" s="153"/>
      <c r="E193" s="153"/>
    </row>
    <row r="194">
      <c r="D194" s="153"/>
      <c r="E194" s="153"/>
    </row>
    <row r="195">
      <c r="D195" s="153"/>
      <c r="E195" s="153"/>
    </row>
    <row r="196">
      <c r="D196" s="153"/>
      <c r="E196" s="153"/>
    </row>
    <row r="197">
      <c r="D197" s="153"/>
      <c r="E197" s="153"/>
    </row>
    <row r="198">
      <c r="D198" s="153"/>
      <c r="E198" s="153"/>
    </row>
    <row r="199">
      <c r="D199" s="153"/>
      <c r="E199" s="153"/>
    </row>
    <row r="200">
      <c r="D200" s="153"/>
      <c r="E200" s="153"/>
    </row>
    <row r="201">
      <c r="D201" s="153"/>
      <c r="E201" s="153"/>
    </row>
    <row r="202">
      <c r="D202" s="153"/>
      <c r="E202" s="153"/>
    </row>
    <row r="203">
      <c r="D203" s="153"/>
      <c r="E203" s="153"/>
    </row>
    <row r="204">
      <c r="D204" s="153"/>
      <c r="E204" s="153"/>
    </row>
    <row r="205">
      <c r="D205" s="153"/>
      <c r="E205" s="153"/>
    </row>
    <row r="206">
      <c r="D206" s="153"/>
      <c r="E206" s="153"/>
    </row>
    <row r="207">
      <c r="D207" s="153"/>
      <c r="E207" s="153"/>
    </row>
    <row r="208">
      <c r="D208" s="153"/>
      <c r="E208" s="153"/>
    </row>
    <row r="209">
      <c r="D209" s="153"/>
      <c r="E209" s="153"/>
    </row>
    <row r="210">
      <c r="D210" s="153"/>
      <c r="E210" s="153"/>
    </row>
    <row r="211">
      <c r="D211" s="153"/>
      <c r="E211" s="153"/>
    </row>
    <row r="212">
      <c r="D212" s="153"/>
      <c r="E212" s="153"/>
    </row>
    <row r="213">
      <c r="D213" s="153"/>
      <c r="E213" s="153"/>
    </row>
    <row r="214">
      <c r="D214" s="153"/>
      <c r="E214" s="153"/>
    </row>
    <row r="215">
      <c r="D215" s="153"/>
      <c r="E215" s="153"/>
    </row>
    <row r="216">
      <c r="D216" s="153"/>
      <c r="E216" s="153"/>
    </row>
    <row r="217">
      <c r="D217" s="153"/>
      <c r="E217" s="153"/>
    </row>
    <row r="218">
      <c r="D218" s="153"/>
      <c r="E218" s="153"/>
    </row>
    <row r="219">
      <c r="D219" s="153"/>
      <c r="E219" s="153"/>
    </row>
    <row r="220">
      <c r="D220" s="153"/>
      <c r="E220" s="153"/>
    </row>
    <row r="221">
      <c r="D221" s="153"/>
      <c r="E221" s="153"/>
    </row>
    <row r="222">
      <c r="D222" s="153"/>
      <c r="E222" s="153"/>
    </row>
    <row r="223">
      <c r="D223" s="153"/>
      <c r="E223" s="153"/>
    </row>
    <row r="224">
      <c r="D224" s="153"/>
      <c r="E224" s="153"/>
    </row>
    <row r="225">
      <c r="D225" s="153"/>
      <c r="E225" s="153"/>
    </row>
    <row r="226">
      <c r="D226" s="153"/>
      <c r="E226" s="153"/>
    </row>
    <row r="227">
      <c r="D227" s="153"/>
      <c r="E227" s="153"/>
    </row>
    <row r="228">
      <c r="D228" s="153"/>
      <c r="E228" s="153"/>
    </row>
    <row r="229">
      <c r="D229" s="153"/>
      <c r="E229" s="153"/>
    </row>
    <row r="230">
      <c r="D230" s="153"/>
      <c r="E230" s="153"/>
    </row>
    <row r="231">
      <c r="D231" s="153"/>
      <c r="E231" s="153"/>
    </row>
    <row r="232">
      <c r="D232" s="153"/>
      <c r="E232" s="153"/>
    </row>
    <row r="233">
      <c r="D233" s="153"/>
      <c r="E233" s="153"/>
    </row>
    <row r="234">
      <c r="D234" s="153"/>
      <c r="E234" s="153"/>
    </row>
    <row r="235">
      <c r="D235" s="153"/>
      <c r="E235" s="153"/>
    </row>
    <row r="236">
      <c r="D236" s="153"/>
      <c r="E236" s="153"/>
    </row>
    <row r="237">
      <c r="D237" s="153"/>
      <c r="E237" s="153"/>
    </row>
    <row r="238">
      <c r="D238" s="153"/>
      <c r="E238" s="153"/>
    </row>
    <row r="239">
      <c r="D239" s="153"/>
      <c r="E239" s="153"/>
    </row>
    <row r="240">
      <c r="D240" s="153"/>
      <c r="E240" s="153"/>
    </row>
    <row r="241">
      <c r="D241" s="153"/>
      <c r="E241" s="153"/>
    </row>
    <row r="242">
      <c r="D242" s="153"/>
      <c r="E242" s="153"/>
    </row>
    <row r="243">
      <c r="D243" s="153"/>
      <c r="E243" s="153"/>
    </row>
    <row r="244">
      <c r="D244" s="153"/>
      <c r="E244" s="153"/>
    </row>
    <row r="245">
      <c r="D245" s="153"/>
      <c r="E245" s="153"/>
    </row>
    <row r="246">
      <c r="D246" s="153"/>
      <c r="E246" s="153"/>
    </row>
    <row r="247">
      <c r="D247" s="153"/>
      <c r="E247" s="153"/>
    </row>
    <row r="248">
      <c r="D248" s="153"/>
      <c r="E248" s="153"/>
    </row>
    <row r="249">
      <c r="D249" s="153"/>
      <c r="E249" s="153"/>
    </row>
    <row r="250">
      <c r="D250" s="153"/>
      <c r="E250" s="153"/>
    </row>
    <row r="251">
      <c r="D251" s="153"/>
      <c r="E251" s="153"/>
    </row>
    <row r="252">
      <c r="D252" s="153"/>
      <c r="E252" s="153"/>
    </row>
    <row r="253">
      <c r="D253" s="153"/>
      <c r="E253" s="153"/>
    </row>
    <row r="254">
      <c r="D254" s="153"/>
      <c r="E254" s="153"/>
    </row>
    <row r="255">
      <c r="D255" s="153"/>
      <c r="E255" s="153"/>
    </row>
    <row r="256">
      <c r="D256" s="153"/>
      <c r="E256" s="153"/>
    </row>
    <row r="257">
      <c r="D257" s="153"/>
      <c r="E257" s="153"/>
    </row>
    <row r="258">
      <c r="D258" s="153"/>
      <c r="E258" s="153"/>
    </row>
    <row r="259">
      <c r="D259" s="153"/>
      <c r="E259" s="153"/>
    </row>
    <row r="260">
      <c r="D260" s="153"/>
      <c r="E260" s="153"/>
    </row>
    <row r="261">
      <c r="D261" s="153"/>
      <c r="E261" s="153"/>
    </row>
    <row r="262">
      <c r="D262" s="153"/>
      <c r="E262" s="153"/>
    </row>
    <row r="263">
      <c r="D263" s="153"/>
      <c r="E263" s="153"/>
    </row>
    <row r="264">
      <c r="D264" s="153"/>
      <c r="E264" s="153"/>
    </row>
    <row r="265">
      <c r="D265" s="153"/>
      <c r="E265" s="153"/>
    </row>
    <row r="266">
      <c r="D266" s="153"/>
      <c r="E266" s="153"/>
    </row>
    <row r="267">
      <c r="D267" s="153"/>
      <c r="E267" s="153"/>
    </row>
    <row r="268">
      <c r="D268" s="153"/>
      <c r="E268" s="153"/>
    </row>
    <row r="269">
      <c r="D269" s="153"/>
      <c r="E269" s="153"/>
    </row>
    <row r="270">
      <c r="D270" s="153"/>
      <c r="E270" s="153"/>
    </row>
    <row r="271">
      <c r="D271" s="153"/>
      <c r="E271" s="153"/>
    </row>
    <row r="272">
      <c r="D272" s="153"/>
      <c r="E272" s="153"/>
    </row>
    <row r="273">
      <c r="D273" s="153"/>
      <c r="E273" s="153"/>
    </row>
    <row r="274">
      <c r="D274" s="153"/>
      <c r="E274" s="153"/>
    </row>
    <row r="275">
      <c r="D275" s="153"/>
      <c r="E275" s="153"/>
    </row>
    <row r="276">
      <c r="D276" s="153"/>
      <c r="E276" s="153"/>
    </row>
    <row r="277">
      <c r="D277" s="153"/>
      <c r="E277" s="153"/>
    </row>
    <row r="278">
      <c r="D278" s="153"/>
      <c r="E278" s="153"/>
    </row>
    <row r="279">
      <c r="D279" s="153"/>
      <c r="E279" s="153"/>
    </row>
    <row r="280">
      <c r="D280" s="153"/>
      <c r="E280" s="153"/>
    </row>
    <row r="281">
      <c r="D281" s="153"/>
      <c r="E281" s="153"/>
    </row>
    <row r="282">
      <c r="D282" s="153"/>
      <c r="E282" s="153"/>
    </row>
    <row r="283">
      <c r="D283" s="153"/>
      <c r="E283" s="153"/>
    </row>
    <row r="284">
      <c r="D284" s="153"/>
      <c r="E284" s="153"/>
    </row>
    <row r="285">
      <c r="D285" s="153"/>
      <c r="E285" s="153"/>
    </row>
    <row r="286">
      <c r="D286" s="153"/>
      <c r="E286" s="153"/>
    </row>
    <row r="287">
      <c r="D287" s="153"/>
      <c r="E287" s="153"/>
    </row>
    <row r="288">
      <c r="D288" s="153"/>
      <c r="E288" s="153"/>
    </row>
    <row r="289">
      <c r="D289" s="153"/>
      <c r="E289" s="153"/>
    </row>
    <row r="290">
      <c r="D290" s="153"/>
      <c r="E290" s="153"/>
    </row>
    <row r="291">
      <c r="D291" s="153"/>
      <c r="E291" s="153"/>
    </row>
    <row r="292">
      <c r="D292" s="153"/>
      <c r="E292" s="153"/>
    </row>
    <row r="293">
      <c r="D293" s="153"/>
      <c r="E293" s="153"/>
    </row>
    <row r="294">
      <c r="D294" s="153"/>
      <c r="E294" s="153"/>
    </row>
    <row r="295">
      <c r="D295" s="153"/>
      <c r="E295" s="153"/>
    </row>
    <row r="296">
      <c r="D296" s="153"/>
      <c r="E296" s="153"/>
    </row>
    <row r="297">
      <c r="D297" s="153"/>
      <c r="E297" s="153"/>
    </row>
    <row r="298">
      <c r="D298" s="153"/>
      <c r="E298" s="153"/>
    </row>
    <row r="299">
      <c r="D299" s="153"/>
      <c r="E299" s="153"/>
    </row>
    <row r="300">
      <c r="D300" s="153"/>
      <c r="E300" s="153"/>
    </row>
    <row r="301">
      <c r="D301" s="153"/>
      <c r="E301" s="153"/>
    </row>
    <row r="302">
      <c r="D302" s="153"/>
      <c r="E302" s="153"/>
    </row>
    <row r="303">
      <c r="D303" s="153"/>
      <c r="E303" s="153"/>
    </row>
    <row r="304">
      <c r="D304" s="153"/>
      <c r="E304" s="153"/>
    </row>
    <row r="305">
      <c r="D305" s="153"/>
      <c r="E305" s="153"/>
    </row>
    <row r="306">
      <c r="D306" s="153"/>
      <c r="E306" s="153"/>
    </row>
    <row r="307">
      <c r="D307" s="153"/>
      <c r="E307" s="153"/>
    </row>
    <row r="308">
      <c r="D308" s="153"/>
      <c r="E308" s="153"/>
    </row>
    <row r="309">
      <c r="D309" s="153"/>
      <c r="E309" s="153"/>
    </row>
    <row r="310">
      <c r="D310" s="153"/>
      <c r="E310" s="153"/>
    </row>
    <row r="311">
      <c r="D311" s="153"/>
      <c r="E311" s="153"/>
    </row>
    <row r="312">
      <c r="D312" s="153"/>
      <c r="E312" s="153"/>
    </row>
    <row r="313">
      <c r="D313" s="153"/>
      <c r="E313" s="153"/>
    </row>
    <row r="314">
      <c r="D314" s="153"/>
      <c r="E314" s="153"/>
    </row>
    <row r="315">
      <c r="D315" s="153"/>
      <c r="E315" s="153"/>
    </row>
    <row r="316">
      <c r="D316" s="153"/>
      <c r="E316" s="153"/>
    </row>
    <row r="317">
      <c r="D317" s="153"/>
      <c r="E317" s="153"/>
    </row>
    <row r="318">
      <c r="D318" s="153"/>
      <c r="E318" s="153"/>
    </row>
    <row r="319">
      <c r="D319" s="153"/>
      <c r="E319" s="153"/>
    </row>
    <row r="320">
      <c r="D320" s="153"/>
      <c r="E320" s="153"/>
    </row>
    <row r="321">
      <c r="D321" s="153"/>
      <c r="E321" s="153"/>
    </row>
    <row r="322">
      <c r="D322" s="153"/>
      <c r="E322" s="153"/>
    </row>
    <row r="323">
      <c r="D323" s="153"/>
      <c r="E323" s="153"/>
    </row>
    <row r="324">
      <c r="D324" s="153"/>
      <c r="E324" s="153"/>
    </row>
    <row r="325">
      <c r="D325" s="153"/>
      <c r="E325" s="153"/>
    </row>
    <row r="326">
      <c r="D326" s="153"/>
      <c r="E326" s="153"/>
    </row>
    <row r="327">
      <c r="D327" s="153"/>
      <c r="E327" s="153"/>
    </row>
    <row r="328">
      <c r="D328" s="153"/>
      <c r="E328" s="153"/>
    </row>
    <row r="329">
      <c r="D329" s="153"/>
      <c r="E329" s="153"/>
    </row>
    <row r="330">
      <c r="D330" s="153"/>
      <c r="E330" s="153"/>
    </row>
    <row r="331">
      <c r="D331" s="153"/>
      <c r="E331" s="153"/>
    </row>
    <row r="332">
      <c r="D332" s="153"/>
      <c r="E332" s="153"/>
    </row>
    <row r="333">
      <c r="D333" s="153"/>
      <c r="E333" s="153"/>
    </row>
    <row r="334">
      <c r="D334" s="153"/>
      <c r="E334" s="153"/>
    </row>
    <row r="335">
      <c r="D335" s="153"/>
      <c r="E335" s="153"/>
    </row>
    <row r="336">
      <c r="D336" s="153"/>
      <c r="E336" s="153"/>
    </row>
    <row r="337">
      <c r="D337" s="153"/>
      <c r="E337" s="153"/>
    </row>
    <row r="338">
      <c r="D338" s="153"/>
      <c r="E338" s="153"/>
    </row>
    <row r="339">
      <c r="D339" s="153"/>
      <c r="E339" s="153"/>
    </row>
    <row r="340">
      <c r="D340" s="153"/>
      <c r="E340" s="153"/>
    </row>
    <row r="341">
      <c r="D341" s="153"/>
      <c r="E341" s="153"/>
    </row>
    <row r="342">
      <c r="D342" s="153"/>
      <c r="E342" s="153"/>
    </row>
    <row r="343">
      <c r="D343" s="153"/>
      <c r="E343" s="153"/>
    </row>
    <row r="344">
      <c r="D344" s="153"/>
      <c r="E344" s="153"/>
    </row>
    <row r="345">
      <c r="D345" s="153"/>
      <c r="E345" s="153"/>
    </row>
    <row r="346">
      <c r="D346" s="153"/>
      <c r="E346" s="153"/>
    </row>
    <row r="347">
      <c r="D347" s="153"/>
      <c r="E347" s="153"/>
    </row>
    <row r="348">
      <c r="D348" s="153"/>
      <c r="E348" s="153"/>
    </row>
    <row r="349">
      <c r="D349" s="153"/>
      <c r="E349" s="153"/>
    </row>
    <row r="350">
      <c r="D350" s="153"/>
      <c r="E350" s="153"/>
    </row>
    <row r="351">
      <c r="D351" s="153"/>
      <c r="E351" s="153"/>
    </row>
    <row r="352">
      <c r="D352" s="153"/>
      <c r="E352" s="153"/>
    </row>
    <row r="353">
      <c r="D353" s="153"/>
      <c r="E353" s="153"/>
    </row>
    <row r="354">
      <c r="D354" s="153"/>
      <c r="E354" s="153"/>
    </row>
    <row r="355">
      <c r="D355" s="153"/>
      <c r="E355" s="153"/>
    </row>
    <row r="356">
      <c r="D356" s="153"/>
      <c r="E356" s="153"/>
    </row>
    <row r="357">
      <c r="D357" s="153"/>
      <c r="E357" s="153"/>
    </row>
    <row r="358">
      <c r="D358" s="153"/>
      <c r="E358" s="153"/>
    </row>
    <row r="359">
      <c r="D359" s="153"/>
      <c r="E359" s="153"/>
    </row>
    <row r="360">
      <c r="D360" s="153"/>
      <c r="E360" s="153"/>
    </row>
    <row r="361">
      <c r="D361" s="153"/>
      <c r="E361" s="153"/>
    </row>
    <row r="362">
      <c r="D362" s="153"/>
      <c r="E362" s="153"/>
    </row>
    <row r="363">
      <c r="D363" s="153"/>
      <c r="E363" s="153"/>
    </row>
    <row r="364">
      <c r="D364" s="153"/>
      <c r="E364" s="153"/>
    </row>
    <row r="365">
      <c r="D365" s="153"/>
      <c r="E365" s="153"/>
    </row>
    <row r="366">
      <c r="D366" s="153"/>
      <c r="E366" s="153"/>
    </row>
    <row r="367">
      <c r="D367" s="153"/>
      <c r="E367" s="153"/>
    </row>
    <row r="368">
      <c r="D368" s="153"/>
      <c r="E368" s="153"/>
    </row>
    <row r="369">
      <c r="D369" s="153"/>
      <c r="E369" s="153"/>
    </row>
    <row r="370">
      <c r="D370" s="153"/>
      <c r="E370" s="153"/>
    </row>
    <row r="371">
      <c r="D371" s="153"/>
      <c r="E371" s="153"/>
    </row>
    <row r="372">
      <c r="D372" s="153"/>
      <c r="E372" s="153"/>
    </row>
    <row r="373">
      <c r="D373" s="153"/>
      <c r="E373" s="153"/>
    </row>
    <row r="374">
      <c r="D374" s="153"/>
      <c r="E374" s="153"/>
    </row>
    <row r="375">
      <c r="D375" s="153"/>
      <c r="E375" s="153"/>
    </row>
    <row r="376">
      <c r="D376" s="153"/>
      <c r="E376" s="153"/>
    </row>
    <row r="377">
      <c r="D377" s="153"/>
      <c r="E377" s="153"/>
    </row>
    <row r="378">
      <c r="D378" s="153"/>
      <c r="E378" s="153"/>
    </row>
    <row r="379">
      <c r="D379" s="153"/>
      <c r="E379" s="153"/>
    </row>
    <row r="380">
      <c r="D380" s="153"/>
      <c r="E380" s="153"/>
    </row>
    <row r="381">
      <c r="D381" s="153"/>
      <c r="E381" s="153"/>
    </row>
    <row r="382">
      <c r="D382" s="153"/>
      <c r="E382" s="153"/>
    </row>
    <row r="383">
      <c r="D383" s="153"/>
      <c r="E383" s="153"/>
    </row>
    <row r="384">
      <c r="D384" s="153"/>
      <c r="E384" s="153"/>
    </row>
    <row r="385">
      <c r="D385" s="153"/>
      <c r="E385" s="153"/>
    </row>
    <row r="386">
      <c r="D386" s="153"/>
      <c r="E386" s="153"/>
    </row>
    <row r="387">
      <c r="D387" s="153"/>
      <c r="E387" s="153"/>
    </row>
    <row r="388">
      <c r="D388" s="153"/>
      <c r="E388" s="153"/>
    </row>
    <row r="389">
      <c r="D389" s="153"/>
      <c r="E389" s="153"/>
    </row>
    <row r="390">
      <c r="D390" s="153"/>
      <c r="E390" s="153"/>
    </row>
    <row r="391">
      <c r="D391" s="153"/>
      <c r="E391" s="153"/>
    </row>
    <row r="392">
      <c r="D392" s="153"/>
      <c r="E392" s="153"/>
    </row>
    <row r="393">
      <c r="D393" s="153"/>
      <c r="E393" s="153"/>
    </row>
    <row r="394">
      <c r="D394" s="153"/>
      <c r="E394" s="153"/>
    </row>
    <row r="395">
      <c r="D395" s="153"/>
      <c r="E395" s="153"/>
    </row>
    <row r="396">
      <c r="D396" s="153"/>
      <c r="E396" s="153"/>
    </row>
    <row r="397">
      <c r="D397" s="153"/>
      <c r="E397" s="153"/>
    </row>
    <row r="398">
      <c r="D398" s="153"/>
      <c r="E398" s="153"/>
    </row>
    <row r="399">
      <c r="D399" s="153"/>
      <c r="E399" s="153"/>
    </row>
    <row r="400">
      <c r="D400" s="153"/>
      <c r="E400" s="153"/>
    </row>
    <row r="401">
      <c r="D401" s="153"/>
      <c r="E401" s="153"/>
    </row>
    <row r="402">
      <c r="D402" s="153"/>
      <c r="E402" s="153"/>
    </row>
    <row r="403">
      <c r="D403" s="153"/>
      <c r="E403" s="153"/>
    </row>
    <row r="404">
      <c r="D404" s="153"/>
      <c r="E404" s="153"/>
    </row>
    <row r="405">
      <c r="D405" s="153"/>
      <c r="E405" s="153"/>
    </row>
    <row r="406">
      <c r="D406" s="153"/>
      <c r="E406" s="153"/>
    </row>
    <row r="407">
      <c r="D407" s="153"/>
      <c r="E407" s="153"/>
    </row>
    <row r="408">
      <c r="D408" s="153"/>
      <c r="E408" s="153"/>
    </row>
    <row r="409">
      <c r="D409" s="153"/>
      <c r="E409" s="153"/>
    </row>
    <row r="410">
      <c r="D410" s="153"/>
      <c r="E410" s="153"/>
    </row>
    <row r="411">
      <c r="D411" s="153"/>
      <c r="E411" s="153"/>
    </row>
    <row r="412">
      <c r="D412" s="153"/>
      <c r="E412" s="153"/>
    </row>
    <row r="413">
      <c r="D413" s="153"/>
      <c r="E413" s="153"/>
    </row>
    <row r="414">
      <c r="D414" s="153"/>
      <c r="E414" s="153"/>
    </row>
    <row r="415">
      <c r="D415" s="153"/>
      <c r="E415" s="153"/>
    </row>
    <row r="416">
      <c r="D416" s="153"/>
      <c r="E416" s="153"/>
    </row>
    <row r="417">
      <c r="D417" s="153"/>
      <c r="E417" s="153"/>
    </row>
    <row r="418">
      <c r="D418" s="153"/>
      <c r="E418" s="153"/>
    </row>
    <row r="419">
      <c r="D419" s="153"/>
      <c r="E419" s="153"/>
    </row>
    <row r="420">
      <c r="D420" s="153"/>
      <c r="E420" s="153"/>
    </row>
    <row r="421">
      <c r="D421" s="153"/>
      <c r="E421" s="153"/>
    </row>
    <row r="422">
      <c r="D422" s="153"/>
      <c r="E422" s="153"/>
    </row>
    <row r="423">
      <c r="D423" s="153"/>
      <c r="E423" s="153"/>
    </row>
    <row r="424">
      <c r="D424" s="153"/>
      <c r="E424" s="153"/>
    </row>
    <row r="425">
      <c r="D425" s="153"/>
      <c r="E425" s="153"/>
    </row>
    <row r="426">
      <c r="D426" s="153"/>
      <c r="E426" s="153"/>
    </row>
    <row r="427">
      <c r="D427" s="153"/>
      <c r="E427" s="153"/>
    </row>
    <row r="428">
      <c r="D428" s="153"/>
      <c r="E428" s="153"/>
    </row>
    <row r="429">
      <c r="D429" s="153"/>
      <c r="E429" s="153"/>
    </row>
    <row r="430">
      <c r="D430" s="153"/>
      <c r="E430" s="153"/>
    </row>
    <row r="431">
      <c r="D431" s="153"/>
      <c r="E431" s="153"/>
    </row>
    <row r="432">
      <c r="D432" s="153"/>
      <c r="E432" s="153"/>
    </row>
    <row r="433">
      <c r="D433" s="153"/>
      <c r="E433" s="153"/>
    </row>
    <row r="434">
      <c r="D434" s="153"/>
      <c r="E434" s="153"/>
    </row>
    <row r="435">
      <c r="D435" s="153"/>
      <c r="E435" s="153"/>
    </row>
    <row r="436">
      <c r="D436" s="153"/>
      <c r="E436" s="153"/>
    </row>
    <row r="437">
      <c r="D437" s="153"/>
      <c r="E437" s="153"/>
    </row>
    <row r="438">
      <c r="D438" s="153"/>
      <c r="E438" s="153"/>
    </row>
    <row r="439">
      <c r="D439" s="153"/>
      <c r="E439" s="153"/>
    </row>
    <row r="440">
      <c r="D440" s="153"/>
      <c r="E440" s="153"/>
    </row>
    <row r="441">
      <c r="D441" s="153"/>
      <c r="E441" s="153"/>
    </row>
    <row r="442">
      <c r="D442" s="153"/>
      <c r="E442" s="153"/>
    </row>
    <row r="443">
      <c r="D443" s="153"/>
      <c r="E443" s="153"/>
    </row>
    <row r="444">
      <c r="D444" s="153"/>
      <c r="E444" s="153"/>
    </row>
    <row r="445">
      <c r="D445" s="153"/>
      <c r="E445" s="153"/>
    </row>
    <row r="446">
      <c r="D446" s="153"/>
      <c r="E446" s="153"/>
    </row>
    <row r="447">
      <c r="D447" s="153"/>
      <c r="E447" s="153"/>
    </row>
    <row r="448">
      <c r="D448" s="153"/>
      <c r="E448" s="153"/>
    </row>
    <row r="449">
      <c r="D449" s="153"/>
      <c r="E449" s="153"/>
    </row>
    <row r="450">
      <c r="D450" s="153"/>
      <c r="E450" s="153"/>
    </row>
    <row r="451">
      <c r="D451" s="153"/>
      <c r="E451" s="153"/>
    </row>
    <row r="452">
      <c r="D452" s="153"/>
      <c r="E452" s="153"/>
    </row>
    <row r="453">
      <c r="D453" s="153"/>
      <c r="E453" s="153"/>
    </row>
    <row r="454">
      <c r="D454" s="153"/>
      <c r="E454" s="153"/>
    </row>
    <row r="455">
      <c r="D455" s="153"/>
      <c r="E455" s="153"/>
    </row>
    <row r="456">
      <c r="D456" s="153"/>
      <c r="E456" s="153"/>
    </row>
    <row r="457">
      <c r="D457" s="153"/>
      <c r="E457" s="153"/>
    </row>
    <row r="458">
      <c r="D458" s="153"/>
      <c r="E458" s="153"/>
    </row>
    <row r="459">
      <c r="D459" s="153"/>
      <c r="E459" s="153"/>
    </row>
    <row r="460">
      <c r="D460" s="153"/>
      <c r="E460" s="153"/>
    </row>
    <row r="461">
      <c r="D461" s="153"/>
      <c r="E461" s="153"/>
    </row>
    <row r="462">
      <c r="D462" s="153"/>
      <c r="E462" s="153"/>
    </row>
    <row r="463">
      <c r="D463" s="153"/>
      <c r="E463" s="153"/>
    </row>
    <row r="464">
      <c r="D464" s="153"/>
      <c r="E464" s="153"/>
    </row>
    <row r="465">
      <c r="D465" s="153"/>
      <c r="E465" s="153"/>
    </row>
    <row r="466">
      <c r="D466" s="153"/>
      <c r="E466" s="153"/>
    </row>
    <row r="467">
      <c r="D467" s="153"/>
      <c r="E467" s="153"/>
    </row>
    <row r="468">
      <c r="D468" s="153"/>
      <c r="E468" s="153"/>
    </row>
    <row r="469">
      <c r="D469" s="153"/>
      <c r="E469" s="153"/>
    </row>
    <row r="470">
      <c r="D470" s="153"/>
      <c r="E470" s="153"/>
    </row>
    <row r="471">
      <c r="D471" s="153"/>
      <c r="E471" s="153"/>
    </row>
    <row r="472">
      <c r="D472" s="153"/>
      <c r="E472" s="153"/>
    </row>
    <row r="473">
      <c r="D473" s="153"/>
      <c r="E473" s="153"/>
    </row>
    <row r="474">
      <c r="D474" s="153"/>
      <c r="E474" s="153"/>
    </row>
    <row r="475">
      <c r="D475" s="153"/>
      <c r="E475" s="153"/>
    </row>
    <row r="476">
      <c r="D476" s="153"/>
      <c r="E476" s="153"/>
    </row>
    <row r="477">
      <c r="D477" s="153"/>
      <c r="E477" s="153"/>
    </row>
    <row r="478">
      <c r="D478" s="153"/>
      <c r="E478" s="153"/>
    </row>
    <row r="479">
      <c r="D479" s="153"/>
      <c r="E479" s="153"/>
    </row>
    <row r="480">
      <c r="D480" s="153"/>
      <c r="E480" s="153"/>
    </row>
    <row r="481">
      <c r="D481" s="153"/>
      <c r="E481" s="153"/>
    </row>
    <row r="482">
      <c r="D482" s="153"/>
      <c r="E482" s="153"/>
    </row>
    <row r="483">
      <c r="D483" s="153"/>
      <c r="E483" s="153"/>
    </row>
    <row r="484">
      <c r="D484" s="153"/>
      <c r="E484" s="153"/>
    </row>
    <row r="485">
      <c r="D485" s="153"/>
      <c r="E485" s="153"/>
    </row>
    <row r="486">
      <c r="D486" s="153"/>
      <c r="E486" s="153"/>
    </row>
    <row r="487">
      <c r="D487" s="153"/>
      <c r="E487" s="153"/>
    </row>
    <row r="488">
      <c r="D488" s="153"/>
      <c r="E488" s="153"/>
    </row>
    <row r="489">
      <c r="D489" s="153"/>
      <c r="E489" s="153"/>
    </row>
    <row r="490">
      <c r="D490" s="153"/>
      <c r="E490" s="153"/>
    </row>
    <row r="491">
      <c r="D491" s="153"/>
      <c r="E491" s="153"/>
    </row>
    <row r="492">
      <c r="D492" s="153"/>
      <c r="E492" s="153"/>
    </row>
    <row r="493">
      <c r="D493" s="153"/>
      <c r="E493" s="153"/>
    </row>
    <row r="494">
      <c r="D494" s="153"/>
      <c r="E494" s="153"/>
    </row>
    <row r="495">
      <c r="D495" s="153"/>
      <c r="E495" s="153"/>
    </row>
    <row r="496">
      <c r="D496" s="153"/>
      <c r="E496" s="153"/>
    </row>
    <row r="497">
      <c r="D497" s="153"/>
      <c r="E497" s="153"/>
    </row>
    <row r="498">
      <c r="D498" s="153"/>
      <c r="E498" s="153"/>
    </row>
    <row r="499">
      <c r="D499" s="153"/>
      <c r="E499" s="153"/>
    </row>
    <row r="500">
      <c r="D500" s="153"/>
      <c r="E500" s="153"/>
    </row>
    <row r="501">
      <c r="D501" s="153"/>
      <c r="E501" s="153"/>
    </row>
    <row r="502">
      <c r="D502" s="153"/>
      <c r="E502" s="153"/>
    </row>
    <row r="503">
      <c r="D503" s="153"/>
      <c r="E503" s="153"/>
    </row>
    <row r="504">
      <c r="D504" s="153"/>
      <c r="E504" s="153"/>
    </row>
    <row r="505">
      <c r="D505" s="153"/>
      <c r="E505" s="153"/>
    </row>
    <row r="506">
      <c r="D506" s="153"/>
      <c r="E506" s="153"/>
    </row>
    <row r="507">
      <c r="D507" s="153"/>
      <c r="E507" s="153"/>
    </row>
    <row r="508">
      <c r="D508" s="153"/>
      <c r="E508" s="153"/>
    </row>
    <row r="509">
      <c r="D509" s="153"/>
      <c r="E509" s="153"/>
    </row>
    <row r="510">
      <c r="D510" s="153"/>
      <c r="E510" s="153"/>
    </row>
    <row r="511">
      <c r="D511" s="153"/>
      <c r="E511" s="153"/>
    </row>
    <row r="512">
      <c r="D512" s="153"/>
      <c r="E512" s="153"/>
    </row>
    <row r="513">
      <c r="D513" s="153"/>
      <c r="E513" s="153"/>
    </row>
    <row r="514">
      <c r="D514" s="153"/>
      <c r="E514" s="153"/>
    </row>
    <row r="515">
      <c r="D515" s="153"/>
      <c r="E515" s="153"/>
    </row>
    <row r="516">
      <c r="D516" s="153"/>
      <c r="E516" s="153"/>
    </row>
    <row r="517">
      <c r="D517" s="153"/>
      <c r="E517" s="153"/>
    </row>
    <row r="518">
      <c r="D518" s="153"/>
      <c r="E518" s="153"/>
    </row>
    <row r="519">
      <c r="D519" s="153"/>
      <c r="E519" s="153"/>
    </row>
    <row r="520">
      <c r="D520" s="153"/>
      <c r="E520" s="153"/>
    </row>
    <row r="521">
      <c r="D521" s="153"/>
      <c r="E521" s="153"/>
    </row>
    <row r="522">
      <c r="D522" s="153"/>
      <c r="E522" s="153"/>
    </row>
    <row r="523">
      <c r="D523" s="153"/>
      <c r="E523" s="153"/>
    </row>
    <row r="524">
      <c r="D524" s="153"/>
      <c r="E524" s="153"/>
    </row>
    <row r="525">
      <c r="D525" s="153"/>
      <c r="E525" s="153"/>
    </row>
    <row r="526">
      <c r="D526" s="153"/>
      <c r="E526" s="153"/>
    </row>
    <row r="527">
      <c r="D527" s="153"/>
      <c r="E527" s="153"/>
    </row>
    <row r="528">
      <c r="D528" s="153"/>
      <c r="E528" s="153"/>
    </row>
    <row r="529">
      <c r="D529" s="153"/>
      <c r="E529" s="153"/>
    </row>
    <row r="530">
      <c r="D530" s="153"/>
      <c r="E530" s="153"/>
    </row>
    <row r="531">
      <c r="D531" s="153"/>
      <c r="E531" s="153"/>
    </row>
    <row r="532">
      <c r="D532" s="153"/>
      <c r="E532" s="153"/>
    </row>
    <row r="533">
      <c r="D533" s="153"/>
      <c r="E533" s="153"/>
    </row>
    <row r="534">
      <c r="D534" s="153"/>
      <c r="E534" s="153"/>
    </row>
    <row r="535">
      <c r="D535" s="153"/>
      <c r="E535" s="153"/>
    </row>
    <row r="536">
      <c r="D536" s="153"/>
      <c r="E536" s="153"/>
    </row>
    <row r="537">
      <c r="D537" s="153"/>
      <c r="E537" s="153"/>
    </row>
    <row r="538">
      <c r="D538" s="153"/>
      <c r="E538" s="153"/>
    </row>
    <row r="539">
      <c r="D539" s="153"/>
      <c r="E539" s="153"/>
    </row>
    <row r="540">
      <c r="D540" s="153"/>
      <c r="E540" s="153"/>
    </row>
    <row r="541">
      <c r="D541" s="153"/>
      <c r="E541" s="153"/>
    </row>
    <row r="542">
      <c r="D542" s="153"/>
      <c r="E542" s="153"/>
    </row>
    <row r="543">
      <c r="D543" s="153"/>
      <c r="E543" s="153"/>
    </row>
    <row r="544">
      <c r="D544" s="153"/>
      <c r="E544" s="153"/>
    </row>
    <row r="545">
      <c r="D545" s="153"/>
      <c r="E545" s="153"/>
    </row>
    <row r="546">
      <c r="D546" s="153"/>
      <c r="E546" s="153"/>
    </row>
    <row r="547">
      <c r="D547" s="153"/>
      <c r="E547" s="153"/>
    </row>
    <row r="548">
      <c r="D548" s="153"/>
      <c r="E548" s="153"/>
    </row>
    <row r="549">
      <c r="D549" s="153"/>
      <c r="E549" s="153"/>
    </row>
    <row r="550">
      <c r="D550" s="153"/>
      <c r="E550" s="153"/>
    </row>
    <row r="551">
      <c r="D551" s="153"/>
      <c r="E551" s="153"/>
    </row>
    <row r="552">
      <c r="D552" s="153"/>
      <c r="E552" s="153"/>
    </row>
    <row r="553">
      <c r="D553" s="153"/>
      <c r="E553" s="153"/>
    </row>
    <row r="554">
      <c r="D554" s="153"/>
      <c r="E554" s="153"/>
    </row>
    <row r="555">
      <c r="D555" s="153"/>
      <c r="E555" s="153"/>
    </row>
    <row r="556">
      <c r="D556" s="153"/>
      <c r="E556" s="153"/>
    </row>
    <row r="557">
      <c r="D557" s="153"/>
      <c r="E557" s="153"/>
    </row>
    <row r="558">
      <c r="D558" s="153"/>
      <c r="E558" s="153"/>
    </row>
    <row r="559">
      <c r="D559" s="153"/>
      <c r="E559" s="153"/>
    </row>
    <row r="560">
      <c r="D560" s="153"/>
      <c r="E560" s="153"/>
    </row>
    <row r="561">
      <c r="D561" s="153"/>
      <c r="E561" s="153"/>
    </row>
    <row r="562">
      <c r="D562" s="153"/>
      <c r="E562" s="153"/>
    </row>
    <row r="563">
      <c r="D563" s="153"/>
      <c r="E563" s="153"/>
    </row>
    <row r="564">
      <c r="D564" s="153"/>
      <c r="E564" s="153"/>
    </row>
    <row r="565">
      <c r="D565" s="153"/>
      <c r="E565" s="153"/>
    </row>
    <row r="566">
      <c r="D566" s="153"/>
      <c r="E566" s="153"/>
    </row>
    <row r="567">
      <c r="D567" s="153"/>
      <c r="E567" s="153"/>
    </row>
    <row r="568">
      <c r="D568" s="153"/>
      <c r="E568" s="153"/>
    </row>
    <row r="569">
      <c r="D569" s="153"/>
      <c r="E569" s="153"/>
    </row>
    <row r="570">
      <c r="D570" s="153"/>
      <c r="E570" s="153"/>
    </row>
    <row r="571">
      <c r="D571" s="153"/>
      <c r="E571" s="153"/>
    </row>
    <row r="572">
      <c r="D572" s="153"/>
      <c r="E572" s="153"/>
    </row>
    <row r="573">
      <c r="D573" s="153"/>
      <c r="E573" s="153"/>
    </row>
    <row r="574">
      <c r="D574" s="153"/>
      <c r="E574" s="153"/>
    </row>
    <row r="575">
      <c r="D575" s="153"/>
      <c r="E575" s="153"/>
    </row>
    <row r="576">
      <c r="D576" s="153"/>
      <c r="E576" s="153"/>
    </row>
    <row r="577">
      <c r="D577" s="153"/>
      <c r="E577" s="153"/>
    </row>
    <row r="578">
      <c r="D578" s="153"/>
      <c r="E578" s="153"/>
    </row>
    <row r="579">
      <c r="D579" s="153"/>
      <c r="E579" s="153"/>
    </row>
    <row r="580">
      <c r="D580" s="153"/>
      <c r="E580" s="153"/>
    </row>
    <row r="581">
      <c r="D581" s="153"/>
      <c r="E581" s="153"/>
    </row>
    <row r="582">
      <c r="D582" s="153"/>
      <c r="E582" s="153"/>
    </row>
    <row r="583">
      <c r="D583" s="153"/>
      <c r="E583" s="153"/>
    </row>
    <row r="584">
      <c r="D584" s="153"/>
      <c r="E584" s="153"/>
    </row>
    <row r="585">
      <c r="D585" s="153"/>
      <c r="E585" s="153"/>
    </row>
    <row r="586">
      <c r="D586" s="153"/>
      <c r="E586" s="153"/>
    </row>
    <row r="587">
      <c r="D587" s="153"/>
      <c r="E587" s="153"/>
    </row>
    <row r="588">
      <c r="D588" s="153"/>
      <c r="E588" s="153"/>
    </row>
    <row r="589">
      <c r="D589" s="153"/>
      <c r="E589" s="153"/>
    </row>
    <row r="590">
      <c r="D590" s="153"/>
      <c r="E590" s="153"/>
    </row>
    <row r="591">
      <c r="D591" s="153"/>
      <c r="E591" s="153"/>
    </row>
    <row r="592">
      <c r="D592" s="153"/>
      <c r="E592" s="153"/>
    </row>
    <row r="593">
      <c r="D593" s="153"/>
      <c r="E593" s="153"/>
    </row>
    <row r="594">
      <c r="D594" s="153"/>
      <c r="E594" s="153"/>
    </row>
    <row r="595">
      <c r="D595" s="153"/>
      <c r="E595" s="153"/>
    </row>
    <row r="596">
      <c r="D596" s="153"/>
      <c r="E596" s="153"/>
    </row>
    <row r="597">
      <c r="D597" s="153"/>
      <c r="E597" s="153"/>
    </row>
    <row r="598">
      <c r="D598" s="153"/>
      <c r="E598" s="153"/>
    </row>
    <row r="599">
      <c r="D599" s="153"/>
      <c r="E599" s="153"/>
    </row>
    <row r="600">
      <c r="D600" s="153"/>
      <c r="E600" s="153"/>
    </row>
    <row r="601">
      <c r="D601" s="153"/>
      <c r="E601" s="153"/>
    </row>
    <row r="602">
      <c r="D602" s="153"/>
      <c r="E602" s="153"/>
    </row>
    <row r="603">
      <c r="D603" s="153"/>
      <c r="E603" s="153"/>
    </row>
    <row r="604">
      <c r="D604" s="153"/>
      <c r="E604" s="153"/>
    </row>
    <row r="605">
      <c r="D605" s="153"/>
      <c r="E605" s="153"/>
    </row>
    <row r="606">
      <c r="D606" s="153"/>
      <c r="E606" s="153"/>
    </row>
    <row r="607">
      <c r="D607" s="153"/>
      <c r="E607" s="153"/>
    </row>
    <row r="608">
      <c r="D608" s="153"/>
      <c r="E608" s="153"/>
    </row>
    <row r="609">
      <c r="D609" s="153"/>
      <c r="E609" s="153"/>
    </row>
    <row r="610">
      <c r="D610" s="153"/>
      <c r="E610" s="153"/>
    </row>
    <row r="611">
      <c r="D611" s="153"/>
      <c r="E611" s="153"/>
    </row>
    <row r="612">
      <c r="D612" s="153"/>
      <c r="E612" s="153"/>
    </row>
    <row r="613">
      <c r="D613" s="153"/>
      <c r="E613" s="153"/>
    </row>
    <row r="614">
      <c r="D614" s="153"/>
      <c r="E614" s="153"/>
    </row>
    <row r="615">
      <c r="D615" s="153"/>
      <c r="E615" s="153"/>
    </row>
    <row r="616">
      <c r="D616" s="153"/>
      <c r="E616" s="153"/>
    </row>
    <row r="617">
      <c r="D617" s="153"/>
      <c r="E617" s="153"/>
    </row>
    <row r="618">
      <c r="D618" s="153"/>
      <c r="E618" s="153"/>
    </row>
    <row r="619">
      <c r="D619" s="153"/>
      <c r="E619" s="153"/>
    </row>
    <row r="620">
      <c r="D620" s="153"/>
      <c r="E620" s="153"/>
    </row>
    <row r="621">
      <c r="D621" s="153"/>
      <c r="E621" s="153"/>
    </row>
    <row r="622">
      <c r="D622" s="153"/>
      <c r="E622" s="153"/>
    </row>
    <row r="623">
      <c r="D623" s="153"/>
      <c r="E623" s="153"/>
    </row>
    <row r="624">
      <c r="D624" s="153"/>
      <c r="E624" s="153"/>
    </row>
    <row r="625">
      <c r="D625" s="153"/>
      <c r="E625" s="153"/>
    </row>
    <row r="626">
      <c r="D626" s="153"/>
      <c r="E626" s="153"/>
    </row>
    <row r="627">
      <c r="D627" s="153"/>
      <c r="E627" s="153"/>
    </row>
    <row r="628">
      <c r="D628" s="153"/>
      <c r="E628" s="153"/>
    </row>
    <row r="629">
      <c r="D629" s="153"/>
      <c r="E629" s="153"/>
    </row>
    <row r="630">
      <c r="D630" s="153"/>
      <c r="E630" s="153"/>
    </row>
    <row r="631">
      <c r="D631" s="153"/>
      <c r="E631" s="153"/>
    </row>
    <row r="632">
      <c r="D632" s="153"/>
      <c r="E632" s="153"/>
    </row>
    <row r="633">
      <c r="D633" s="153"/>
      <c r="E633" s="153"/>
    </row>
    <row r="634">
      <c r="D634" s="153"/>
      <c r="E634" s="153"/>
    </row>
    <row r="635">
      <c r="D635" s="153"/>
      <c r="E635" s="153"/>
    </row>
    <row r="636">
      <c r="D636" s="153"/>
      <c r="E636" s="153"/>
    </row>
    <row r="637">
      <c r="D637" s="153"/>
      <c r="E637" s="153"/>
    </row>
    <row r="638">
      <c r="D638" s="153"/>
      <c r="E638" s="153"/>
    </row>
    <row r="639">
      <c r="D639" s="153"/>
      <c r="E639" s="153"/>
    </row>
    <row r="640">
      <c r="D640" s="153"/>
      <c r="E640" s="153"/>
    </row>
    <row r="641">
      <c r="D641" s="153"/>
      <c r="E641" s="153"/>
    </row>
    <row r="642">
      <c r="D642" s="153"/>
      <c r="E642" s="153"/>
    </row>
    <row r="643">
      <c r="D643" s="153"/>
      <c r="E643" s="153"/>
    </row>
    <row r="644">
      <c r="D644" s="153"/>
      <c r="E644" s="153"/>
    </row>
    <row r="645">
      <c r="D645" s="153"/>
      <c r="E645" s="153"/>
    </row>
    <row r="646">
      <c r="D646" s="153"/>
      <c r="E646" s="153"/>
    </row>
    <row r="647">
      <c r="D647" s="153"/>
      <c r="E647" s="153"/>
    </row>
    <row r="648">
      <c r="D648" s="153"/>
      <c r="E648" s="153"/>
    </row>
    <row r="649">
      <c r="D649" s="153"/>
      <c r="E649" s="153"/>
    </row>
    <row r="650">
      <c r="D650" s="153"/>
      <c r="E650" s="153"/>
    </row>
    <row r="651">
      <c r="D651" s="153"/>
      <c r="E651" s="153"/>
    </row>
    <row r="652">
      <c r="D652" s="153"/>
      <c r="E652" s="153"/>
    </row>
    <row r="653">
      <c r="D653" s="153"/>
      <c r="E653" s="153"/>
    </row>
    <row r="654">
      <c r="D654" s="153"/>
      <c r="E654" s="153"/>
    </row>
    <row r="655">
      <c r="D655" s="153"/>
      <c r="E655" s="153"/>
    </row>
    <row r="656">
      <c r="D656" s="153"/>
      <c r="E656" s="153"/>
    </row>
    <row r="657">
      <c r="D657" s="153"/>
      <c r="E657" s="153"/>
    </row>
    <row r="658">
      <c r="D658" s="153"/>
      <c r="E658" s="153"/>
    </row>
    <row r="659">
      <c r="D659" s="153"/>
      <c r="E659" s="153"/>
    </row>
    <row r="660">
      <c r="D660" s="153"/>
      <c r="E660" s="153"/>
    </row>
    <row r="661">
      <c r="D661" s="153"/>
      <c r="E661" s="153"/>
    </row>
    <row r="662">
      <c r="D662" s="153"/>
      <c r="E662" s="153"/>
    </row>
    <row r="663">
      <c r="D663" s="153"/>
      <c r="E663" s="153"/>
    </row>
    <row r="664">
      <c r="D664" s="153"/>
      <c r="E664" s="153"/>
    </row>
    <row r="665">
      <c r="D665" s="153"/>
      <c r="E665" s="153"/>
    </row>
    <row r="666">
      <c r="D666" s="153"/>
      <c r="E666" s="153"/>
    </row>
    <row r="667">
      <c r="D667" s="153"/>
      <c r="E667" s="153"/>
    </row>
    <row r="668">
      <c r="D668" s="153"/>
      <c r="E668" s="153"/>
    </row>
    <row r="669">
      <c r="D669" s="153"/>
      <c r="E669" s="153"/>
    </row>
    <row r="670">
      <c r="D670" s="153"/>
      <c r="E670" s="153"/>
    </row>
    <row r="671">
      <c r="D671" s="153"/>
      <c r="E671" s="153"/>
    </row>
    <row r="672">
      <c r="D672" s="153"/>
      <c r="E672" s="153"/>
    </row>
    <row r="673">
      <c r="D673" s="153"/>
      <c r="E673" s="153"/>
    </row>
    <row r="674">
      <c r="D674" s="153"/>
      <c r="E674" s="153"/>
    </row>
    <row r="675">
      <c r="D675" s="153"/>
      <c r="E675" s="153"/>
    </row>
    <row r="676">
      <c r="D676" s="153"/>
      <c r="E676" s="153"/>
    </row>
    <row r="677">
      <c r="D677" s="153"/>
      <c r="E677" s="153"/>
    </row>
    <row r="678">
      <c r="D678" s="153"/>
      <c r="E678" s="153"/>
    </row>
    <row r="679">
      <c r="D679" s="153"/>
      <c r="E679" s="153"/>
    </row>
    <row r="680">
      <c r="D680" s="153"/>
      <c r="E680" s="153"/>
    </row>
    <row r="681">
      <c r="D681" s="153"/>
      <c r="E681" s="153"/>
    </row>
    <row r="682">
      <c r="D682" s="153"/>
      <c r="E682" s="153"/>
    </row>
    <row r="683">
      <c r="D683" s="153"/>
      <c r="E683" s="153"/>
    </row>
    <row r="684">
      <c r="D684" s="153"/>
      <c r="E684" s="153"/>
    </row>
    <row r="685">
      <c r="D685" s="153"/>
      <c r="E685" s="153"/>
    </row>
    <row r="686">
      <c r="D686" s="153"/>
      <c r="E686" s="153"/>
    </row>
    <row r="687">
      <c r="D687" s="153"/>
      <c r="E687" s="153"/>
    </row>
    <row r="688">
      <c r="D688" s="153"/>
      <c r="E688" s="153"/>
    </row>
    <row r="689">
      <c r="D689" s="153"/>
      <c r="E689" s="153"/>
    </row>
    <row r="690">
      <c r="D690" s="153"/>
      <c r="E690" s="153"/>
    </row>
    <row r="691">
      <c r="D691" s="153"/>
      <c r="E691" s="153"/>
    </row>
    <row r="692">
      <c r="D692" s="153"/>
      <c r="E692" s="153"/>
    </row>
    <row r="693">
      <c r="D693" s="153"/>
      <c r="E693" s="153"/>
    </row>
    <row r="694">
      <c r="D694" s="153"/>
      <c r="E694" s="153"/>
    </row>
    <row r="695">
      <c r="D695" s="153"/>
      <c r="E695" s="153"/>
    </row>
    <row r="696">
      <c r="D696" s="153"/>
      <c r="E696" s="153"/>
    </row>
    <row r="697">
      <c r="D697" s="153"/>
      <c r="E697" s="153"/>
    </row>
    <row r="698">
      <c r="D698" s="153"/>
      <c r="E698" s="153"/>
    </row>
    <row r="699">
      <c r="D699" s="153"/>
      <c r="E699" s="153"/>
    </row>
    <row r="700">
      <c r="D700" s="153"/>
      <c r="E700" s="153"/>
    </row>
    <row r="701">
      <c r="D701" s="153"/>
      <c r="E701" s="153"/>
    </row>
    <row r="702">
      <c r="D702" s="153"/>
      <c r="E702" s="153"/>
    </row>
    <row r="703">
      <c r="D703" s="153"/>
      <c r="E703" s="153"/>
    </row>
    <row r="704">
      <c r="D704" s="153"/>
      <c r="E704" s="153"/>
    </row>
    <row r="705">
      <c r="D705" s="153"/>
      <c r="E705" s="153"/>
    </row>
    <row r="706">
      <c r="D706" s="153"/>
      <c r="E706" s="153"/>
    </row>
    <row r="707">
      <c r="D707" s="153"/>
      <c r="E707" s="153"/>
    </row>
    <row r="708">
      <c r="D708" s="153"/>
      <c r="E708" s="153"/>
    </row>
    <row r="709">
      <c r="D709" s="153"/>
      <c r="E709" s="153"/>
    </row>
    <row r="710">
      <c r="D710" s="153"/>
      <c r="E710" s="153"/>
    </row>
    <row r="711">
      <c r="D711" s="153"/>
      <c r="E711" s="153"/>
    </row>
    <row r="712">
      <c r="D712" s="153"/>
      <c r="E712" s="153"/>
    </row>
    <row r="713">
      <c r="D713" s="153"/>
      <c r="E713" s="153"/>
    </row>
    <row r="714">
      <c r="D714" s="153"/>
      <c r="E714" s="153"/>
    </row>
    <row r="715">
      <c r="D715" s="153"/>
      <c r="E715" s="153"/>
    </row>
    <row r="716">
      <c r="D716" s="153"/>
      <c r="E716" s="153"/>
    </row>
    <row r="717">
      <c r="D717" s="153"/>
      <c r="E717" s="153"/>
    </row>
    <row r="718">
      <c r="D718" s="153"/>
      <c r="E718" s="153"/>
    </row>
    <row r="719">
      <c r="D719" s="153"/>
      <c r="E719" s="153"/>
    </row>
    <row r="720">
      <c r="D720" s="153"/>
      <c r="E720" s="153"/>
    </row>
    <row r="721">
      <c r="D721" s="153"/>
      <c r="E721" s="153"/>
    </row>
    <row r="722">
      <c r="D722" s="153"/>
      <c r="E722" s="153"/>
    </row>
    <row r="723">
      <c r="D723" s="153"/>
      <c r="E723" s="153"/>
    </row>
    <row r="724">
      <c r="D724" s="153"/>
      <c r="E724" s="153"/>
    </row>
    <row r="725">
      <c r="D725" s="153"/>
      <c r="E725" s="153"/>
    </row>
    <row r="726">
      <c r="D726" s="153"/>
      <c r="E726" s="153"/>
    </row>
    <row r="727">
      <c r="D727" s="153"/>
      <c r="E727" s="153"/>
    </row>
    <row r="728">
      <c r="D728" s="153"/>
      <c r="E728" s="153"/>
    </row>
    <row r="729">
      <c r="D729" s="153"/>
      <c r="E729" s="153"/>
    </row>
    <row r="730">
      <c r="D730" s="153"/>
      <c r="E730" s="153"/>
    </row>
    <row r="731">
      <c r="D731" s="153"/>
      <c r="E731" s="153"/>
    </row>
    <row r="732">
      <c r="D732" s="153"/>
      <c r="E732" s="153"/>
    </row>
    <row r="733">
      <c r="D733" s="153"/>
      <c r="E733" s="153"/>
    </row>
    <row r="734">
      <c r="D734" s="153"/>
      <c r="E734" s="153"/>
    </row>
    <row r="735">
      <c r="D735" s="153"/>
      <c r="E735" s="153"/>
    </row>
    <row r="736">
      <c r="D736" s="153"/>
      <c r="E736" s="153"/>
    </row>
    <row r="737">
      <c r="D737" s="153"/>
      <c r="E737" s="153"/>
    </row>
    <row r="738">
      <c r="D738" s="153"/>
      <c r="E738" s="153"/>
    </row>
    <row r="739">
      <c r="D739" s="153"/>
      <c r="E739" s="153"/>
    </row>
    <row r="740">
      <c r="D740" s="153"/>
      <c r="E740" s="153"/>
    </row>
    <row r="741">
      <c r="D741" s="153"/>
      <c r="E741" s="153"/>
    </row>
    <row r="742">
      <c r="D742" s="153"/>
      <c r="E742" s="153"/>
    </row>
    <row r="743">
      <c r="D743" s="153"/>
      <c r="E743" s="153"/>
    </row>
    <row r="744">
      <c r="D744" s="153"/>
      <c r="E744" s="153"/>
    </row>
    <row r="745">
      <c r="D745" s="153"/>
      <c r="E745" s="153"/>
    </row>
    <row r="746">
      <c r="D746" s="153"/>
      <c r="E746" s="153"/>
    </row>
    <row r="747">
      <c r="D747" s="153"/>
      <c r="E747" s="153"/>
    </row>
    <row r="748">
      <c r="D748" s="153"/>
      <c r="E748" s="153"/>
    </row>
    <row r="749">
      <c r="D749" s="153"/>
      <c r="E749" s="153"/>
    </row>
    <row r="750">
      <c r="D750" s="153"/>
      <c r="E750" s="153"/>
    </row>
    <row r="751">
      <c r="D751" s="153"/>
      <c r="E751" s="153"/>
    </row>
    <row r="752">
      <c r="D752" s="153"/>
      <c r="E752" s="153"/>
    </row>
    <row r="753">
      <c r="D753" s="153"/>
      <c r="E753" s="153"/>
    </row>
    <row r="754">
      <c r="D754" s="153"/>
      <c r="E754" s="153"/>
    </row>
    <row r="755">
      <c r="D755" s="153"/>
      <c r="E755" s="153"/>
    </row>
    <row r="756">
      <c r="D756" s="153"/>
      <c r="E756" s="153"/>
    </row>
    <row r="757">
      <c r="D757" s="153"/>
      <c r="E757" s="153"/>
    </row>
    <row r="758">
      <c r="D758" s="153"/>
      <c r="E758" s="153"/>
    </row>
    <row r="759">
      <c r="D759" s="153"/>
      <c r="E759" s="153"/>
    </row>
    <row r="760">
      <c r="D760" s="153"/>
      <c r="E760" s="153"/>
    </row>
    <row r="761">
      <c r="D761" s="153"/>
      <c r="E761" s="153"/>
    </row>
    <row r="762">
      <c r="D762" s="153"/>
      <c r="E762" s="153"/>
    </row>
    <row r="763">
      <c r="D763" s="153"/>
      <c r="E763" s="153"/>
    </row>
    <row r="764">
      <c r="D764" s="153"/>
      <c r="E764" s="153"/>
    </row>
    <row r="765">
      <c r="D765" s="153"/>
      <c r="E765" s="153"/>
    </row>
    <row r="766">
      <c r="D766" s="153"/>
      <c r="E766" s="153"/>
    </row>
    <row r="767">
      <c r="D767" s="153"/>
      <c r="E767" s="153"/>
    </row>
    <row r="768">
      <c r="D768" s="153"/>
      <c r="E768" s="153"/>
    </row>
    <row r="769">
      <c r="D769" s="153"/>
      <c r="E769" s="153"/>
    </row>
    <row r="770">
      <c r="D770" s="153"/>
      <c r="E770" s="153"/>
    </row>
    <row r="771">
      <c r="D771" s="153"/>
      <c r="E771" s="153"/>
    </row>
    <row r="772">
      <c r="D772" s="153"/>
      <c r="E772" s="153"/>
    </row>
    <row r="773">
      <c r="D773" s="153"/>
      <c r="E773" s="153"/>
    </row>
    <row r="774">
      <c r="D774" s="153"/>
      <c r="E774" s="153"/>
    </row>
    <row r="775">
      <c r="D775" s="153"/>
      <c r="E775" s="153"/>
    </row>
    <row r="776">
      <c r="D776" s="153"/>
      <c r="E776" s="153"/>
    </row>
    <row r="777">
      <c r="D777" s="153"/>
      <c r="E777" s="153"/>
    </row>
    <row r="778">
      <c r="D778" s="153"/>
      <c r="E778" s="153"/>
    </row>
    <row r="779">
      <c r="D779" s="153"/>
      <c r="E779" s="153"/>
    </row>
    <row r="780">
      <c r="D780" s="153"/>
      <c r="E780" s="153"/>
    </row>
    <row r="781">
      <c r="D781" s="153"/>
      <c r="E781" s="153"/>
    </row>
    <row r="782">
      <c r="D782" s="153"/>
      <c r="E782" s="153"/>
    </row>
    <row r="783">
      <c r="D783" s="153"/>
      <c r="E783" s="153"/>
    </row>
    <row r="784">
      <c r="D784" s="153"/>
      <c r="E784" s="153"/>
    </row>
    <row r="785">
      <c r="D785" s="153"/>
      <c r="E785" s="153"/>
    </row>
    <row r="786">
      <c r="D786" s="153"/>
      <c r="E786" s="153"/>
    </row>
    <row r="787">
      <c r="D787" s="153"/>
      <c r="E787" s="153"/>
    </row>
    <row r="788">
      <c r="D788" s="153"/>
      <c r="E788" s="153"/>
    </row>
    <row r="789">
      <c r="D789" s="153"/>
      <c r="E789" s="153"/>
    </row>
    <row r="790">
      <c r="D790" s="153"/>
      <c r="E790" s="153"/>
    </row>
    <row r="791">
      <c r="D791" s="153"/>
      <c r="E791" s="153"/>
    </row>
    <row r="792">
      <c r="D792" s="153"/>
      <c r="E792" s="153"/>
    </row>
    <row r="793">
      <c r="D793" s="153"/>
      <c r="E793" s="153"/>
    </row>
    <row r="794">
      <c r="D794" s="153"/>
      <c r="E794" s="153"/>
    </row>
    <row r="795">
      <c r="D795" s="153"/>
      <c r="E795" s="153"/>
    </row>
    <row r="796">
      <c r="D796" s="153"/>
      <c r="E796" s="153"/>
    </row>
    <row r="797">
      <c r="D797" s="153"/>
      <c r="E797" s="153"/>
    </row>
    <row r="798">
      <c r="D798" s="153"/>
      <c r="E798" s="153"/>
    </row>
    <row r="799">
      <c r="D799" s="153"/>
      <c r="E799" s="153"/>
    </row>
    <row r="800">
      <c r="D800" s="153"/>
      <c r="E800" s="153"/>
    </row>
    <row r="801">
      <c r="D801" s="153"/>
      <c r="E801" s="153"/>
    </row>
    <row r="802">
      <c r="D802" s="153"/>
      <c r="E802" s="153"/>
    </row>
    <row r="803">
      <c r="D803" s="153"/>
      <c r="E803" s="153"/>
    </row>
    <row r="804">
      <c r="D804" s="153"/>
      <c r="E804" s="153"/>
    </row>
    <row r="805">
      <c r="D805" s="153"/>
      <c r="E805" s="153"/>
    </row>
    <row r="806">
      <c r="D806" s="153"/>
      <c r="E806" s="153"/>
    </row>
    <row r="807">
      <c r="D807" s="153"/>
      <c r="E807" s="153"/>
    </row>
    <row r="808">
      <c r="D808" s="153"/>
      <c r="E808" s="153"/>
    </row>
    <row r="809">
      <c r="D809" s="153"/>
      <c r="E809" s="153"/>
    </row>
    <row r="810">
      <c r="D810" s="153"/>
      <c r="E810" s="153"/>
    </row>
    <row r="811">
      <c r="D811" s="153"/>
      <c r="E811" s="153"/>
    </row>
    <row r="812">
      <c r="D812" s="153"/>
      <c r="E812" s="153"/>
    </row>
    <row r="813">
      <c r="D813" s="153"/>
      <c r="E813" s="153"/>
    </row>
    <row r="814">
      <c r="D814" s="153"/>
      <c r="E814" s="153"/>
    </row>
    <row r="815">
      <c r="D815" s="153"/>
      <c r="E815" s="153"/>
    </row>
    <row r="816">
      <c r="D816" s="153"/>
      <c r="E816" s="153"/>
    </row>
    <row r="817">
      <c r="D817" s="153"/>
      <c r="E817" s="153"/>
    </row>
    <row r="818">
      <c r="D818" s="153"/>
      <c r="E818" s="153"/>
    </row>
    <row r="819">
      <c r="D819" s="153"/>
      <c r="E819" s="153"/>
    </row>
    <row r="820">
      <c r="D820" s="153"/>
      <c r="E820" s="153"/>
    </row>
    <row r="821">
      <c r="D821" s="153"/>
      <c r="E821" s="153"/>
    </row>
    <row r="822">
      <c r="D822" s="153"/>
      <c r="E822" s="153"/>
    </row>
    <row r="823">
      <c r="D823" s="153"/>
      <c r="E823" s="153"/>
    </row>
    <row r="824">
      <c r="D824" s="153"/>
      <c r="E824" s="153"/>
    </row>
    <row r="825">
      <c r="D825" s="153"/>
      <c r="E825" s="153"/>
    </row>
    <row r="826">
      <c r="D826" s="153"/>
      <c r="E826" s="153"/>
    </row>
    <row r="827">
      <c r="D827" s="153"/>
      <c r="E827" s="153"/>
    </row>
    <row r="828">
      <c r="D828" s="153"/>
      <c r="E828" s="153"/>
    </row>
    <row r="829">
      <c r="D829" s="153"/>
      <c r="E829" s="153"/>
    </row>
    <row r="830">
      <c r="D830" s="153"/>
      <c r="E830" s="153"/>
    </row>
    <row r="831">
      <c r="D831" s="153"/>
      <c r="E831" s="153"/>
    </row>
    <row r="832">
      <c r="D832" s="153"/>
      <c r="E832" s="153"/>
    </row>
    <row r="833">
      <c r="D833" s="153"/>
      <c r="E833" s="153"/>
    </row>
    <row r="834">
      <c r="D834" s="153"/>
      <c r="E834" s="153"/>
    </row>
    <row r="835">
      <c r="D835" s="153"/>
      <c r="E835" s="153"/>
    </row>
    <row r="836">
      <c r="D836" s="153"/>
      <c r="E836" s="153"/>
    </row>
    <row r="837">
      <c r="D837" s="153"/>
      <c r="E837" s="153"/>
    </row>
    <row r="838">
      <c r="D838" s="153"/>
      <c r="E838" s="153"/>
    </row>
    <row r="839">
      <c r="D839" s="153"/>
      <c r="E839" s="153"/>
    </row>
    <row r="840">
      <c r="D840" s="153"/>
      <c r="E840" s="153"/>
    </row>
    <row r="841">
      <c r="D841" s="153"/>
      <c r="E841" s="153"/>
    </row>
    <row r="842">
      <c r="D842" s="153"/>
      <c r="E842" s="153"/>
    </row>
    <row r="843">
      <c r="D843" s="153"/>
      <c r="E843" s="153"/>
    </row>
    <row r="844">
      <c r="D844" s="153"/>
      <c r="E844" s="153"/>
    </row>
    <row r="845">
      <c r="D845" s="153"/>
      <c r="E845" s="153"/>
    </row>
    <row r="846">
      <c r="D846" s="153"/>
      <c r="E846" s="153"/>
    </row>
    <row r="847">
      <c r="D847" s="153"/>
      <c r="E847" s="153"/>
    </row>
    <row r="848">
      <c r="D848" s="153"/>
      <c r="E848" s="153"/>
    </row>
    <row r="849">
      <c r="D849" s="153"/>
      <c r="E849" s="153"/>
    </row>
    <row r="850">
      <c r="D850" s="153"/>
      <c r="E850" s="153"/>
    </row>
    <row r="851">
      <c r="D851" s="153"/>
      <c r="E851" s="153"/>
    </row>
    <row r="852">
      <c r="D852" s="153"/>
      <c r="E852" s="153"/>
    </row>
    <row r="853">
      <c r="D853" s="153"/>
      <c r="E853" s="153"/>
    </row>
    <row r="854">
      <c r="D854" s="153"/>
      <c r="E854" s="153"/>
    </row>
    <row r="855">
      <c r="D855" s="153"/>
      <c r="E855" s="153"/>
    </row>
    <row r="856">
      <c r="D856" s="153"/>
      <c r="E856" s="153"/>
    </row>
    <row r="857">
      <c r="D857" s="153"/>
      <c r="E857" s="153"/>
    </row>
    <row r="858">
      <c r="D858" s="153"/>
      <c r="E858" s="153"/>
    </row>
    <row r="859">
      <c r="D859" s="153"/>
      <c r="E859" s="153"/>
    </row>
    <row r="860">
      <c r="D860" s="153"/>
      <c r="E860" s="153"/>
    </row>
    <row r="861">
      <c r="D861" s="153"/>
      <c r="E861" s="153"/>
    </row>
    <row r="862">
      <c r="D862" s="153"/>
      <c r="E862" s="153"/>
    </row>
    <row r="863">
      <c r="D863" s="153"/>
      <c r="E863" s="153"/>
    </row>
    <row r="864">
      <c r="D864" s="153"/>
      <c r="E864" s="153"/>
    </row>
    <row r="865">
      <c r="D865" s="153"/>
      <c r="E865" s="153"/>
    </row>
    <row r="866">
      <c r="D866" s="153"/>
      <c r="E866" s="153"/>
    </row>
    <row r="867">
      <c r="D867" s="153"/>
      <c r="E867" s="153"/>
    </row>
    <row r="868">
      <c r="D868" s="153"/>
      <c r="E868" s="153"/>
    </row>
    <row r="869">
      <c r="D869" s="153"/>
      <c r="E869" s="153"/>
    </row>
    <row r="870">
      <c r="D870" s="153"/>
      <c r="E870" s="153"/>
    </row>
    <row r="871">
      <c r="D871" s="153"/>
      <c r="E871" s="153"/>
    </row>
    <row r="872">
      <c r="D872" s="153"/>
      <c r="E872" s="153"/>
    </row>
    <row r="873">
      <c r="D873" s="153"/>
      <c r="E873" s="153"/>
    </row>
    <row r="874">
      <c r="D874" s="153"/>
      <c r="E874" s="153"/>
    </row>
    <row r="875">
      <c r="D875" s="153"/>
      <c r="E875" s="153"/>
    </row>
    <row r="876">
      <c r="D876" s="153"/>
      <c r="E876" s="153"/>
    </row>
    <row r="877">
      <c r="D877" s="153"/>
      <c r="E877" s="153"/>
    </row>
    <row r="878">
      <c r="D878" s="153"/>
      <c r="E878" s="153"/>
    </row>
    <row r="879">
      <c r="D879" s="153"/>
      <c r="E879" s="153"/>
    </row>
    <row r="880">
      <c r="D880" s="153"/>
      <c r="E880" s="153"/>
    </row>
    <row r="881">
      <c r="D881" s="153"/>
      <c r="E881" s="153"/>
    </row>
    <row r="882">
      <c r="D882" s="153"/>
      <c r="E882" s="153"/>
    </row>
    <row r="883">
      <c r="D883" s="153"/>
      <c r="E883" s="153"/>
    </row>
    <row r="884">
      <c r="D884" s="153"/>
      <c r="E884" s="153"/>
    </row>
    <row r="885">
      <c r="D885" s="153"/>
      <c r="E885" s="153"/>
    </row>
    <row r="886">
      <c r="D886" s="153"/>
      <c r="E886" s="153"/>
    </row>
    <row r="887">
      <c r="D887" s="153"/>
      <c r="E887" s="153"/>
    </row>
    <row r="888">
      <c r="D888" s="153"/>
      <c r="E888" s="153"/>
    </row>
    <row r="889">
      <c r="D889" s="153"/>
      <c r="E889" s="153"/>
    </row>
    <row r="890">
      <c r="D890" s="153"/>
      <c r="E890" s="153"/>
    </row>
    <row r="891">
      <c r="D891" s="153"/>
      <c r="E891" s="153"/>
    </row>
    <row r="892">
      <c r="D892" s="153"/>
      <c r="E892" s="153"/>
    </row>
    <row r="893">
      <c r="D893" s="153"/>
      <c r="E893" s="153"/>
    </row>
    <row r="894">
      <c r="D894" s="153"/>
      <c r="E894" s="153"/>
    </row>
    <row r="895">
      <c r="D895" s="153"/>
      <c r="E895" s="153"/>
    </row>
    <row r="896">
      <c r="D896" s="153"/>
      <c r="E896" s="153"/>
    </row>
    <row r="897">
      <c r="D897" s="153"/>
      <c r="E897" s="153"/>
    </row>
    <row r="898">
      <c r="D898" s="153"/>
      <c r="E898" s="153"/>
    </row>
    <row r="899">
      <c r="D899" s="153"/>
      <c r="E899" s="153"/>
    </row>
    <row r="900">
      <c r="D900" s="153"/>
      <c r="E900" s="153"/>
    </row>
    <row r="901">
      <c r="D901" s="153"/>
      <c r="E901" s="153"/>
    </row>
    <row r="902">
      <c r="D902" s="153"/>
      <c r="E902" s="153"/>
    </row>
    <row r="903">
      <c r="D903" s="153"/>
      <c r="E903" s="153"/>
    </row>
    <row r="904">
      <c r="D904" s="153"/>
      <c r="E904" s="153"/>
    </row>
    <row r="905">
      <c r="D905" s="153"/>
      <c r="E905" s="153"/>
    </row>
    <row r="906">
      <c r="D906" s="153"/>
      <c r="E906" s="153"/>
    </row>
    <row r="907">
      <c r="D907" s="153"/>
      <c r="E907" s="153"/>
    </row>
    <row r="908">
      <c r="D908" s="153"/>
      <c r="E908" s="153"/>
    </row>
    <row r="909">
      <c r="D909" s="153"/>
      <c r="E909" s="153"/>
    </row>
    <row r="910">
      <c r="D910" s="153"/>
      <c r="E910" s="153"/>
    </row>
    <row r="911">
      <c r="D911" s="153"/>
      <c r="E911" s="153"/>
    </row>
    <row r="912">
      <c r="D912" s="153"/>
      <c r="E912" s="153"/>
    </row>
    <row r="913">
      <c r="D913" s="153"/>
      <c r="E913" s="153"/>
    </row>
    <row r="914">
      <c r="D914" s="153"/>
      <c r="E914" s="153"/>
    </row>
    <row r="915">
      <c r="D915" s="153"/>
      <c r="E915" s="153"/>
    </row>
    <row r="916">
      <c r="D916" s="153"/>
      <c r="E916" s="153"/>
    </row>
    <row r="917">
      <c r="D917" s="153"/>
      <c r="E917" s="153"/>
    </row>
    <row r="918">
      <c r="D918" s="153"/>
      <c r="E918" s="153"/>
    </row>
    <row r="919">
      <c r="D919" s="153"/>
      <c r="E919" s="153"/>
    </row>
    <row r="920">
      <c r="D920" s="153"/>
      <c r="E920" s="153"/>
    </row>
    <row r="921">
      <c r="D921" s="153"/>
      <c r="E921" s="153"/>
    </row>
    <row r="922">
      <c r="D922" s="153"/>
      <c r="E922" s="153"/>
    </row>
    <row r="923">
      <c r="D923" s="153"/>
      <c r="E923" s="153"/>
    </row>
    <row r="924">
      <c r="D924" s="153"/>
      <c r="E924" s="153"/>
    </row>
    <row r="925">
      <c r="D925" s="153"/>
      <c r="E925" s="153"/>
    </row>
    <row r="926">
      <c r="D926" s="153"/>
      <c r="E926" s="153"/>
    </row>
    <row r="927">
      <c r="D927" s="153"/>
      <c r="E927" s="153"/>
    </row>
    <row r="928">
      <c r="D928" s="153"/>
      <c r="E928" s="153"/>
    </row>
    <row r="929">
      <c r="D929" s="153"/>
      <c r="E929" s="153"/>
    </row>
    <row r="930">
      <c r="D930" s="153"/>
      <c r="E930" s="153"/>
    </row>
    <row r="931">
      <c r="D931" s="153"/>
      <c r="E931" s="153"/>
    </row>
    <row r="932">
      <c r="D932" s="153"/>
      <c r="E932" s="153"/>
    </row>
    <row r="933">
      <c r="D933" s="153"/>
      <c r="E933" s="153"/>
    </row>
    <row r="934">
      <c r="D934" s="153"/>
      <c r="E934" s="153"/>
    </row>
    <row r="935">
      <c r="D935" s="153"/>
      <c r="E935" s="153"/>
    </row>
    <row r="936">
      <c r="D936" s="153"/>
      <c r="E936" s="153"/>
    </row>
    <row r="937">
      <c r="D937" s="153"/>
      <c r="E937" s="153"/>
    </row>
    <row r="938">
      <c r="D938" s="153"/>
      <c r="E938" s="153"/>
    </row>
    <row r="939">
      <c r="D939" s="153"/>
      <c r="E939" s="153"/>
    </row>
    <row r="940">
      <c r="D940" s="153"/>
      <c r="E940" s="153"/>
    </row>
    <row r="941">
      <c r="D941" s="153"/>
      <c r="E941" s="153"/>
    </row>
    <row r="942">
      <c r="D942" s="153"/>
      <c r="E942" s="153"/>
    </row>
    <row r="943">
      <c r="D943" s="153"/>
      <c r="E943" s="153"/>
    </row>
    <row r="944">
      <c r="D944" s="153"/>
      <c r="E944" s="153"/>
    </row>
    <row r="945">
      <c r="D945" s="153"/>
      <c r="E945" s="153"/>
    </row>
    <row r="946">
      <c r="D946" s="153"/>
      <c r="E946" s="153"/>
    </row>
    <row r="947">
      <c r="D947" s="153"/>
      <c r="E947" s="153"/>
    </row>
    <row r="948">
      <c r="D948" s="153"/>
      <c r="E948" s="153"/>
    </row>
    <row r="949">
      <c r="D949" s="153"/>
      <c r="E949" s="153"/>
    </row>
    <row r="950">
      <c r="D950" s="153"/>
      <c r="E950" s="153"/>
    </row>
    <row r="951">
      <c r="D951" s="153"/>
      <c r="E951" s="153"/>
    </row>
    <row r="952">
      <c r="D952" s="153"/>
      <c r="E952" s="153"/>
    </row>
    <row r="953">
      <c r="D953" s="153"/>
      <c r="E953" s="153"/>
    </row>
    <row r="954">
      <c r="D954" s="153"/>
      <c r="E954" s="153"/>
    </row>
    <row r="955">
      <c r="D955" s="153"/>
      <c r="E955" s="153"/>
    </row>
    <row r="956">
      <c r="D956" s="153"/>
      <c r="E956" s="153"/>
    </row>
    <row r="957">
      <c r="D957" s="153"/>
      <c r="E957" s="153"/>
    </row>
    <row r="958">
      <c r="D958" s="153"/>
      <c r="E958" s="153"/>
    </row>
    <row r="959">
      <c r="D959" s="153"/>
      <c r="E959" s="153"/>
    </row>
    <row r="960">
      <c r="D960" s="153"/>
      <c r="E960" s="153"/>
    </row>
    <row r="961">
      <c r="D961" s="153"/>
      <c r="E961" s="153"/>
    </row>
    <row r="962">
      <c r="D962" s="153"/>
      <c r="E962" s="153"/>
    </row>
    <row r="963">
      <c r="D963" s="153"/>
      <c r="E963" s="153"/>
    </row>
    <row r="964">
      <c r="D964" s="153"/>
      <c r="E964" s="153"/>
    </row>
    <row r="965">
      <c r="D965" s="153"/>
      <c r="E965" s="153"/>
    </row>
    <row r="966">
      <c r="D966" s="153"/>
      <c r="E966" s="153"/>
    </row>
    <row r="967">
      <c r="D967" s="153"/>
      <c r="E967" s="153"/>
    </row>
    <row r="968">
      <c r="D968" s="153"/>
      <c r="E968" s="153"/>
    </row>
    <row r="969">
      <c r="D969" s="153"/>
      <c r="E969" s="153"/>
    </row>
    <row r="970">
      <c r="D970" s="153"/>
      <c r="E970" s="153"/>
    </row>
    <row r="971">
      <c r="D971" s="153"/>
      <c r="E971" s="153"/>
    </row>
    <row r="972">
      <c r="D972" s="153"/>
      <c r="E972" s="153"/>
    </row>
    <row r="973">
      <c r="D973" s="153"/>
      <c r="E973" s="153"/>
    </row>
    <row r="974">
      <c r="D974" s="153"/>
      <c r="E974" s="153"/>
    </row>
    <row r="975">
      <c r="D975" s="153"/>
      <c r="E975" s="153"/>
    </row>
    <row r="976">
      <c r="D976" s="153"/>
      <c r="E976" s="153"/>
    </row>
    <row r="977">
      <c r="D977" s="153"/>
      <c r="E977" s="153"/>
    </row>
    <row r="978">
      <c r="D978" s="153"/>
      <c r="E978" s="153"/>
    </row>
    <row r="979">
      <c r="D979" s="153"/>
      <c r="E979" s="153"/>
    </row>
    <row r="980">
      <c r="D980" s="153"/>
      <c r="E980" s="153"/>
    </row>
    <row r="981">
      <c r="D981" s="153"/>
      <c r="E981" s="153"/>
    </row>
    <row r="982">
      <c r="D982" s="153"/>
      <c r="E982" s="153"/>
    </row>
    <row r="983">
      <c r="D983" s="153"/>
      <c r="E983" s="153"/>
    </row>
    <row r="984">
      <c r="D984" s="153"/>
      <c r="E984" s="153"/>
    </row>
    <row r="985">
      <c r="D985" s="153"/>
      <c r="E985" s="153"/>
    </row>
    <row r="986">
      <c r="D986" s="153"/>
      <c r="E986" s="153"/>
    </row>
    <row r="987">
      <c r="D987" s="153"/>
      <c r="E987" s="153"/>
    </row>
    <row r="988">
      <c r="D988" s="153"/>
      <c r="E988" s="153"/>
    </row>
    <row r="989">
      <c r="D989" s="153"/>
      <c r="E989" s="153"/>
    </row>
    <row r="990">
      <c r="D990" s="153"/>
      <c r="E990" s="153"/>
    </row>
    <row r="991">
      <c r="D991" s="153"/>
      <c r="E991" s="153"/>
    </row>
    <row r="992">
      <c r="D992" s="153"/>
      <c r="E992" s="153"/>
    </row>
    <row r="993">
      <c r="D993" s="153"/>
      <c r="E993" s="153"/>
    </row>
    <row r="994">
      <c r="D994" s="153"/>
      <c r="E994" s="153"/>
    </row>
    <row r="995">
      <c r="D995" s="153"/>
      <c r="E995" s="153"/>
    </row>
    <row r="996">
      <c r="D996" s="153"/>
      <c r="E996" s="153"/>
    </row>
    <row r="997">
      <c r="D997" s="153"/>
      <c r="E997" s="153"/>
    </row>
    <row r="998">
      <c r="D998" s="153"/>
      <c r="E998" s="153"/>
    </row>
    <row r="999">
      <c r="D999" s="153"/>
      <c r="E999" s="153"/>
    </row>
  </sheetData>
  <autoFilter ref="$A$1:$E$3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3" t="s">
        <v>348</v>
      </c>
    </row>
    <row r="2">
      <c r="B2" s="3" t="s">
        <v>349</v>
      </c>
      <c r="C2" s="3" t="s">
        <v>350</v>
      </c>
    </row>
    <row r="3">
      <c r="A3" s="3" t="s">
        <v>351</v>
      </c>
      <c r="B3" s="3" t="s">
        <v>81</v>
      </c>
    </row>
    <row r="4">
      <c r="A4" s="3" t="s">
        <v>352</v>
      </c>
      <c r="B4" s="3" t="s">
        <v>157</v>
      </c>
      <c r="C4" s="3" t="s">
        <v>110</v>
      </c>
    </row>
    <row r="5">
      <c r="A5" s="3" t="s">
        <v>353</v>
      </c>
      <c r="B5" s="3" t="s">
        <v>326</v>
      </c>
      <c r="C5" s="3" t="s">
        <v>225</v>
      </c>
    </row>
    <row r="6">
      <c r="A6" s="3" t="s">
        <v>354</v>
      </c>
      <c r="B6" s="3" t="s">
        <v>72</v>
      </c>
      <c r="C6" s="3" t="s">
        <v>355</v>
      </c>
    </row>
    <row r="7">
      <c r="A7" s="3" t="s">
        <v>356</v>
      </c>
      <c r="B7" s="3" t="s">
        <v>225</v>
      </c>
      <c r="C7" s="3" t="s">
        <v>81</v>
      </c>
    </row>
    <row r="8">
      <c r="A8" s="3" t="s">
        <v>357</v>
      </c>
      <c r="B8" s="3" t="s">
        <v>69</v>
      </c>
    </row>
    <row r="9">
      <c r="A9" s="3" t="s">
        <v>358</v>
      </c>
      <c r="B9" s="3" t="s">
        <v>72</v>
      </c>
    </row>
    <row r="10">
      <c r="A10" s="3" t="s">
        <v>359</v>
      </c>
      <c r="B10" s="3" t="s">
        <v>72</v>
      </c>
    </row>
    <row r="11">
      <c r="A11" s="3" t="s">
        <v>360</v>
      </c>
      <c r="B11" s="3" t="s">
        <v>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H1" s="155" t="s">
        <v>361</v>
      </c>
      <c r="I1" s="272" t="s">
        <v>362</v>
      </c>
      <c r="K1" s="155" t="s">
        <v>363</v>
      </c>
      <c r="L1" s="273" t="s">
        <v>362</v>
      </c>
      <c r="M1" s="274" t="s">
        <v>364</v>
      </c>
      <c r="N1" s="275" t="s">
        <v>365</v>
      </c>
      <c r="O1" s="275" t="s">
        <v>366</v>
      </c>
      <c r="P1" s="275" t="s">
        <v>367</v>
      </c>
      <c r="Q1" s="155" t="s">
        <v>368</v>
      </c>
      <c r="R1" s="3" t="s">
        <v>369</v>
      </c>
    </row>
    <row r="2">
      <c r="A2" t="str">
        <f t="shared" ref="A2:F2" si="1">#REF!</f>
        <v>#REF!</v>
      </c>
      <c r="B2" t="str">
        <f t="shared" si="1"/>
        <v>#REF!</v>
      </c>
      <c r="C2" t="str">
        <f t="shared" si="1"/>
        <v>#REF!</v>
      </c>
      <c r="D2" t="str">
        <f t="shared" si="1"/>
        <v>#REF!</v>
      </c>
      <c r="E2" s="276" t="str">
        <f t="shared" si="1"/>
        <v>#REF!</v>
      </c>
      <c r="F2" s="277" t="str">
        <f t="shared" si="1"/>
        <v>#REF!</v>
      </c>
      <c r="G2" t="str">
        <f t="shared" ref="G2:G48" si="3">C2&amp;" "&amp;B2</f>
        <v>#REF!</v>
      </c>
      <c r="H2" s="278" t="str">
        <f t="shared" ref="H2:H43" si="4">#REF!</f>
        <v>#REF!</v>
      </c>
      <c r="I2" s="278" t="str">
        <f t="shared" ref="I2:I48" si="5">AVERAGE(H$2:H$51)</f>
        <v>#REF!</v>
      </c>
      <c r="J2" s="279" t="str">
        <f t="shared" ref="J2:J43" si="6">#REF!</f>
        <v>#REF!</v>
      </c>
      <c r="K2" s="280" t="str">
        <f t="shared" ref="K2:K48" si="7">IF(DAY(J2)&gt;30,24+HOUR(J2)+MINUTE(J2)/60,HOUR(J2)+MINUTE(J2)/60)</f>
        <v>#REF!</v>
      </c>
      <c r="L2" s="280" t="str">
        <f t="shared" ref="L2:L48" si="8">AVERAGE(K$2:K$51)</f>
        <v>#REF!</v>
      </c>
      <c r="M2" s="155">
        <v>24.0</v>
      </c>
      <c r="N2" s="155">
        <v>36.0</v>
      </c>
      <c r="O2" s="281" t="str">
        <f t="shared" ref="O2:O43" si="9">#REF!</f>
        <v>#REF!</v>
      </c>
      <c r="P2" s="281" t="str">
        <f t="shared" ref="P2:P48" si="10">IF(O2&gt;0,O2-E2,"")</f>
        <v>#REF!</v>
      </c>
      <c r="Q2" s="280" t="str">
        <f t="shared" ref="Q2:Q48" si="11">HOUR(P2)+MINUTE(P2)/60</f>
        <v>#REF!</v>
      </c>
      <c r="R2">
        <f t="shared" ref="R2:R48" si="12">HOUR("02.23.00")+MINUTE("02.23.00")/60</f>
        <v>2.383333333</v>
      </c>
      <c r="S2" t="str">
        <f>AVERAGE(Q2:Q61)</f>
        <v>#REF!</v>
      </c>
      <c r="T2" t="str">
        <f t="shared" ref="T2:T48" si="13">O2-E2</f>
        <v>#REF!</v>
      </c>
      <c r="U2" s="280" t="str">
        <f t="shared" ref="U2:U48" si="14">IF(DAY(T2)&gt;30,24+HOUR(T2)+MINUTE(T2)/60,HOUR(T2)+MINUTE(T2)/60)</f>
        <v>#REF!</v>
      </c>
    </row>
    <row r="3">
      <c r="A3" t="str">
        <f t="shared" ref="A3:F3" si="2">#REF!</f>
        <v>#REF!</v>
      </c>
      <c r="B3" t="str">
        <f t="shared" si="2"/>
        <v>#REF!</v>
      </c>
      <c r="C3" t="str">
        <f t="shared" si="2"/>
        <v>#REF!</v>
      </c>
      <c r="D3" t="str">
        <f t="shared" si="2"/>
        <v>#REF!</v>
      </c>
      <c r="E3" s="276" t="str">
        <f t="shared" si="2"/>
        <v>#REF!</v>
      </c>
      <c r="F3" s="277" t="str">
        <f t="shared" si="2"/>
        <v>#REF!</v>
      </c>
      <c r="G3" t="str">
        <f t="shared" si="3"/>
        <v>#REF!</v>
      </c>
      <c r="H3" s="278" t="str">
        <f t="shared" si="4"/>
        <v>#REF!</v>
      </c>
      <c r="I3" s="278" t="str">
        <f t="shared" si="5"/>
        <v>#REF!</v>
      </c>
      <c r="J3" s="279" t="str">
        <f t="shared" si="6"/>
        <v>#REF!</v>
      </c>
      <c r="K3" s="280" t="str">
        <f t="shared" si="7"/>
        <v>#REF!</v>
      </c>
      <c r="L3" s="280" t="str">
        <f t="shared" si="8"/>
        <v>#REF!</v>
      </c>
      <c r="M3" s="155">
        <v>24.0</v>
      </c>
      <c r="N3" s="155">
        <v>36.0</v>
      </c>
      <c r="O3" s="281" t="str">
        <f t="shared" si="9"/>
        <v>#REF!</v>
      </c>
      <c r="P3" s="281" t="str">
        <f t="shared" si="10"/>
        <v>#REF!</v>
      </c>
      <c r="Q3" s="280" t="str">
        <f t="shared" si="11"/>
        <v>#REF!</v>
      </c>
      <c r="R3">
        <f t="shared" si="12"/>
        <v>2.383333333</v>
      </c>
      <c r="T3" t="str">
        <f t="shared" si="13"/>
        <v>#REF!</v>
      </c>
      <c r="U3" s="280" t="str">
        <f t="shared" si="14"/>
        <v>#REF!</v>
      </c>
    </row>
    <row r="4">
      <c r="A4" t="str">
        <f t="shared" ref="A4:F4" si="15">#REF!</f>
        <v>#REF!</v>
      </c>
      <c r="B4" t="str">
        <f t="shared" si="15"/>
        <v>#REF!</v>
      </c>
      <c r="C4" t="str">
        <f t="shared" si="15"/>
        <v>#REF!</v>
      </c>
      <c r="D4" t="str">
        <f t="shared" si="15"/>
        <v>#REF!</v>
      </c>
      <c r="E4" s="276" t="str">
        <f t="shared" si="15"/>
        <v>#REF!</v>
      </c>
      <c r="F4" s="277" t="str">
        <f t="shared" si="15"/>
        <v>#REF!</v>
      </c>
      <c r="G4" t="str">
        <f t="shared" si="3"/>
        <v>#REF!</v>
      </c>
      <c r="H4" s="278" t="str">
        <f t="shared" si="4"/>
        <v>#REF!</v>
      </c>
      <c r="I4" s="278" t="str">
        <f t="shared" si="5"/>
        <v>#REF!</v>
      </c>
      <c r="J4" s="279" t="str">
        <f t="shared" si="6"/>
        <v>#REF!</v>
      </c>
      <c r="K4" s="280" t="str">
        <f t="shared" si="7"/>
        <v>#REF!</v>
      </c>
      <c r="L4" s="280" t="str">
        <f t="shared" si="8"/>
        <v>#REF!</v>
      </c>
      <c r="M4" s="155">
        <v>24.0</v>
      </c>
      <c r="N4" s="155">
        <v>36.0</v>
      </c>
      <c r="O4" s="281" t="str">
        <f t="shared" si="9"/>
        <v>#REF!</v>
      </c>
      <c r="P4" s="281" t="str">
        <f t="shared" si="10"/>
        <v>#REF!</v>
      </c>
      <c r="Q4" s="280" t="str">
        <f t="shared" si="11"/>
        <v>#REF!</v>
      </c>
      <c r="R4">
        <f t="shared" si="12"/>
        <v>2.383333333</v>
      </c>
      <c r="T4" t="str">
        <f t="shared" si="13"/>
        <v>#REF!</v>
      </c>
      <c r="U4" s="280" t="str">
        <f t="shared" si="14"/>
        <v>#REF!</v>
      </c>
    </row>
    <row r="5">
      <c r="A5" t="str">
        <f t="shared" ref="A5:F5" si="16">#REF!</f>
        <v>#REF!</v>
      </c>
      <c r="B5" t="str">
        <f t="shared" si="16"/>
        <v>#REF!</v>
      </c>
      <c r="C5" t="str">
        <f t="shared" si="16"/>
        <v>#REF!</v>
      </c>
      <c r="D5" t="str">
        <f t="shared" si="16"/>
        <v>#REF!</v>
      </c>
      <c r="E5" s="276" t="str">
        <f t="shared" si="16"/>
        <v>#REF!</v>
      </c>
      <c r="F5" s="277" t="str">
        <f t="shared" si="16"/>
        <v>#REF!</v>
      </c>
      <c r="G5" t="str">
        <f t="shared" si="3"/>
        <v>#REF!</v>
      </c>
      <c r="H5" s="278" t="str">
        <f t="shared" si="4"/>
        <v>#REF!</v>
      </c>
      <c r="I5" s="278" t="str">
        <f t="shared" si="5"/>
        <v>#REF!</v>
      </c>
      <c r="J5" s="279" t="str">
        <f t="shared" si="6"/>
        <v>#REF!</v>
      </c>
      <c r="K5" s="280" t="str">
        <f t="shared" si="7"/>
        <v>#REF!</v>
      </c>
      <c r="L5" s="280" t="str">
        <f t="shared" si="8"/>
        <v>#REF!</v>
      </c>
      <c r="M5" s="155">
        <v>24.0</v>
      </c>
      <c r="N5" s="155">
        <v>36.0</v>
      </c>
      <c r="O5" s="281" t="str">
        <f t="shared" si="9"/>
        <v>#REF!</v>
      </c>
      <c r="P5" s="281" t="str">
        <f t="shared" si="10"/>
        <v>#REF!</v>
      </c>
      <c r="Q5" s="280" t="str">
        <f t="shared" si="11"/>
        <v>#REF!</v>
      </c>
      <c r="R5">
        <f t="shared" si="12"/>
        <v>2.383333333</v>
      </c>
      <c r="T5" t="str">
        <f t="shared" si="13"/>
        <v>#REF!</v>
      </c>
      <c r="U5" s="280" t="str">
        <f t="shared" si="14"/>
        <v>#REF!</v>
      </c>
    </row>
    <row r="6">
      <c r="A6" t="str">
        <f t="shared" ref="A6:F6" si="17">#REF!</f>
        <v>#REF!</v>
      </c>
      <c r="B6" t="str">
        <f t="shared" si="17"/>
        <v>#REF!</v>
      </c>
      <c r="C6" t="str">
        <f t="shared" si="17"/>
        <v>#REF!</v>
      </c>
      <c r="D6" t="str">
        <f t="shared" si="17"/>
        <v>#REF!</v>
      </c>
      <c r="E6" s="276" t="str">
        <f t="shared" si="17"/>
        <v>#REF!</v>
      </c>
      <c r="F6" s="277" t="str">
        <f t="shared" si="17"/>
        <v>#REF!</v>
      </c>
      <c r="G6" t="str">
        <f t="shared" si="3"/>
        <v>#REF!</v>
      </c>
      <c r="H6" s="278" t="str">
        <f t="shared" si="4"/>
        <v>#REF!</v>
      </c>
      <c r="I6" s="278" t="str">
        <f t="shared" si="5"/>
        <v>#REF!</v>
      </c>
      <c r="J6" s="279" t="str">
        <f t="shared" si="6"/>
        <v>#REF!</v>
      </c>
      <c r="K6" s="280" t="str">
        <f t="shared" si="7"/>
        <v>#REF!</v>
      </c>
      <c r="L6" s="280" t="str">
        <f t="shared" si="8"/>
        <v>#REF!</v>
      </c>
      <c r="M6" s="155">
        <v>24.0</v>
      </c>
      <c r="N6" s="155">
        <v>36.0</v>
      </c>
      <c r="O6" s="281" t="str">
        <f t="shared" si="9"/>
        <v>#REF!</v>
      </c>
      <c r="P6" s="281" t="str">
        <f t="shared" si="10"/>
        <v>#REF!</v>
      </c>
      <c r="Q6" s="280" t="str">
        <f t="shared" si="11"/>
        <v>#REF!</v>
      </c>
      <c r="R6">
        <f t="shared" si="12"/>
        <v>2.383333333</v>
      </c>
      <c r="T6" t="str">
        <f t="shared" si="13"/>
        <v>#REF!</v>
      </c>
      <c r="U6" s="280" t="str">
        <f t="shared" si="14"/>
        <v>#REF!</v>
      </c>
    </row>
    <row r="7">
      <c r="A7" t="str">
        <f t="shared" ref="A7:F7" si="18">#REF!</f>
        <v>#REF!</v>
      </c>
      <c r="B7" t="str">
        <f t="shared" si="18"/>
        <v>#REF!</v>
      </c>
      <c r="C7" t="str">
        <f t="shared" si="18"/>
        <v>#REF!</v>
      </c>
      <c r="D7" t="str">
        <f t="shared" si="18"/>
        <v>#REF!</v>
      </c>
      <c r="E7" s="276" t="str">
        <f t="shared" si="18"/>
        <v>#REF!</v>
      </c>
      <c r="F7" s="277" t="str">
        <f t="shared" si="18"/>
        <v>#REF!</v>
      </c>
      <c r="G7" t="str">
        <f t="shared" si="3"/>
        <v>#REF!</v>
      </c>
      <c r="H7" s="278" t="str">
        <f t="shared" si="4"/>
        <v>#REF!</v>
      </c>
      <c r="I7" s="278" t="str">
        <f t="shared" si="5"/>
        <v>#REF!</v>
      </c>
      <c r="J7" s="279" t="str">
        <f t="shared" si="6"/>
        <v>#REF!</v>
      </c>
      <c r="K7" s="280" t="str">
        <f t="shared" si="7"/>
        <v>#REF!</v>
      </c>
      <c r="L7" s="280" t="str">
        <f t="shared" si="8"/>
        <v>#REF!</v>
      </c>
      <c r="M7" s="155">
        <v>24.0</v>
      </c>
      <c r="N7" s="155">
        <v>36.0</v>
      </c>
      <c r="O7" s="281" t="str">
        <f t="shared" si="9"/>
        <v>#REF!</v>
      </c>
      <c r="P7" s="281" t="str">
        <f t="shared" si="10"/>
        <v>#REF!</v>
      </c>
      <c r="Q7" s="280" t="str">
        <f t="shared" si="11"/>
        <v>#REF!</v>
      </c>
      <c r="R7">
        <f t="shared" si="12"/>
        <v>2.383333333</v>
      </c>
      <c r="T7" t="str">
        <f t="shared" si="13"/>
        <v>#REF!</v>
      </c>
      <c r="U7" s="280" t="str">
        <f t="shared" si="14"/>
        <v>#REF!</v>
      </c>
    </row>
    <row r="8">
      <c r="A8" t="str">
        <f t="shared" ref="A8:F8" si="19">#REF!</f>
        <v>#REF!</v>
      </c>
      <c r="B8" t="str">
        <f t="shared" si="19"/>
        <v>#REF!</v>
      </c>
      <c r="C8" t="str">
        <f t="shared" si="19"/>
        <v>#REF!</v>
      </c>
      <c r="D8" t="str">
        <f t="shared" si="19"/>
        <v>#REF!</v>
      </c>
      <c r="E8" s="276" t="str">
        <f t="shared" si="19"/>
        <v>#REF!</v>
      </c>
      <c r="F8" s="277" t="str">
        <f t="shared" si="19"/>
        <v>#REF!</v>
      </c>
      <c r="G8" t="str">
        <f t="shared" si="3"/>
        <v>#REF!</v>
      </c>
      <c r="H8" s="278" t="str">
        <f t="shared" si="4"/>
        <v>#REF!</v>
      </c>
      <c r="I8" s="278" t="str">
        <f t="shared" si="5"/>
        <v>#REF!</v>
      </c>
      <c r="J8" s="279" t="str">
        <f t="shared" si="6"/>
        <v>#REF!</v>
      </c>
      <c r="K8" s="280" t="str">
        <f t="shared" si="7"/>
        <v>#REF!</v>
      </c>
      <c r="L8" s="280" t="str">
        <f t="shared" si="8"/>
        <v>#REF!</v>
      </c>
      <c r="M8" s="155">
        <v>24.0</v>
      </c>
      <c r="N8" s="155">
        <v>36.0</v>
      </c>
      <c r="O8" s="281" t="str">
        <f t="shared" si="9"/>
        <v>#REF!</v>
      </c>
      <c r="P8" s="281" t="str">
        <f t="shared" si="10"/>
        <v>#REF!</v>
      </c>
      <c r="Q8" s="280" t="str">
        <f t="shared" si="11"/>
        <v>#REF!</v>
      </c>
      <c r="R8">
        <f t="shared" si="12"/>
        <v>2.383333333</v>
      </c>
      <c r="T8" t="str">
        <f t="shared" si="13"/>
        <v>#REF!</v>
      </c>
      <c r="U8" s="280" t="str">
        <f t="shared" si="14"/>
        <v>#REF!</v>
      </c>
    </row>
    <row r="9">
      <c r="A9" t="str">
        <f t="shared" ref="A9:F9" si="20">#REF!</f>
        <v>#REF!</v>
      </c>
      <c r="B9" t="str">
        <f t="shared" si="20"/>
        <v>#REF!</v>
      </c>
      <c r="C9" t="str">
        <f t="shared" si="20"/>
        <v>#REF!</v>
      </c>
      <c r="D9" t="str">
        <f t="shared" si="20"/>
        <v>#REF!</v>
      </c>
      <c r="E9" s="276" t="str">
        <f t="shared" si="20"/>
        <v>#REF!</v>
      </c>
      <c r="F9" s="277" t="str">
        <f t="shared" si="20"/>
        <v>#REF!</v>
      </c>
      <c r="G9" t="str">
        <f t="shared" si="3"/>
        <v>#REF!</v>
      </c>
      <c r="H9" s="278" t="str">
        <f t="shared" si="4"/>
        <v>#REF!</v>
      </c>
      <c r="I9" s="278" t="str">
        <f t="shared" si="5"/>
        <v>#REF!</v>
      </c>
      <c r="J9" s="279" t="str">
        <f t="shared" si="6"/>
        <v>#REF!</v>
      </c>
      <c r="K9" s="280" t="str">
        <f t="shared" si="7"/>
        <v>#REF!</v>
      </c>
      <c r="L9" s="280" t="str">
        <f t="shared" si="8"/>
        <v>#REF!</v>
      </c>
      <c r="M9" s="155">
        <v>24.0</v>
      </c>
      <c r="N9" s="155">
        <v>36.0</v>
      </c>
      <c r="O9" s="281" t="str">
        <f t="shared" si="9"/>
        <v>#REF!</v>
      </c>
      <c r="P9" s="281" t="str">
        <f t="shared" si="10"/>
        <v>#REF!</v>
      </c>
      <c r="Q9" s="280" t="str">
        <f t="shared" si="11"/>
        <v>#REF!</v>
      </c>
      <c r="R9">
        <f t="shared" si="12"/>
        <v>2.383333333</v>
      </c>
      <c r="T9" t="str">
        <f t="shared" si="13"/>
        <v>#REF!</v>
      </c>
      <c r="U9" s="280" t="str">
        <f t="shared" si="14"/>
        <v>#REF!</v>
      </c>
    </row>
    <row r="10">
      <c r="A10" t="str">
        <f t="shared" ref="A10:F10" si="21">#REF!</f>
        <v>#REF!</v>
      </c>
      <c r="B10" t="str">
        <f t="shared" si="21"/>
        <v>#REF!</v>
      </c>
      <c r="C10" t="str">
        <f t="shared" si="21"/>
        <v>#REF!</v>
      </c>
      <c r="D10" t="str">
        <f t="shared" si="21"/>
        <v>#REF!</v>
      </c>
      <c r="E10" s="276" t="str">
        <f t="shared" si="21"/>
        <v>#REF!</v>
      </c>
      <c r="F10" s="277" t="str">
        <f t="shared" si="21"/>
        <v>#REF!</v>
      </c>
      <c r="G10" t="str">
        <f t="shared" si="3"/>
        <v>#REF!</v>
      </c>
      <c r="H10" s="278" t="str">
        <f t="shared" si="4"/>
        <v>#REF!</v>
      </c>
      <c r="I10" s="278" t="str">
        <f t="shared" si="5"/>
        <v>#REF!</v>
      </c>
      <c r="J10" s="279" t="str">
        <f t="shared" si="6"/>
        <v>#REF!</v>
      </c>
      <c r="K10" s="280" t="str">
        <f t="shared" si="7"/>
        <v>#REF!</v>
      </c>
      <c r="L10" s="280" t="str">
        <f t="shared" si="8"/>
        <v>#REF!</v>
      </c>
      <c r="M10" s="155">
        <v>24.0</v>
      </c>
      <c r="N10" s="155">
        <v>36.0</v>
      </c>
      <c r="O10" s="281" t="str">
        <f t="shared" si="9"/>
        <v>#REF!</v>
      </c>
      <c r="P10" s="281" t="str">
        <f t="shared" si="10"/>
        <v>#REF!</v>
      </c>
      <c r="Q10" s="280" t="str">
        <f t="shared" si="11"/>
        <v>#REF!</v>
      </c>
      <c r="R10">
        <f t="shared" si="12"/>
        <v>2.383333333</v>
      </c>
      <c r="T10" t="str">
        <f t="shared" si="13"/>
        <v>#REF!</v>
      </c>
      <c r="U10" s="280" t="str">
        <f t="shared" si="14"/>
        <v>#REF!</v>
      </c>
    </row>
    <row r="11">
      <c r="A11" t="str">
        <f t="shared" ref="A11:F11" si="22">#REF!</f>
        <v>#REF!</v>
      </c>
      <c r="B11" t="str">
        <f t="shared" si="22"/>
        <v>#REF!</v>
      </c>
      <c r="C11" t="str">
        <f t="shared" si="22"/>
        <v>#REF!</v>
      </c>
      <c r="D11" t="str">
        <f t="shared" si="22"/>
        <v>#REF!</v>
      </c>
      <c r="E11" s="276" t="str">
        <f t="shared" si="22"/>
        <v>#REF!</v>
      </c>
      <c r="F11" s="277" t="str">
        <f t="shared" si="22"/>
        <v>#REF!</v>
      </c>
      <c r="G11" t="str">
        <f t="shared" si="3"/>
        <v>#REF!</v>
      </c>
      <c r="H11" s="278" t="str">
        <f t="shared" si="4"/>
        <v>#REF!</v>
      </c>
      <c r="I11" s="278" t="str">
        <f t="shared" si="5"/>
        <v>#REF!</v>
      </c>
      <c r="J11" s="279" t="str">
        <f t="shared" si="6"/>
        <v>#REF!</v>
      </c>
      <c r="K11" s="280" t="str">
        <f t="shared" si="7"/>
        <v>#REF!</v>
      </c>
      <c r="L11" s="280" t="str">
        <f t="shared" si="8"/>
        <v>#REF!</v>
      </c>
      <c r="M11" s="155">
        <v>24.0</v>
      </c>
      <c r="N11" s="155">
        <v>36.0</v>
      </c>
      <c r="O11" s="281" t="str">
        <f t="shared" si="9"/>
        <v>#REF!</v>
      </c>
      <c r="P11" s="281" t="str">
        <f t="shared" si="10"/>
        <v>#REF!</v>
      </c>
      <c r="Q11" s="280" t="str">
        <f t="shared" si="11"/>
        <v>#REF!</v>
      </c>
      <c r="R11">
        <f t="shared" si="12"/>
        <v>2.383333333</v>
      </c>
      <c r="T11" t="str">
        <f t="shared" si="13"/>
        <v>#REF!</v>
      </c>
      <c r="U11" s="280" t="str">
        <f t="shared" si="14"/>
        <v>#REF!</v>
      </c>
    </row>
    <row r="12">
      <c r="A12" t="str">
        <f t="shared" ref="A12:F12" si="23">#REF!</f>
        <v>#REF!</v>
      </c>
      <c r="B12" t="str">
        <f t="shared" si="23"/>
        <v>#REF!</v>
      </c>
      <c r="C12" t="str">
        <f t="shared" si="23"/>
        <v>#REF!</v>
      </c>
      <c r="D12" t="str">
        <f t="shared" si="23"/>
        <v>#REF!</v>
      </c>
      <c r="E12" s="276" t="str">
        <f t="shared" si="23"/>
        <v>#REF!</v>
      </c>
      <c r="F12" s="277" t="str">
        <f t="shared" si="23"/>
        <v>#REF!</v>
      </c>
      <c r="G12" t="str">
        <f t="shared" si="3"/>
        <v>#REF!</v>
      </c>
      <c r="H12" s="278" t="str">
        <f t="shared" si="4"/>
        <v>#REF!</v>
      </c>
      <c r="I12" s="278" t="str">
        <f t="shared" si="5"/>
        <v>#REF!</v>
      </c>
      <c r="J12" s="279" t="str">
        <f t="shared" si="6"/>
        <v>#REF!</v>
      </c>
      <c r="K12" s="280" t="str">
        <f t="shared" si="7"/>
        <v>#REF!</v>
      </c>
      <c r="L12" s="280" t="str">
        <f t="shared" si="8"/>
        <v>#REF!</v>
      </c>
      <c r="M12" s="155">
        <v>24.0</v>
      </c>
      <c r="N12" s="155">
        <v>36.0</v>
      </c>
      <c r="O12" s="281" t="str">
        <f t="shared" si="9"/>
        <v>#REF!</v>
      </c>
      <c r="P12" s="281" t="str">
        <f t="shared" si="10"/>
        <v>#REF!</v>
      </c>
      <c r="Q12" s="280" t="str">
        <f t="shared" si="11"/>
        <v>#REF!</v>
      </c>
      <c r="R12">
        <f t="shared" si="12"/>
        <v>2.383333333</v>
      </c>
      <c r="T12" t="str">
        <f t="shared" si="13"/>
        <v>#REF!</v>
      </c>
      <c r="U12" s="280" t="str">
        <f t="shared" si="14"/>
        <v>#REF!</v>
      </c>
    </row>
    <row r="13">
      <c r="A13" t="str">
        <f t="shared" ref="A13:F13" si="24">#REF!</f>
        <v>#REF!</v>
      </c>
      <c r="B13" t="str">
        <f t="shared" si="24"/>
        <v>#REF!</v>
      </c>
      <c r="C13" t="str">
        <f t="shared" si="24"/>
        <v>#REF!</v>
      </c>
      <c r="D13" t="str">
        <f t="shared" si="24"/>
        <v>#REF!</v>
      </c>
      <c r="E13" s="276" t="str">
        <f t="shared" si="24"/>
        <v>#REF!</v>
      </c>
      <c r="F13" s="277" t="str">
        <f t="shared" si="24"/>
        <v>#REF!</v>
      </c>
      <c r="G13" t="str">
        <f t="shared" si="3"/>
        <v>#REF!</v>
      </c>
      <c r="H13" s="278" t="str">
        <f t="shared" si="4"/>
        <v>#REF!</v>
      </c>
      <c r="I13" s="278" t="str">
        <f t="shared" si="5"/>
        <v>#REF!</v>
      </c>
      <c r="J13" s="279" t="str">
        <f t="shared" si="6"/>
        <v>#REF!</v>
      </c>
      <c r="K13" s="280" t="str">
        <f t="shared" si="7"/>
        <v>#REF!</v>
      </c>
      <c r="L13" s="280" t="str">
        <f t="shared" si="8"/>
        <v>#REF!</v>
      </c>
      <c r="M13" s="155">
        <v>24.0</v>
      </c>
      <c r="N13" s="155">
        <v>36.0</v>
      </c>
      <c r="O13" s="281" t="str">
        <f t="shared" si="9"/>
        <v>#REF!</v>
      </c>
      <c r="P13" s="281" t="str">
        <f t="shared" si="10"/>
        <v>#REF!</v>
      </c>
      <c r="Q13" s="280" t="str">
        <f t="shared" si="11"/>
        <v>#REF!</v>
      </c>
      <c r="R13">
        <f t="shared" si="12"/>
        <v>2.383333333</v>
      </c>
      <c r="T13" t="str">
        <f t="shared" si="13"/>
        <v>#REF!</v>
      </c>
      <c r="U13" s="280" t="str">
        <f t="shared" si="14"/>
        <v>#REF!</v>
      </c>
    </row>
    <row r="14">
      <c r="A14" t="str">
        <f t="shared" ref="A14:F14" si="25">#REF!</f>
        <v>#REF!</v>
      </c>
      <c r="B14" t="str">
        <f t="shared" si="25"/>
        <v>#REF!</v>
      </c>
      <c r="C14" t="str">
        <f t="shared" si="25"/>
        <v>#REF!</v>
      </c>
      <c r="D14" t="str">
        <f t="shared" si="25"/>
        <v>#REF!</v>
      </c>
      <c r="E14" s="276" t="str">
        <f t="shared" si="25"/>
        <v>#REF!</v>
      </c>
      <c r="F14" s="277" t="str">
        <f t="shared" si="25"/>
        <v>#REF!</v>
      </c>
      <c r="G14" t="str">
        <f t="shared" si="3"/>
        <v>#REF!</v>
      </c>
      <c r="H14" s="278" t="str">
        <f t="shared" si="4"/>
        <v>#REF!</v>
      </c>
      <c r="I14" s="278" t="str">
        <f t="shared" si="5"/>
        <v>#REF!</v>
      </c>
      <c r="J14" s="279" t="str">
        <f t="shared" si="6"/>
        <v>#REF!</v>
      </c>
      <c r="K14" s="280" t="str">
        <f t="shared" si="7"/>
        <v>#REF!</v>
      </c>
      <c r="L14" s="280" t="str">
        <f t="shared" si="8"/>
        <v>#REF!</v>
      </c>
      <c r="M14" s="155">
        <v>24.0</v>
      </c>
      <c r="N14" s="155">
        <v>36.0</v>
      </c>
      <c r="O14" s="281" t="str">
        <f t="shared" si="9"/>
        <v>#REF!</v>
      </c>
      <c r="P14" s="281" t="str">
        <f t="shared" si="10"/>
        <v>#REF!</v>
      </c>
      <c r="Q14" s="280" t="str">
        <f t="shared" si="11"/>
        <v>#REF!</v>
      </c>
      <c r="R14">
        <f t="shared" si="12"/>
        <v>2.383333333</v>
      </c>
      <c r="T14" t="str">
        <f t="shared" si="13"/>
        <v>#REF!</v>
      </c>
      <c r="U14" s="280" t="str">
        <f t="shared" si="14"/>
        <v>#REF!</v>
      </c>
    </row>
    <row r="15">
      <c r="A15" t="str">
        <f t="shared" ref="A15:F15" si="26">#REF!</f>
        <v>#REF!</v>
      </c>
      <c r="B15" t="str">
        <f t="shared" si="26"/>
        <v>#REF!</v>
      </c>
      <c r="C15" t="str">
        <f t="shared" si="26"/>
        <v>#REF!</v>
      </c>
      <c r="D15" t="str">
        <f t="shared" si="26"/>
        <v>#REF!</v>
      </c>
      <c r="E15" s="276" t="str">
        <f t="shared" si="26"/>
        <v>#REF!</v>
      </c>
      <c r="F15" s="277" t="str">
        <f t="shared" si="26"/>
        <v>#REF!</v>
      </c>
      <c r="G15" t="str">
        <f t="shared" si="3"/>
        <v>#REF!</v>
      </c>
      <c r="H15" s="278" t="str">
        <f t="shared" si="4"/>
        <v>#REF!</v>
      </c>
      <c r="I15" s="278" t="str">
        <f t="shared" si="5"/>
        <v>#REF!</v>
      </c>
      <c r="J15" s="279" t="str">
        <f t="shared" si="6"/>
        <v>#REF!</v>
      </c>
      <c r="K15" s="280" t="str">
        <f t="shared" si="7"/>
        <v>#REF!</v>
      </c>
      <c r="L15" s="280" t="str">
        <f t="shared" si="8"/>
        <v>#REF!</v>
      </c>
      <c r="M15" s="155">
        <v>24.0</v>
      </c>
      <c r="N15" s="155">
        <v>36.0</v>
      </c>
      <c r="O15" s="281" t="str">
        <f t="shared" si="9"/>
        <v>#REF!</v>
      </c>
      <c r="P15" s="281" t="str">
        <f t="shared" si="10"/>
        <v>#REF!</v>
      </c>
      <c r="Q15" s="280" t="str">
        <f t="shared" si="11"/>
        <v>#REF!</v>
      </c>
      <c r="R15">
        <f t="shared" si="12"/>
        <v>2.383333333</v>
      </c>
      <c r="T15" t="str">
        <f t="shared" si="13"/>
        <v>#REF!</v>
      </c>
      <c r="U15" s="280" t="str">
        <f t="shared" si="14"/>
        <v>#REF!</v>
      </c>
    </row>
    <row r="16">
      <c r="A16" t="str">
        <f t="shared" ref="A16:F16" si="27">#REF!</f>
        <v>#REF!</v>
      </c>
      <c r="B16" t="str">
        <f t="shared" si="27"/>
        <v>#REF!</v>
      </c>
      <c r="C16" t="str">
        <f t="shared" si="27"/>
        <v>#REF!</v>
      </c>
      <c r="D16" t="str">
        <f t="shared" si="27"/>
        <v>#REF!</v>
      </c>
      <c r="E16" s="276" t="str">
        <f t="shared" si="27"/>
        <v>#REF!</v>
      </c>
      <c r="F16" s="277" t="str">
        <f t="shared" si="27"/>
        <v>#REF!</v>
      </c>
      <c r="G16" t="str">
        <f t="shared" si="3"/>
        <v>#REF!</v>
      </c>
      <c r="H16" s="278" t="str">
        <f t="shared" si="4"/>
        <v>#REF!</v>
      </c>
      <c r="I16" s="278" t="str">
        <f t="shared" si="5"/>
        <v>#REF!</v>
      </c>
      <c r="J16" s="279" t="str">
        <f t="shared" si="6"/>
        <v>#REF!</v>
      </c>
      <c r="K16" s="280" t="str">
        <f t="shared" si="7"/>
        <v>#REF!</v>
      </c>
      <c r="L16" s="280" t="str">
        <f t="shared" si="8"/>
        <v>#REF!</v>
      </c>
      <c r="M16" s="155">
        <v>24.0</v>
      </c>
      <c r="N16" s="155">
        <v>36.0</v>
      </c>
      <c r="O16" s="281" t="str">
        <f t="shared" si="9"/>
        <v>#REF!</v>
      </c>
      <c r="P16" s="281" t="str">
        <f t="shared" si="10"/>
        <v>#REF!</v>
      </c>
      <c r="Q16" s="280" t="str">
        <f t="shared" si="11"/>
        <v>#REF!</v>
      </c>
      <c r="R16">
        <f t="shared" si="12"/>
        <v>2.383333333</v>
      </c>
      <c r="T16" t="str">
        <f t="shared" si="13"/>
        <v>#REF!</v>
      </c>
      <c r="U16" s="280" t="str">
        <f t="shared" si="14"/>
        <v>#REF!</v>
      </c>
    </row>
    <row r="17">
      <c r="A17" t="str">
        <f t="shared" ref="A17:F17" si="28">#REF!</f>
        <v>#REF!</v>
      </c>
      <c r="B17" t="str">
        <f t="shared" si="28"/>
        <v>#REF!</v>
      </c>
      <c r="C17" t="str">
        <f t="shared" si="28"/>
        <v>#REF!</v>
      </c>
      <c r="D17" t="str">
        <f t="shared" si="28"/>
        <v>#REF!</v>
      </c>
      <c r="E17" s="276" t="str">
        <f t="shared" si="28"/>
        <v>#REF!</v>
      </c>
      <c r="F17" s="277" t="str">
        <f t="shared" si="28"/>
        <v>#REF!</v>
      </c>
      <c r="G17" t="str">
        <f t="shared" si="3"/>
        <v>#REF!</v>
      </c>
      <c r="H17" s="278" t="str">
        <f t="shared" si="4"/>
        <v>#REF!</v>
      </c>
      <c r="I17" s="278" t="str">
        <f t="shared" si="5"/>
        <v>#REF!</v>
      </c>
      <c r="J17" s="279" t="str">
        <f t="shared" si="6"/>
        <v>#REF!</v>
      </c>
      <c r="K17" s="280" t="str">
        <f t="shared" si="7"/>
        <v>#REF!</v>
      </c>
      <c r="L17" s="280" t="str">
        <f t="shared" si="8"/>
        <v>#REF!</v>
      </c>
      <c r="M17" s="155">
        <v>24.0</v>
      </c>
      <c r="N17" s="155">
        <v>36.0</v>
      </c>
      <c r="O17" s="281" t="str">
        <f t="shared" si="9"/>
        <v>#REF!</v>
      </c>
      <c r="P17" s="281" t="str">
        <f t="shared" si="10"/>
        <v>#REF!</v>
      </c>
      <c r="Q17" s="280" t="str">
        <f t="shared" si="11"/>
        <v>#REF!</v>
      </c>
      <c r="R17">
        <f t="shared" si="12"/>
        <v>2.383333333</v>
      </c>
      <c r="T17" t="str">
        <f t="shared" si="13"/>
        <v>#REF!</v>
      </c>
      <c r="U17" s="280" t="str">
        <f t="shared" si="14"/>
        <v>#REF!</v>
      </c>
    </row>
    <row r="18">
      <c r="A18" t="str">
        <f t="shared" ref="A18:F18" si="29">#REF!</f>
        <v>#REF!</v>
      </c>
      <c r="B18" t="str">
        <f t="shared" si="29"/>
        <v>#REF!</v>
      </c>
      <c r="C18" t="str">
        <f t="shared" si="29"/>
        <v>#REF!</v>
      </c>
      <c r="D18" t="str">
        <f t="shared" si="29"/>
        <v>#REF!</v>
      </c>
      <c r="E18" s="276" t="str">
        <f t="shared" si="29"/>
        <v>#REF!</v>
      </c>
      <c r="F18" s="277" t="str">
        <f t="shared" si="29"/>
        <v>#REF!</v>
      </c>
      <c r="G18" t="str">
        <f t="shared" si="3"/>
        <v>#REF!</v>
      </c>
      <c r="H18" s="278" t="str">
        <f t="shared" si="4"/>
        <v>#REF!</v>
      </c>
      <c r="I18" s="278" t="str">
        <f t="shared" si="5"/>
        <v>#REF!</v>
      </c>
      <c r="J18" s="279" t="str">
        <f t="shared" si="6"/>
        <v>#REF!</v>
      </c>
      <c r="K18" s="280" t="str">
        <f t="shared" si="7"/>
        <v>#REF!</v>
      </c>
      <c r="L18" s="280" t="str">
        <f t="shared" si="8"/>
        <v>#REF!</v>
      </c>
      <c r="M18" s="155">
        <v>24.0</v>
      </c>
      <c r="N18" s="155">
        <v>36.0</v>
      </c>
      <c r="O18" s="281" t="str">
        <f t="shared" si="9"/>
        <v>#REF!</v>
      </c>
      <c r="P18" s="281" t="str">
        <f t="shared" si="10"/>
        <v>#REF!</v>
      </c>
      <c r="Q18" s="280" t="str">
        <f t="shared" si="11"/>
        <v>#REF!</v>
      </c>
      <c r="R18">
        <f t="shared" si="12"/>
        <v>2.383333333</v>
      </c>
      <c r="T18" t="str">
        <f t="shared" si="13"/>
        <v>#REF!</v>
      </c>
      <c r="U18" s="280" t="str">
        <f t="shared" si="14"/>
        <v>#REF!</v>
      </c>
    </row>
    <row r="19">
      <c r="A19" t="str">
        <f t="shared" ref="A19:F19" si="30">#REF!</f>
        <v>#REF!</v>
      </c>
      <c r="B19" t="str">
        <f t="shared" si="30"/>
        <v>#REF!</v>
      </c>
      <c r="C19" t="str">
        <f t="shared" si="30"/>
        <v>#REF!</v>
      </c>
      <c r="D19" t="str">
        <f t="shared" si="30"/>
        <v>#REF!</v>
      </c>
      <c r="E19" s="276" t="str">
        <f t="shared" si="30"/>
        <v>#REF!</v>
      </c>
      <c r="F19" s="277" t="str">
        <f t="shared" si="30"/>
        <v>#REF!</v>
      </c>
      <c r="G19" t="str">
        <f t="shared" si="3"/>
        <v>#REF!</v>
      </c>
      <c r="H19" s="278" t="str">
        <f t="shared" si="4"/>
        <v>#REF!</v>
      </c>
      <c r="I19" s="278" t="str">
        <f t="shared" si="5"/>
        <v>#REF!</v>
      </c>
      <c r="J19" s="279" t="str">
        <f t="shared" si="6"/>
        <v>#REF!</v>
      </c>
      <c r="K19" s="280" t="str">
        <f t="shared" si="7"/>
        <v>#REF!</v>
      </c>
      <c r="L19" s="280" t="str">
        <f t="shared" si="8"/>
        <v>#REF!</v>
      </c>
      <c r="M19" s="155">
        <v>24.0</v>
      </c>
      <c r="N19" s="155">
        <v>36.0</v>
      </c>
      <c r="O19" s="281" t="str">
        <f t="shared" si="9"/>
        <v>#REF!</v>
      </c>
      <c r="P19" s="281" t="str">
        <f t="shared" si="10"/>
        <v>#REF!</v>
      </c>
      <c r="Q19" s="280" t="str">
        <f t="shared" si="11"/>
        <v>#REF!</v>
      </c>
      <c r="R19">
        <f t="shared" si="12"/>
        <v>2.383333333</v>
      </c>
      <c r="T19" t="str">
        <f t="shared" si="13"/>
        <v>#REF!</v>
      </c>
      <c r="U19" s="280" t="str">
        <f t="shared" si="14"/>
        <v>#REF!</v>
      </c>
    </row>
    <row r="20">
      <c r="A20" t="str">
        <f t="shared" ref="A20:F20" si="31">#REF!</f>
        <v>#REF!</v>
      </c>
      <c r="B20" t="str">
        <f t="shared" si="31"/>
        <v>#REF!</v>
      </c>
      <c r="C20" t="str">
        <f t="shared" si="31"/>
        <v>#REF!</v>
      </c>
      <c r="D20" t="str">
        <f t="shared" si="31"/>
        <v>#REF!</v>
      </c>
      <c r="E20" s="276" t="str">
        <f t="shared" si="31"/>
        <v>#REF!</v>
      </c>
      <c r="F20" s="277" t="str">
        <f t="shared" si="31"/>
        <v>#REF!</v>
      </c>
      <c r="G20" t="str">
        <f t="shared" si="3"/>
        <v>#REF!</v>
      </c>
      <c r="H20" s="278" t="str">
        <f t="shared" si="4"/>
        <v>#REF!</v>
      </c>
      <c r="I20" s="278" t="str">
        <f t="shared" si="5"/>
        <v>#REF!</v>
      </c>
      <c r="J20" s="279" t="str">
        <f t="shared" si="6"/>
        <v>#REF!</v>
      </c>
      <c r="K20" s="280" t="str">
        <f t="shared" si="7"/>
        <v>#REF!</v>
      </c>
      <c r="L20" s="280" t="str">
        <f t="shared" si="8"/>
        <v>#REF!</v>
      </c>
      <c r="M20" s="155">
        <v>24.0</v>
      </c>
      <c r="N20" s="155">
        <v>36.0</v>
      </c>
      <c r="O20" s="281" t="str">
        <f t="shared" si="9"/>
        <v>#REF!</v>
      </c>
      <c r="P20" s="281" t="str">
        <f t="shared" si="10"/>
        <v>#REF!</v>
      </c>
      <c r="Q20" s="280" t="str">
        <f t="shared" si="11"/>
        <v>#REF!</v>
      </c>
      <c r="R20">
        <f t="shared" si="12"/>
        <v>2.383333333</v>
      </c>
      <c r="T20" t="str">
        <f t="shared" si="13"/>
        <v>#REF!</v>
      </c>
      <c r="U20" s="280" t="str">
        <f t="shared" si="14"/>
        <v>#REF!</v>
      </c>
    </row>
    <row r="21">
      <c r="A21" t="str">
        <f t="shared" ref="A21:F21" si="32">#REF!</f>
        <v>#REF!</v>
      </c>
      <c r="B21" t="str">
        <f t="shared" si="32"/>
        <v>#REF!</v>
      </c>
      <c r="C21" t="str">
        <f t="shared" si="32"/>
        <v>#REF!</v>
      </c>
      <c r="D21" t="str">
        <f t="shared" si="32"/>
        <v>#REF!</v>
      </c>
      <c r="E21" s="276" t="str">
        <f t="shared" si="32"/>
        <v>#REF!</v>
      </c>
      <c r="F21" s="277" t="str">
        <f t="shared" si="32"/>
        <v>#REF!</v>
      </c>
      <c r="G21" t="str">
        <f t="shared" si="3"/>
        <v>#REF!</v>
      </c>
      <c r="H21" s="278" t="str">
        <f t="shared" si="4"/>
        <v>#REF!</v>
      </c>
      <c r="I21" s="278" t="str">
        <f t="shared" si="5"/>
        <v>#REF!</v>
      </c>
      <c r="J21" s="279" t="str">
        <f t="shared" si="6"/>
        <v>#REF!</v>
      </c>
      <c r="K21" s="280" t="str">
        <f t="shared" si="7"/>
        <v>#REF!</v>
      </c>
      <c r="L21" s="280" t="str">
        <f t="shared" si="8"/>
        <v>#REF!</v>
      </c>
      <c r="M21" s="155">
        <v>24.0</v>
      </c>
      <c r="N21" s="155">
        <v>36.0</v>
      </c>
      <c r="O21" s="281" t="str">
        <f t="shared" si="9"/>
        <v>#REF!</v>
      </c>
      <c r="P21" s="281" t="str">
        <f t="shared" si="10"/>
        <v>#REF!</v>
      </c>
      <c r="Q21" s="280" t="str">
        <f t="shared" si="11"/>
        <v>#REF!</v>
      </c>
      <c r="R21">
        <f t="shared" si="12"/>
        <v>2.383333333</v>
      </c>
      <c r="T21" t="str">
        <f t="shared" si="13"/>
        <v>#REF!</v>
      </c>
      <c r="U21" s="280" t="str">
        <f t="shared" si="14"/>
        <v>#REF!</v>
      </c>
    </row>
    <row r="22">
      <c r="A22" t="str">
        <f t="shared" ref="A22:F22" si="33">#REF!</f>
        <v>#REF!</v>
      </c>
      <c r="B22" t="str">
        <f t="shared" si="33"/>
        <v>#REF!</v>
      </c>
      <c r="C22" t="str">
        <f t="shared" si="33"/>
        <v>#REF!</v>
      </c>
      <c r="D22" t="str">
        <f t="shared" si="33"/>
        <v>#REF!</v>
      </c>
      <c r="E22" s="276" t="str">
        <f t="shared" si="33"/>
        <v>#REF!</v>
      </c>
      <c r="F22" s="277" t="str">
        <f t="shared" si="33"/>
        <v>#REF!</v>
      </c>
      <c r="G22" t="str">
        <f t="shared" si="3"/>
        <v>#REF!</v>
      </c>
      <c r="H22" s="278" t="str">
        <f t="shared" si="4"/>
        <v>#REF!</v>
      </c>
      <c r="I22" s="278" t="str">
        <f t="shared" si="5"/>
        <v>#REF!</v>
      </c>
      <c r="J22" s="279" t="str">
        <f t="shared" si="6"/>
        <v>#REF!</v>
      </c>
      <c r="K22" s="280" t="str">
        <f t="shared" si="7"/>
        <v>#REF!</v>
      </c>
      <c r="L22" s="280" t="str">
        <f t="shared" si="8"/>
        <v>#REF!</v>
      </c>
      <c r="M22" s="155">
        <v>24.0</v>
      </c>
      <c r="N22" s="155">
        <v>36.0</v>
      </c>
      <c r="O22" s="281" t="str">
        <f t="shared" si="9"/>
        <v>#REF!</v>
      </c>
      <c r="P22" s="281" t="str">
        <f t="shared" si="10"/>
        <v>#REF!</v>
      </c>
      <c r="Q22" s="280" t="str">
        <f t="shared" si="11"/>
        <v>#REF!</v>
      </c>
      <c r="R22">
        <f t="shared" si="12"/>
        <v>2.383333333</v>
      </c>
      <c r="T22" t="str">
        <f t="shared" si="13"/>
        <v>#REF!</v>
      </c>
      <c r="U22" s="280" t="str">
        <f t="shared" si="14"/>
        <v>#REF!</v>
      </c>
    </row>
    <row r="23">
      <c r="A23" t="str">
        <f t="shared" ref="A23:F23" si="34">#REF!</f>
        <v>#REF!</v>
      </c>
      <c r="B23" t="str">
        <f t="shared" si="34"/>
        <v>#REF!</v>
      </c>
      <c r="C23" t="str">
        <f t="shared" si="34"/>
        <v>#REF!</v>
      </c>
      <c r="D23" t="str">
        <f t="shared" si="34"/>
        <v>#REF!</v>
      </c>
      <c r="E23" s="276" t="str">
        <f t="shared" si="34"/>
        <v>#REF!</v>
      </c>
      <c r="F23" s="277" t="str">
        <f t="shared" si="34"/>
        <v>#REF!</v>
      </c>
      <c r="G23" t="str">
        <f t="shared" si="3"/>
        <v>#REF!</v>
      </c>
      <c r="H23" s="278" t="str">
        <f t="shared" si="4"/>
        <v>#REF!</v>
      </c>
      <c r="I23" s="278" t="str">
        <f t="shared" si="5"/>
        <v>#REF!</v>
      </c>
      <c r="J23" s="279" t="str">
        <f t="shared" si="6"/>
        <v>#REF!</v>
      </c>
      <c r="K23" s="280" t="str">
        <f t="shared" si="7"/>
        <v>#REF!</v>
      </c>
      <c r="L23" s="280" t="str">
        <f t="shared" si="8"/>
        <v>#REF!</v>
      </c>
      <c r="M23" s="155">
        <v>24.0</v>
      </c>
      <c r="N23" s="155">
        <v>36.0</v>
      </c>
      <c r="O23" s="281" t="str">
        <f t="shared" si="9"/>
        <v>#REF!</v>
      </c>
      <c r="P23" s="281" t="str">
        <f t="shared" si="10"/>
        <v>#REF!</v>
      </c>
      <c r="Q23" s="280" t="str">
        <f t="shared" si="11"/>
        <v>#REF!</v>
      </c>
      <c r="R23">
        <f t="shared" si="12"/>
        <v>2.383333333</v>
      </c>
      <c r="T23" t="str">
        <f t="shared" si="13"/>
        <v>#REF!</v>
      </c>
      <c r="U23" s="280" t="str">
        <f t="shared" si="14"/>
        <v>#REF!</v>
      </c>
    </row>
    <row r="24">
      <c r="A24" t="str">
        <f t="shared" ref="A24:F24" si="35">#REF!</f>
        <v>#REF!</v>
      </c>
      <c r="B24" t="str">
        <f t="shared" si="35"/>
        <v>#REF!</v>
      </c>
      <c r="C24" t="str">
        <f t="shared" si="35"/>
        <v>#REF!</v>
      </c>
      <c r="D24" t="str">
        <f t="shared" si="35"/>
        <v>#REF!</v>
      </c>
      <c r="E24" s="276" t="str">
        <f t="shared" si="35"/>
        <v>#REF!</v>
      </c>
      <c r="F24" s="277" t="str">
        <f t="shared" si="35"/>
        <v>#REF!</v>
      </c>
      <c r="G24" t="str">
        <f t="shared" si="3"/>
        <v>#REF!</v>
      </c>
      <c r="H24" s="278" t="str">
        <f t="shared" si="4"/>
        <v>#REF!</v>
      </c>
      <c r="I24" s="278" t="str">
        <f t="shared" si="5"/>
        <v>#REF!</v>
      </c>
      <c r="J24" s="279" t="str">
        <f t="shared" si="6"/>
        <v>#REF!</v>
      </c>
      <c r="K24" s="280" t="str">
        <f t="shared" si="7"/>
        <v>#REF!</v>
      </c>
      <c r="L24" s="280" t="str">
        <f t="shared" si="8"/>
        <v>#REF!</v>
      </c>
      <c r="M24" s="155">
        <v>24.0</v>
      </c>
      <c r="N24" s="155">
        <v>36.0</v>
      </c>
      <c r="O24" s="281" t="str">
        <f t="shared" si="9"/>
        <v>#REF!</v>
      </c>
      <c r="P24" s="281" t="str">
        <f t="shared" si="10"/>
        <v>#REF!</v>
      </c>
      <c r="Q24" s="280" t="str">
        <f t="shared" si="11"/>
        <v>#REF!</v>
      </c>
      <c r="R24">
        <f t="shared" si="12"/>
        <v>2.383333333</v>
      </c>
      <c r="T24" t="str">
        <f t="shared" si="13"/>
        <v>#REF!</v>
      </c>
      <c r="U24" s="280" t="str">
        <f t="shared" si="14"/>
        <v>#REF!</v>
      </c>
    </row>
    <row r="25">
      <c r="A25" t="str">
        <f t="shared" ref="A25:F25" si="36">#REF!</f>
        <v>#REF!</v>
      </c>
      <c r="B25" t="str">
        <f t="shared" si="36"/>
        <v>#REF!</v>
      </c>
      <c r="C25" t="str">
        <f t="shared" si="36"/>
        <v>#REF!</v>
      </c>
      <c r="D25" t="str">
        <f t="shared" si="36"/>
        <v>#REF!</v>
      </c>
      <c r="E25" s="276" t="str">
        <f t="shared" si="36"/>
        <v>#REF!</v>
      </c>
      <c r="F25" s="277" t="str">
        <f t="shared" si="36"/>
        <v>#REF!</v>
      </c>
      <c r="G25" t="str">
        <f t="shared" si="3"/>
        <v>#REF!</v>
      </c>
      <c r="H25" s="278" t="str">
        <f t="shared" si="4"/>
        <v>#REF!</v>
      </c>
      <c r="I25" s="278" t="str">
        <f t="shared" si="5"/>
        <v>#REF!</v>
      </c>
      <c r="J25" s="279" t="str">
        <f t="shared" si="6"/>
        <v>#REF!</v>
      </c>
      <c r="K25" s="280" t="str">
        <f t="shared" si="7"/>
        <v>#REF!</v>
      </c>
      <c r="L25" s="280" t="str">
        <f t="shared" si="8"/>
        <v>#REF!</v>
      </c>
      <c r="M25" s="155">
        <v>24.0</v>
      </c>
      <c r="N25" s="155">
        <v>36.0</v>
      </c>
      <c r="O25" s="281" t="str">
        <f t="shared" si="9"/>
        <v>#REF!</v>
      </c>
      <c r="P25" s="281" t="str">
        <f t="shared" si="10"/>
        <v>#REF!</v>
      </c>
      <c r="Q25" s="280" t="str">
        <f t="shared" si="11"/>
        <v>#REF!</v>
      </c>
      <c r="R25">
        <f t="shared" si="12"/>
        <v>2.383333333</v>
      </c>
      <c r="T25" t="str">
        <f t="shared" si="13"/>
        <v>#REF!</v>
      </c>
      <c r="U25" s="280" t="str">
        <f t="shared" si="14"/>
        <v>#REF!</v>
      </c>
    </row>
    <row r="26">
      <c r="A26" t="str">
        <f t="shared" ref="A26:F26" si="37">#REF!</f>
        <v>#REF!</v>
      </c>
      <c r="B26" t="str">
        <f t="shared" si="37"/>
        <v>#REF!</v>
      </c>
      <c r="C26" t="str">
        <f t="shared" si="37"/>
        <v>#REF!</v>
      </c>
      <c r="D26" t="str">
        <f t="shared" si="37"/>
        <v>#REF!</v>
      </c>
      <c r="E26" s="276" t="str">
        <f t="shared" si="37"/>
        <v>#REF!</v>
      </c>
      <c r="F26" s="277" t="str">
        <f t="shared" si="37"/>
        <v>#REF!</v>
      </c>
      <c r="G26" t="str">
        <f t="shared" si="3"/>
        <v>#REF!</v>
      </c>
      <c r="H26" s="278" t="str">
        <f t="shared" si="4"/>
        <v>#REF!</v>
      </c>
      <c r="I26" s="278" t="str">
        <f t="shared" si="5"/>
        <v>#REF!</v>
      </c>
      <c r="J26" s="279" t="str">
        <f t="shared" si="6"/>
        <v>#REF!</v>
      </c>
      <c r="K26" s="280" t="str">
        <f t="shared" si="7"/>
        <v>#REF!</v>
      </c>
      <c r="L26" s="280" t="str">
        <f t="shared" si="8"/>
        <v>#REF!</v>
      </c>
      <c r="M26" s="155">
        <v>24.0</v>
      </c>
      <c r="N26" s="155">
        <v>36.0</v>
      </c>
      <c r="O26" s="281" t="str">
        <f t="shared" si="9"/>
        <v>#REF!</v>
      </c>
      <c r="P26" s="281" t="str">
        <f t="shared" si="10"/>
        <v>#REF!</v>
      </c>
      <c r="Q26" s="280" t="str">
        <f t="shared" si="11"/>
        <v>#REF!</v>
      </c>
      <c r="R26">
        <f t="shared" si="12"/>
        <v>2.383333333</v>
      </c>
      <c r="T26" t="str">
        <f t="shared" si="13"/>
        <v>#REF!</v>
      </c>
      <c r="U26" s="280" t="str">
        <f t="shared" si="14"/>
        <v>#REF!</v>
      </c>
    </row>
    <row r="27">
      <c r="A27" t="str">
        <f t="shared" ref="A27:F27" si="38">#REF!</f>
        <v>#REF!</v>
      </c>
      <c r="B27" t="str">
        <f t="shared" si="38"/>
        <v>#REF!</v>
      </c>
      <c r="C27" t="str">
        <f t="shared" si="38"/>
        <v>#REF!</v>
      </c>
      <c r="D27" t="str">
        <f t="shared" si="38"/>
        <v>#REF!</v>
      </c>
      <c r="E27" s="276" t="str">
        <f t="shared" si="38"/>
        <v>#REF!</v>
      </c>
      <c r="F27" s="277" t="str">
        <f t="shared" si="38"/>
        <v>#REF!</v>
      </c>
      <c r="G27" t="str">
        <f t="shared" si="3"/>
        <v>#REF!</v>
      </c>
      <c r="H27" s="278" t="str">
        <f t="shared" si="4"/>
        <v>#REF!</v>
      </c>
      <c r="I27" s="278" t="str">
        <f t="shared" si="5"/>
        <v>#REF!</v>
      </c>
      <c r="J27" s="279" t="str">
        <f t="shared" si="6"/>
        <v>#REF!</v>
      </c>
      <c r="K27" s="280" t="str">
        <f t="shared" si="7"/>
        <v>#REF!</v>
      </c>
      <c r="L27" s="280" t="str">
        <f t="shared" si="8"/>
        <v>#REF!</v>
      </c>
      <c r="M27" s="155">
        <v>24.0</v>
      </c>
      <c r="N27" s="155">
        <v>36.0</v>
      </c>
      <c r="O27" s="281" t="str">
        <f t="shared" si="9"/>
        <v>#REF!</v>
      </c>
      <c r="P27" s="281" t="str">
        <f t="shared" si="10"/>
        <v>#REF!</v>
      </c>
      <c r="Q27" s="280" t="str">
        <f t="shared" si="11"/>
        <v>#REF!</v>
      </c>
      <c r="R27">
        <f t="shared" si="12"/>
        <v>2.383333333</v>
      </c>
      <c r="T27" t="str">
        <f t="shared" si="13"/>
        <v>#REF!</v>
      </c>
      <c r="U27" s="280" t="str">
        <f t="shared" si="14"/>
        <v>#REF!</v>
      </c>
    </row>
    <row r="28">
      <c r="A28" t="str">
        <f t="shared" ref="A28:F28" si="39">#REF!</f>
        <v>#REF!</v>
      </c>
      <c r="B28" t="str">
        <f t="shared" si="39"/>
        <v>#REF!</v>
      </c>
      <c r="C28" t="str">
        <f t="shared" si="39"/>
        <v>#REF!</v>
      </c>
      <c r="D28" t="str">
        <f t="shared" si="39"/>
        <v>#REF!</v>
      </c>
      <c r="E28" s="276" t="str">
        <f t="shared" si="39"/>
        <v>#REF!</v>
      </c>
      <c r="F28" s="277" t="str">
        <f t="shared" si="39"/>
        <v>#REF!</v>
      </c>
      <c r="G28" t="str">
        <f t="shared" si="3"/>
        <v>#REF!</v>
      </c>
      <c r="H28" s="278" t="str">
        <f t="shared" si="4"/>
        <v>#REF!</v>
      </c>
      <c r="I28" s="278" t="str">
        <f t="shared" si="5"/>
        <v>#REF!</v>
      </c>
      <c r="J28" s="279" t="str">
        <f t="shared" si="6"/>
        <v>#REF!</v>
      </c>
      <c r="K28" s="280" t="str">
        <f t="shared" si="7"/>
        <v>#REF!</v>
      </c>
      <c r="L28" s="280" t="str">
        <f t="shared" si="8"/>
        <v>#REF!</v>
      </c>
      <c r="M28" s="155">
        <v>24.0</v>
      </c>
      <c r="N28" s="155">
        <v>36.0</v>
      </c>
      <c r="O28" s="281" t="str">
        <f t="shared" si="9"/>
        <v>#REF!</v>
      </c>
      <c r="P28" s="281" t="str">
        <f t="shared" si="10"/>
        <v>#REF!</v>
      </c>
      <c r="Q28" s="280" t="str">
        <f t="shared" si="11"/>
        <v>#REF!</v>
      </c>
      <c r="R28">
        <f t="shared" si="12"/>
        <v>2.383333333</v>
      </c>
      <c r="T28" t="str">
        <f t="shared" si="13"/>
        <v>#REF!</v>
      </c>
      <c r="U28" s="280" t="str">
        <f t="shared" si="14"/>
        <v>#REF!</v>
      </c>
    </row>
    <row r="29">
      <c r="A29" t="str">
        <f t="shared" ref="A29:F29" si="40">#REF!</f>
        <v>#REF!</v>
      </c>
      <c r="B29" t="str">
        <f t="shared" si="40"/>
        <v>#REF!</v>
      </c>
      <c r="C29" t="str">
        <f t="shared" si="40"/>
        <v>#REF!</v>
      </c>
      <c r="D29" t="str">
        <f t="shared" si="40"/>
        <v>#REF!</v>
      </c>
      <c r="E29" s="276" t="str">
        <f t="shared" si="40"/>
        <v>#REF!</v>
      </c>
      <c r="F29" s="277" t="str">
        <f t="shared" si="40"/>
        <v>#REF!</v>
      </c>
      <c r="G29" t="str">
        <f t="shared" si="3"/>
        <v>#REF!</v>
      </c>
      <c r="H29" s="278" t="str">
        <f t="shared" si="4"/>
        <v>#REF!</v>
      </c>
      <c r="I29" s="278" t="str">
        <f t="shared" si="5"/>
        <v>#REF!</v>
      </c>
      <c r="J29" s="279" t="str">
        <f t="shared" si="6"/>
        <v>#REF!</v>
      </c>
      <c r="K29" s="280" t="str">
        <f t="shared" si="7"/>
        <v>#REF!</v>
      </c>
      <c r="L29" s="280" t="str">
        <f t="shared" si="8"/>
        <v>#REF!</v>
      </c>
      <c r="M29" s="155">
        <v>24.0</v>
      </c>
      <c r="N29" s="155">
        <v>36.0</v>
      </c>
      <c r="O29" s="281" t="str">
        <f t="shared" si="9"/>
        <v>#REF!</v>
      </c>
      <c r="P29" s="281" t="str">
        <f t="shared" si="10"/>
        <v>#REF!</v>
      </c>
      <c r="Q29" s="280" t="str">
        <f t="shared" si="11"/>
        <v>#REF!</v>
      </c>
      <c r="R29">
        <f t="shared" si="12"/>
        <v>2.383333333</v>
      </c>
      <c r="T29" t="str">
        <f t="shared" si="13"/>
        <v>#REF!</v>
      </c>
      <c r="U29" s="280" t="str">
        <f t="shared" si="14"/>
        <v>#REF!</v>
      </c>
    </row>
    <row r="30">
      <c r="A30" t="str">
        <f t="shared" ref="A30:F30" si="41">#REF!</f>
        <v>#REF!</v>
      </c>
      <c r="B30" t="str">
        <f t="shared" si="41"/>
        <v>#REF!</v>
      </c>
      <c r="C30" t="str">
        <f t="shared" si="41"/>
        <v>#REF!</v>
      </c>
      <c r="D30" t="str">
        <f t="shared" si="41"/>
        <v>#REF!</v>
      </c>
      <c r="E30" s="276" t="str">
        <f t="shared" si="41"/>
        <v>#REF!</v>
      </c>
      <c r="F30" s="277" t="str">
        <f t="shared" si="41"/>
        <v>#REF!</v>
      </c>
      <c r="G30" t="str">
        <f t="shared" si="3"/>
        <v>#REF!</v>
      </c>
      <c r="H30" s="278" t="str">
        <f t="shared" si="4"/>
        <v>#REF!</v>
      </c>
      <c r="I30" s="278" t="str">
        <f t="shared" si="5"/>
        <v>#REF!</v>
      </c>
      <c r="J30" s="279" t="str">
        <f t="shared" si="6"/>
        <v>#REF!</v>
      </c>
      <c r="K30" s="280" t="str">
        <f t="shared" si="7"/>
        <v>#REF!</v>
      </c>
      <c r="L30" s="280" t="str">
        <f t="shared" si="8"/>
        <v>#REF!</v>
      </c>
      <c r="M30" s="155">
        <v>24.0</v>
      </c>
      <c r="N30" s="155">
        <v>36.0</v>
      </c>
      <c r="O30" s="281" t="str">
        <f t="shared" si="9"/>
        <v>#REF!</v>
      </c>
      <c r="P30" s="281" t="str">
        <f t="shared" si="10"/>
        <v>#REF!</v>
      </c>
      <c r="Q30" s="280" t="str">
        <f t="shared" si="11"/>
        <v>#REF!</v>
      </c>
      <c r="R30">
        <f t="shared" si="12"/>
        <v>2.383333333</v>
      </c>
      <c r="T30" t="str">
        <f t="shared" si="13"/>
        <v>#REF!</v>
      </c>
      <c r="U30" s="280" t="str">
        <f t="shared" si="14"/>
        <v>#REF!</v>
      </c>
    </row>
    <row r="31">
      <c r="A31" t="str">
        <f t="shared" ref="A31:F31" si="42">#REF!</f>
        <v>#REF!</v>
      </c>
      <c r="B31" t="str">
        <f t="shared" si="42"/>
        <v>#REF!</v>
      </c>
      <c r="C31" t="str">
        <f t="shared" si="42"/>
        <v>#REF!</v>
      </c>
      <c r="D31" t="str">
        <f t="shared" si="42"/>
        <v>#REF!</v>
      </c>
      <c r="E31" s="276" t="str">
        <f t="shared" si="42"/>
        <v>#REF!</v>
      </c>
      <c r="F31" s="277" t="str">
        <f t="shared" si="42"/>
        <v>#REF!</v>
      </c>
      <c r="G31" t="str">
        <f t="shared" si="3"/>
        <v>#REF!</v>
      </c>
      <c r="H31" s="278" t="str">
        <f t="shared" si="4"/>
        <v>#REF!</v>
      </c>
      <c r="I31" s="278" t="str">
        <f t="shared" si="5"/>
        <v>#REF!</v>
      </c>
      <c r="J31" s="279" t="str">
        <f t="shared" si="6"/>
        <v>#REF!</v>
      </c>
      <c r="K31" s="280" t="str">
        <f t="shared" si="7"/>
        <v>#REF!</v>
      </c>
      <c r="L31" s="280" t="str">
        <f t="shared" si="8"/>
        <v>#REF!</v>
      </c>
      <c r="M31" s="155">
        <v>24.0</v>
      </c>
      <c r="N31" s="155">
        <v>36.0</v>
      </c>
      <c r="O31" s="281" t="str">
        <f t="shared" si="9"/>
        <v>#REF!</v>
      </c>
      <c r="P31" s="281" t="str">
        <f t="shared" si="10"/>
        <v>#REF!</v>
      </c>
      <c r="Q31" s="280" t="str">
        <f t="shared" si="11"/>
        <v>#REF!</v>
      </c>
      <c r="R31">
        <f t="shared" si="12"/>
        <v>2.383333333</v>
      </c>
      <c r="T31" t="str">
        <f t="shared" si="13"/>
        <v>#REF!</v>
      </c>
      <c r="U31" s="280" t="str">
        <f t="shared" si="14"/>
        <v>#REF!</v>
      </c>
    </row>
    <row r="32">
      <c r="A32" t="str">
        <f t="shared" ref="A32:F32" si="43">#REF!</f>
        <v>#REF!</v>
      </c>
      <c r="B32" t="str">
        <f t="shared" si="43"/>
        <v>#REF!</v>
      </c>
      <c r="C32" t="str">
        <f t="shared" si="43"/>
        <v>#REF!</v>
      </c>
      <c r="D32" t="str">
        <f t="shared" si="43"/>
        <v>#REF!</v>
      </c>
      <c r="E32" s="276" t="str">
        <f t="shared" si="43"/>
        <v>#REF!</v>
      </c>
      <c r="F32" s="277" t="str">
        <f t="shared" si="43"/>
        <v>#REF!</v>
      </c>
      <c r="G32" t="str">
        <f t="shared" si="3"/>
        <v>#REF!</v>
      </c>
      <c r="H32" s="278" t="str">
        <f t="shared" si="4"/>
        <v>#REF!</v>
      </c>
      <c r="I32" s="278" t="str">
        <f t="shared" si="5"/>
        <v>#REF!</v>
      </c>
      <c r="J32" s="279" t="str">
        <f t="shared" si="6"/>
        <v>#REF!</v>
      </c>
      <c r="K32" s="280" t="str">
        <f t="shared" si="7"/>
        <v>#REF!</v>
      </c>
      <c r="L32" s="280" t="str">
        <f t="shared" si="8"/>
        <v>#REF!</v>
      </c>
      <c r="M32" s="155">
        <v>24.0</v>
      </c>
      <c r="N32" s="155">
        <v>36.0</v>
      </c>
      <c r="O32" s="281" t="str">
        <f t="shared" si="9"/>
        <v>#REF!</v>
      </c>
      <c r="P32" s="281" t="str">
        <f t="shared" si="10"/>
        <v>#REF!</v>
      </c>
      <c r="Q32" s="280" t="str">
        <f t="shared" si="11"/>
        <v>#REF!</v>
      </c>
      <c r="R32">
        <f t="shared" si="12"/>
        <v>2.383333333</v>
      </c>
      <c r="T32" t="str">
        <f t="shared" si="13"/>
        <v>#REF!</v>
      </c>
      <c r="U32" s="280" t="str">
        <f t="shared" si="14"/>
        <v>#REF!</v>
      </c>
    </row>
    <row r="33">
      <c r="A33" t="str">
        <f t="shared" ref="A33:F33" si="44">#REF!</f>
        <v>#REF!</v>
      </c>
      <c r="B33" t="str">
        <f t="shared" si="44"/>
        <v>#REF!</v>
      </c>
      <c r="C33" t="str">
        <f t="shared" si="44"/>
        <v>#REF!</v>
      </c>
      <c r="D33" t="str">
        <f t="shared" si="44"/>
        <v>#REF!</v>
      </c>
      <c r="E33" s="276" t="str">
        <f t="shared" si="44"/>
        <v>#REF!</v>
      </c>
      <c r="F33" s="277" t="str">
        <f t="shared" si="44"/>
        <v>#REF!</v>
      </c>
      <c r="G33" t="str">
        <f t="shared" si="3"/>
        <v>#REF!</v>
      </c>
      <c r="H33" s="278" t="str">
        <f t="shared" si="4"/>
        <v>#REF!</v>
      </c>
      <c r="I33" s="278" t="str">
        <f t="shared" si="5"/>
        <v>#REF!</v>
      </c>
      <c r="J33" s="279" t="str">
        <f t="shared" si="6"/>
        <v>#REF!</v>
      </c>
      <c r="K33" s="280" t="str">
        <f t="shared" si="7"/>
        <v>#REF!</v>
      </c>
      <c r="L33" s="280" t="str">
        <f t="shared" si="8"/>
        <v>#REF!</v>
      </c>
      <c r="M33" s="155">
        <v>24.0</v>
      </c>
      <c r="N33" s="155">
        <v>36.0</v>
      </c>
      <c r="O33" s="281" t="str">
        <f t="shared" si="9"/>
        <v>#REF!</v>
      </c>
      <c r="P33" s="281" t="str">
        <f t="shared" si="10"/>
        <v>#REF!</v>
      </c>
      <c r="Q33" s="280" t="str">
        <f t="shared" si="11"/>
        <v>#REF!</v>
      </c>
      <c r="R33">
        <f t="shared" si="12"/>
        <v>2.383333333</v>
      </c>
      <c r="T33" t="str">
        <f t="shared" si="13"/>
        <v>#REF!</v>
      </c>
      <c r="U33" s="280" t="str">
        <f t="shared" si="14"/>
        <v>#REF!</v>
      </c>
    </row>
    <row r="34">
      <c r="A34" t="str">
        <f t="shared" ref="A34:F34" si="45">#REF!</f>
        <v>#REF!</v>
      </c>
      <c r="B34" t="str">
        <f t="shared" si="45"/>
        <v>#REF!</v>
      </c>
      <c r="C34" t="str">
        <f t="shared" si="45"/>
        <v>#REF!</v>
      </c>
      <c r="D34" t="str">
        <f t="shared" si="45"/>
        <v>#REF!</v>
      </c>
      <c r="E34" s="276" t="str">
        <f t="shared" si="45"/>
        <v>#REF!</v>
      </c>
      <c r="F34" s="277" t="str">
        <f t="shared" si="45"/>
        <v>#REF!</v>
      </c>
      <c r="G34" t="str">
        <f t="shared" si="3"/>
        <v>#REF!</v>
      </c>
      <c r="H34" s="278" t="str">
        <f t="shared" si="4"/>
        <v>#REF!</v>
      </c>
      <c r="I34" s="278" t="str">
        <f t="shared" si="5"/>
        <v>#REF!</v>
      </c>
      <c r="J34" s="279" t="str">
        <f t="shared" si="6"/>
        <v>#REF!</v>
      </c>
      <c r="K34" s="280" t="str">
        <f t="shared" si="7"/>
        <v>#REF!</v>
      </c>
      <c r="L34" s="280" t="str">
        <f t="shared" si="8"/>
        <v>#REF!</v>
      </c>
      <c r="M34" s="155">
        <v>24.0</v>
      </c>
      <c r="N34" s="155">
        <v>36.0</v>
      </c>
      <c r="O34" s="281" t="str">
        <f t="shared" si="9"/>
        <v>#REF!</v>
      </c>
      <c r="P34" s="281" t="str">
        <f t="shared" si="10"/>
        <v>#REF!</v>
      </c>
      <c r="Q34" s="280" t="str">
        <f t="shared" si="11"/>
        <v>#REF!</v>
      </c>
      <c r="R34">
        <f t="shared" si="12"/>
        <v>2.383333333</v>
      </c>
      <c r="T34" t="str">
        <f t="shared" si="13"/>
        <v>#REF!</v>
      </c>
      <c r="U34" s="280" t="str">
        <f t="shared" si="14"/>
        <v>#REF!</v>
      </c>
    </row>
    <row r="35">
      <c r="A35" t="str">
        <f t="shared" ref="A35:F35" si="46">#REF!</f>
        <v>#REF!</v>
      </c>
      <c r="B35" t="str">
        <f t="shared" si="46"/>
        <v>#REF!</v>
      </c>
      <c r="C35" t="str">
        <f t="shared" si="46"/>
        <v>#REF!</v>
      </c>
      <c r="D35" t="str">
        <f t="shared" si="46"/>
        <v>#REF!</v>
      </c>
      <c r="E35" s="276" t="str">
        <f t="shared" si="46"/>
        <v>#REF!</v>
      </c>
      <c r="F35" s="277" t="str">
        <f t="shared" si="46"/>
        <v>#REF!</v>
      </c>
      <c r="G35" t="str">
        <f t="shared" si="3"/>
        <v>#REF!</v>
      </c>
      <c r="H35" s="278" t="str">
        <f t="shared" si="4"/>
        <v>#REF!</v>
      </c>
      <c r="I35" s="278" t="str">
        <f t="shared" si="5"/>
        <v>#REF!</v>
      </c>
      <c r="J35" s="279" t="str">
        <f t="shared" si="6"/>
        <v>#REF!</v>
      </c>
      <c r="K35" s="280" t="str">
        <f t="shared" si="7"/>
        <v>#REF!</v>
      </c>
      <c r="L35" s="280" t="str">
        <f t="shared" si="8"/>
        <v>#REF!</v>
      </c>
      <c r="M35" s="155">
        <v>24.0</v>
      </c>
      <c r="N35" s="155">
        <v>36.0</v>
      </c>
      <c r="O35" s="281" t="str">
        <f t="shared" si="9"/>
        <v>#REF!</v>
      </c>
      <c r="P35" s="281" t="str">
        <f t="shared" si="10"/>
        <v>#REF!</v>
      </c>
      <c r="Q35" s="280" t="str">
        <f t="shared" si="11"/>
        <v>#REF!</v>
      </c>
      <c r="R35">
        <f t="shared" si="12"/>
        <v>2.383333333</v>
      </c>
      <c r="T35" t="str">
        <f t="shared" si="13"/>
        <v>#REF!</v>
      </c>
      <c r="U35" s="280" t="str">
        <f t="shared" si="14"/>
        <v>#REF!</v>
      </c>
    </row>
    <row r="36">
      <c r="A36" t="str">
        <f t="shared" ref="A36:F36" si="47">#REF!</f>
        <v>#REF!</v>
      </c>
      <c r="B36" t="str">
        <f t="shared" si="47"/>
        <v>#REF!</v>
      </c>
      <c r="C36" t="str">
        <f t="shared" si="47"/>
        <v>#REF!</v>
      </c>
      <c r="D36" t="str">
        <f t="shared" si="47"/>
        <v>#REF!</v>
      </c>
      <c r="E36" s="276" t="str">
        <f t="shared" si="47"/>
        <v>#REF!</v>
      </c>
      <c r="F36" s="277" t="str">
        <f t="shared" si="47"/>
        <v>#REF!</v>
      </c>
      <c r="G36" t="str">
        <f t="shared" si="3"/>
        <v>#REF!</v>
      </c>
      <c r="H36" s="278" t="str">
        <f t="shared" si="4"/>
        <v>#REF!</v>
      </c>
      <c r="I36" s="278" t="str">
        <f t="shared" si="5"/>
        <v>#REF!</v>
      </c>
      <c r="J36" s="279" t="str">
        <f t="shared" si="6"/>
        <v>#REF!</v>
      </c>
      <c r="K36" s="280" t="str">
        <f t="shared" si="7"/>
        <v>#REF!</v>
      </c>
      <c r="L36" s="280" t="str">
        <f t="shared" si="8"/>
        <v>#REF!</v>
      </c>
      <c r="M36" s="155">
        <v>24.0</v>
      </c>
      <c r="N36" s="155">
        <v>36.0</v>
      </c>
      <c r="O36" s="281" t="str">
        <f t="shared" si="9"/>
        <v>#REF!</v>
      </c>
      <c r="P36" s="281" t="str">
        <f t="shared" si="10"/>
        <v>#REF!</v>
      </c>
      <c r="Q36" s="280" t="str">
        <f t="shared" si="11"/>
        <v>#REF!</v>
      </c>
      <c r="R36">
        <f t="shared" si="12"/>
        <v>2.383333333</v>
      </c>
      <c r="T36" t="str">
        <f t="shared" si="13"/>
        <v>#REF!</v>
      </c>
      <c r="U36" s="280" t="str">
        <f t="shared" si="14"/>
        <v>#REF!</v>
      </c>
    </row>
    <row r="37">
      <c r="A37" t="str">
        <f t="shared" ref="A37:F37" si="48">#REF!</f>
        <v>#REF!</v>
      </c>
      <c r="B37" t="str">
        <f t="shared" si="48"/>
        <v>#REF!</v>
      </c>
      <c r="C37" t="str">
        <f t="shared" si="48"/>
        <v>#REF!</v>
      </c>
      <c r="D37" t="str">
        <f t="shared" si="48"/>
        <v>#REF!</v>
      </c>
      <c r="E37" s="276" t="str">
        <f t="shared" si="48"/>
        <v>#REF!</v>
      </c>
      <c r="F37" s="277" t="str">
        <f t="shared" si="48"/>
        <v>#REF!</v>
      </c>
      <c r="G37" t="str">
        <f t="shared" si="3"/>
        <v>#REF!</v>
      </c>
      <c r="H37" s="278" t="str">
        <f t="shared" si="4"/>
        <v>#REF!</v>
      </c>
      <c r="I37" s="278" t="str">
        <f t="shared" si="5"/>
        <v>#REF!</v>
      </c>
      <c r="J37" s="279" t="str">
        <f t="shared" si="6"/>
        <v>#REF!</v>
      </c>
      <c r="K37" s="280" t="str">
        <f t="shared" si="7"/>
        <v>#REF!</v>
      </c>
      <c r="L37" s="280" t="str">
        <f t="shared" si="8"/>
        <v>#REF!</v>
      </c>
      <c r="M37" s="155">
        <v>24.0</v>
      </c>
      <c r="N37" s="155">
        <v>36.0</v>
      </c>
      <c r="O37" s="281" t="str">
        <f t="shared" si="9"/>
        <v>#REF!</v>
      </c>
      <c r="P37" s="281" t="str">
        <f t="shared" si="10"/>
        <v>#REF!</v>
      </c>
      <c r="Q37" s="280" t="str">
        <f t="shared" si="11"/>
        <v>#REF!</v>
      </c>
      <c r="R37">
        <f t="shared" si="12"/>
        <v>2.383333333</v>
      </c>
      <c r="T37" t="str">
        <f t="shared" si="13"/>
        <v>#REF!</v>
      </c>
      <c r="U37" s="280" t="str">
        <f t="shared" si="14"/>
        <v>#REF!</v>
      </c>
    </row>
    <row r="38">
      <c r="A38" t="str">
        <f t="shared" ref="A38:F38" si="49">#REF!</f>
        <v>#REF!</v>
      </c>
      <c r="B38" t="str">
        <f t="shared" si="49"/>
        <v>#REF!</v>
      </c>
      <c r="C38" t="str">
        <f t="shared" si="49"/>
        <v>#REF!</v>
      </c>
      <c r="D38" t="str">
        <f t="shared" si="49"/>
        <v>#REF!</v>
      </c>
      <c r="E38" s="276" t="str">
        <f t="shared" si="49"/>
        <v>#REF!</v>
      </c>
      <c r="F38" s="277" t="str">
        <f t="shared" si="49"/>
        <v>#REF!</v>
      </c>
      <c r="G38" t="str">
        <f t="shared" si="3"/>
        <v>#REF!</v>
      </c>
      <c r="H38" s="278" t="str">
        <f t="shared" si="4"/>
        <v>#REF!</v>
      </c>
      <c r="I38" s="278" t="str">
        <f t="shared" si="5"/>
        <v>#REF!</v>
      </c>
      <c r="J38" s="279" t="str">
        <f t="shared" si="6"/>
        <v>#REF!</v>
      </c>
      <c r="K38" s="280" t="str">
        <f t="shared" si="7"/>
        <v>#REF!</v>
      </c>
      <c r="L38" s="280" t="str">
        <f t="shared" si="8"/>
        <v>#REF!</v>
      </c>
      <c r="M38" s="155">
        <v>24.0</v>
      </c>
      <c r="N38" s="155">
        <v>36.0</v>
      </c>
      <c r="O38" s="281" t="str">
        <f t="shared" si="9"/>
        <v>#REF!</v>
      </c>
      <c r="P38" s="281" t="str">
        <f t="shared" si="10"/>
        <v>#REF!</v>
      </c>
      <c r="Q38" s="280" t="str">
        <f t="shared" si="11"/>
        <v>#REF!</v>
      </c>
      <c r="R38">
        <f t="shared" si="12"/>
        <v>2.383333333</v>
      </c>
      <c r="T38" t="str">
        <f t="shared" si="13"/>
        <v>#REF!</v>
      </c>
      <c r="U38" s="280" t="str">
        <f t="shared" si="14"/>
        <v>#REF!</v>
      </c>
    </row>
    <row r="39">
      <c r="A39" t="str">
        <f t="shared" ref="A39:F39" si="50">#REF!</f>
        <v>#REF!</v>
      </c>
      <c r="B39" t="str">
        <f t="shared" si="50"/>
        <v>#REF!</v>
      </c>
      <c r="C39" t="str">
        <f t="shared" si="50"/>
        <v>#REF!</v>
      </c>
      <c r="D39" t="str">
        <f t="shared" si="50"/>
        <v>#REF!</v>
      </c>
      <c r="E39" s="276" t="str">
        <f t="shared" si="50"/>
        <v>#REF!</v>
      </c>
      <c r="F39" s="277" t="str">
        <f t="shared" si="50"/>
        <v>#REF!</v>
      </c>
      <c r="G39" t="str">
        <f t="shared" si="3"/>
        <v>#REF!</v>
      </c>
      <c r="H39" s="278" t="str">
        <f t="shared" si="4"/>
        <v>#REF!</v>
      </c>
      <c r="I39" s="278" t="str">
        <f t="shared" si="5"/>
        <v>#REF!</v>
      </c>
      <c r="J39" s="279" t="str">
        <f t="shared" si="6"/>
        <v>#REF!</v>
      </c>
      <c r="K39" s="280" t="str">
        <f t="shared" si="7"/>
        <v>#REF!</v>
      </c>
      <c r="L39" s="280" t="str">
        <f t="shared" si="8"/>
        <v>#REF!</v>
      </c>
      <c r="M39" s="155">
        <v>24.0</v>
      </c>
      <c r="N39" s="155">
        <v>36.0</v>
      </c>
      <c r="O39" s="281" t="str">
        <f t="shared" si="9"/>
        <v>#REF!</v>
      </c>
      <c r="P39" s="281" t="str">
        <f t="shared" si="10"/>
        <v>#REF!</v>
      </c>
      <c r="Q39" s="280" t="str">
        <f t="shared" si="11"/>
        <v>#REF!</v>
      </c>
      <c r="R39">
        <f t="shared" si="12"/>
        <v>2.383333333</v>
      </c>
      <c r="T39" t="str">
        <f t="shared" si="13"/>
        <v>#REF!</v>
      </c>
      <c r="U39" s="280" t="str">
        <f t="shared" si="14"/>
        <v>#REF!</v>
      </c>
    </row>
    <row r="40">
      <c r="A40" t="str">
        <f t="shared" ref="A40:F40" si="51">#REF!</f>
        <v>#REF!</v>
      </c>
      <c r="B40" t="str">
        <f t="shared" si="51"/>
        <v>#REF!</v>
      </c>
      <c r="C40" t="str">
        <f t="shared" si="51"/>
        <v>#REF!</v>
      </c>
      <c r="D40" t="str">
        <f t="shared" si="51"/>
        <v>#REF!</v>
      </c>
      <c r="E40" s="276" t="str">
        <f t="shared" si="51"/>
        <v>#REF!</v>
      </c>
      <c r="F40" s="277" t="str">
        <f t="shared" si="51"/>
        <v>#REF!</v>
      </c>
      <c r="G40" t="str">
        <f t="shared" si="3"/>
        <v>#REF!</v>
      </c>
      <c r="H40" s="278" t="str">
        <f t="shared" si="4"/>
        <v>#REF!</v>
      </c>
      <c r="I40" s="278" t="str">
        <f t="shared" si="5"/>
        <v>#REF!</v>
      </c>
      <c r="J40" s="279" t="str">
        <f t="shared" si="6"/>
        <v>#REF!</v>
      </c>
      <c r="K40" s="280" t="str">
        <f t="shared" si="7"/>
        <v>#REF!</v>
      </c>
      <c r="L40" s="280" t="str">
        <f t="shared" si="8"/>
        <v>#REF!</v>
      </c>
      <c r="M40" s="155">
        <v>24.0</v>
      </c>
      <c r="N40" s="155">
        <v>36.0</v>
      </c>
      <c r="O40" s="281" t="str">
        <f t="shared" si="9"/>
        <v>#REF!</v>
      </c>
      <c r="P40" s="281" t="str">
        <f t="shared" si="10"/>
        <v>#REF!</v>
      </c>
      <c r="Q40" s="280" t="str">
        <f t="shared" si="11"/>
        <v>#REF!</v>
      </c>
      <c r="R40">
        <f t="shared" si="12"/>
        <v>2.383333333</v>
      </c>
      <c r="T40" t="str">
        <f t="shared" si="13"/>
        <v>#REF!</v>
      </c>
      <c r="U40" s="280" t="str">
        <f t="shared" si="14"/>
        <v>#REF!</v>
      </c>
    </row>
    <row r="41">
      <c r="A41" t="str">
        <f t="shared" ref="A41:F41" si="52">#REF!</f>
        <v>#REF!</v>
      </c>
      <c r="B41" t="str">
        <f t="shared" si="52"/>
        <v>#REF!</v>
      </c>
      <c r="C41" t="str">
        <f t="shared" si="52"/>
        <v>#REF!</v>
      </c>
      <c r="D41" t="str">
        <f t="shared" si="52"/>
        <v>#REF!</v>
      </c>
      <c r="E41" s="276" t="str">
        <f t="shared" si="52"/>
        <v>#REF!</v>
      </c>
      <c r="F41" s="277" t="str">
        <f t="shared" si="52"/>
        <v>#REF!</v>
      </c>
      <c r="G41" t="str">
        <f t="shared" si="3"/>
        <v>#REF!</v>
      </c>
      <c r="H41" s="278" t="str">
        <f t="shared" si="4"/>
        <v>#REF!</v>
      </c>
      <c r="I41" s="278" t="str">
        <f t="shared" si="5"/>
        <v>#REF!</v>
      </c>
      <c r="J41" s="279" t="str">
        <f t="shared" si="6"/>
        <v>#REF!</v>
      </c>
      <c r="K41" s="280" t="str">
        <f t="shared" si="7"/>
        <v>#REF!</v>
      </c>
      <c r="L41" s="280" t="str">
        <f t="shared" si="8"/>
        <v>#REF!</v>
      </c>
      <c r="M41" s="155">
        <v>24.0</v>
      </c>
      <c r="N41" s="155">
        <v>36.0</v>
      </c>
      <c r="O41" s="281" t="str">
        <f t="shared" si="9"/>
        <v>#REF!</v>
      </c>
      <c r="P41" s="281" t="str">
        <f t="shared" si="10"/>
        <v>#REF!</v>
      </c>
      <c r="Q41" s="280" t="str">
        <f t="shared" si="11"/>
        <v>#REF!</v>
      </c>
      <c r="R41">
        <f t="shared" si="12"/>
        <v>2.383333333</v>
      </c>
      <c r="T41" t="str">
        <f t="shared" si="13"/>
        <v>#REF!</v>
      </c>
      <c r="U41" s="280" t="str">
        <f t="shared" si="14"/>
        <v>#REF!</v>
      </c>
    </row>
    <row r="42">
      <c r="A42" t="str">
        <f t="shared" ref="A42:F42" si="53">#REF!</f>
        <v>#REF!</v>
      </c>
      <c r="B42" t="str">
        <f t="shared" si="53"/>
        <v>#REF!</v>
      </c>
      <c r="C42" t="str">
        <f t="shared" si="53"/>
        <v>#REF!</v>
      </c>
      <c r="D42" t="str">
        <f t="shared" si="53"/>
        <v>#REF!</v>
      </c>
      <c r="E42" s="276" t="str">
        <f t="shared" si="53"/>
        <v>#REF!</v>
      </c>
      <c r="F42" s="277" t="str">
        <f t="shared" si="53"/>
        <v>#REF!</v>
      </c>
      <c r="G42" t="str">
        <f t="shared" si="3"/>
        <v>#REF!</v>
      </c>
      <c r="H42" s="278" t="str">
        <f t="shared" si="4"/>
        <v>#REF!</v>
      </c>
      <c r="I42" s="278" t="str">
        <f t="shared" si="5"/>
        <v>#REF!</v>
      </c>
      <c r="J42" s="279" t="str">
        <f t="shared" si="6"/>
        <v>#REF!</v>
      </c>
      <c r="K42" s="280" t="str">
        <f t="shared" si="7"/>
        <v>#REF!</v>
      </c>
      <c r="L42" s="280" t="str">
        <f t="shared" si="8"/>
        <v>#REF!</v>
      </c>
      <c r="M42" s="155">
        <v>24.0</v>
      </c>
      <c r="N42" s="155">
        <v>36.0</v>
      </c>
      <c r="O42" s="281" t="str">
        <f t="shared" si="9"/>
        <v>#REF!</v>
      </c>
      <c r="P42" s="281" t="str">
        <f t="shared" si="10"/>
        <v>#REF!</v>
      </c>
      <c r="Q42" s="280" t="str">
        <f t="shared" si="11"/>
        <v>#REF!</v>
      </c>
      <c r="R42">
        <f t="shared" si="12"/>
        <v>2.383333333</v>
      </c>
      <c r="T42" t="str">
        <f t="shared" si="13"/>
        <v>#REF!</v>
      </c>
      <c r="U42" s="280" t="str">
        <f t="shared" si="14"/>
        <v>#REF!</v>
      </c>
    </row>
    <row r="43">
      <c r="A43" t="str">
        <f t="shared" ref="A43:F43" si="54">#REF!</f>
        <v>#REF!</v>
      </c>
      <c r="B43" t="str">
        <f t="shared" si="54"/>
        <v>#REF!</v>
      </c>
      <c r="C43" t="str">
        <f t="shared" si="54"/>
        <v>#REF!</v>
      </c>
      <c r="D43" t="str">
        <f t="shared" si="54"/>
        <v>#REF!</v>
      </c>
      <c r="E43" s="276" t="str">
        <f t="shared" si="54"/>
        <v>#REF!</v>
      </c>
      <c r="F43" s="277" t="str">
        <f t="shared" si="54"/>
        <v>#REF!</v>
      </c>
      <c r="G43" t="str">
        <f t="shared" si="3"/>
        <v>#REF!</v>
      </c>
      <c r="H43" s="278" t="str">
        <f t="shared" si="4"/>
        <v>#REF!</v>
      </c>
      <c r="I43" s="278" t="str">
        <f t="shared" si="5"/>
        <v>#REF!</v>
      </c>
      <c r="J43" s="279" t="str">
        <f t="shared" si="6"/>
        <v>#REF!</v>
      </c>
      <c r="K43" s="280" t="str">
        <f t="shared" si="7"/>
        <v>#REF!</v>
      </c>
      <c r="L43" s="280" t="str">
        <f t="shared" si="8"/>
        <v>#REF!</v>
      </c>
      <c r="M43" s="155">
        <v>24.0</v>
      </c>
      <c r="N43" s="155">
        <v>36.0</v>
      </c>
      <c r="O43" s="281" t="str">
        <f t="shared" si="9"/>
        <v>#REF!</v>
      </c>
      <c r="P43" s="281" t="str">
        <f t="shared" si="10"/>
        <v>#REF!</v>
      </c>
      <c r="Q43" s="280" t="str">
        <f t="shared" si="11"/>
        <v>#REF!</v>
      </c>
      <c r="R43">
        <f t="shared" si="12"/>
        <v>2.383333333</v>
      </c>
      <c r="T43" t="str">
        <f t="shared" si="13"/>
        <v>#REF!</v>
      </c>
      <c r="U43" s="280" t="str">
        <f t="shared" si="14"/>
        <v>#REF!</v>
      </c>
    </row>
    <row r="44">
      <c r="A44">
        <f>'Plan - NL'!B25</f>
        <v>19</v>
      </c>
      <c r="B44" t="str">
        <f>'Plan - NL'!E25</f>
        <v>September</v>
      </c>
      <c r="C44">
        <f>'Plan - NL'!D25</f>
        <v>5</v>
      </c>
      <c r="D44" t="str">
        <f>'Plan - NL'!C25</f>
        <v>Lørdag</v>
      </c>
      <c r="E44" s="276">
        <f>'Plan - NL'!F25</f>
        <v>0.5833333333</v>
      </c>
      <c r="F44" s="277" t="str">
        <f>'Plan - NL'!A25</f>
        <v>NL</v>
      </c>
      <c r="G44" t="str">
        <f t="shared" si="3"/>
        <v>5 September</v>
      </c>
      <c r="H44" s="278" t="str">
        <f>'Plan - NL'!Y25</f>
        <v/>
      </c>
      <c r="I44" s="278" t="str">
        <f t="shared" si="5"/>
        <v>#REF!</v>
      </c>
      <c r="J44" s="279">
        <f>'Plan - NL'!AK12</f>
        <v>0</v>
      </c>
      <c r="K44" s="280">
        <f t="shared" si="7"/>
        <v>0</v>
      </c>
      <c r="L44" s="280" t="str">
        <f t="shared" si="8"/>
        <v>#REF!</v>
      </c>
      <c r="M44" s="155">
        <v>24.0</v>
      </c>
      <c r="N44" s="155">
        <v>36.0</v>
      </c>
      <c r="O44" s="281" t="str">
        <f>'Plan - NL'!AD12</f>
        <v/>
      </c>
      <c r="P44" s="281" t="str">
        <f t="shared" si="10"/>
        <v/>
      </c>
      <c r="Q44" s="280">
        <f t="shared" si="11"/>
        <v>0</v>
      </c>
      <c r="R44">
        <f t="shared" si="12"/>
        <v>2.383333333</v>
      </c>
      <c r="T44">
        <f t="shared" si="13"/>
        <v>-0.5833333333</v>
      </c>
      <c r="U44" s="280" t="str">
        <f t="shared" si="14"/>
        <v>#NUM!</v>
      </c>
    </row>
    <row r="45">
      <c r="A45" t="str">
        <f t="shared" ref="A45:F45" si="55">#REF!</f>
        <v>#REF!</v>
      </c>
      <c r="B45" t="str">
        <f t="shared" si="55"/>
        <v>#REF!</v>
      </c>
      <c r="C45" t="str">
        <f t="shared" si="55"/>
        <v>#REF!</v>
      </c>
      <c r="D45" t="str">
        <f t="shared" si="55"/>
        <v>#REF!</v>
      </c>
      <c r="E45" s="276" t="str">
        <f t="shared" si="55"/>
        <v>#REF!</v>
      </c>
      <c r="F45" s="277" t="str">
        <f t="shared" si="55"/>
        <v>#REF!</v>
      </c>
      <c r="G45" t="str">
        <f t="shared" si="3"/>
        <v>#REF!</v>
      </c>
      <c r="H45" s="278" t="str">
        <f t="shared" ref="H45:H47" si="57">#REF!</f>
        <v>#REF!</v>
      </c>
      <c r="I45" s="278" t="str">
        <f t="shared" si="5"/>
        <v>#REF!</v>
      </c>
      <c r="J45" s="279" t="str">
        <f t="shared" ref="J45:J48" si="58">#REF!</f>
        <v>#REF!</v>
      </c>
      <c r="K45" s="280" t="str">
        <f t="shared" si="7"/>
        <v>#REF!</v>
      </c>
      <c r="L45" s="280" t="str">
        <f t="shared" si="8"/>
        <v>#REF!</v>
      </c>
      <c r="M45" s="155">
        <v>24.0</v>
      </c>
      <c r="N45" s="155">
        <v>36.0</v>
      </c>
      <c r="O45" s="281" t="str">
        <f t="shared" ref="O45:O48" si="59">#REF!</f>
        <v>#REF!</v>
      </c>
      <c r="P45" s="281" t="str">
        <f t="shared" si="10"/>
        <v>#REF!</v>
      </c>
      <c r="Q45" s="280" t="str">
        <f t="shared" si="11"/>
        <v>#REF!</v>
      </c>
      <c r="R45">
        <f t="shared" si="12"/>
        <v>2.383333333</v>
      </c>
      <c r="T45" t="str">
        <f t="shared" si="13"/>
        <v>#REF!</v>
      </c>
      <c r="U45" s="280" t="str">
        <f t="shared" si="14"/>
        <v>#REF!</v>
      </c>
    </row>
    <row r="46">
      <c r="A46" t="str">
        <f t="shared" ref="A46:F46" si="56">#REF!</f>
        <v>#REF!</v>
      </c>
      <c r="B46" t="str">
        <f t="shared" si="56"/>
        <v>#REF!</v>
      </c>
      <c r="C46" t="str">
        <f t="shared" si="56"/>
        <v>#REF!</v>
      </c>
      <c r="D46" t="str">
        <f t="shared" si="56"/>
        <v>#REF!</v>
      </c>
      <c r="E46" s="276" t="str">
        <f t="shared" si="56"/>
        <v>#REF!</v>
      </c>
      <c r="F46" s="277" t="str">
        <f t="shared" si="56"/>
        <v>#REF!</v>
      </c>
      <c r="G46" t="str">
        <f t="shared" si="3"/>
        <v>#REF!</v>
      </c>
      <c r="H46" s="278" t="str">
        <f t="shared" si="57"/>
        <v>#REF!</v>
      </c>
      <c r="I46" s="278" t="str">
        <f t="shared" si="5"/>
        <v>#REF!</v>
      </c>
      <c r="J46" s="279" t="str">
        <f t="shared" si="58"/>
        <v>#REF!</v>
      </c>
      <c r="K46" s="280" t="str">
        <f t="shared" si="7"/>
        <v>#REF!</v>
      </c>
      <c r="L46" s="280" t="str">
        <f t="shared" si="8"/>
        <v>#REF!</v>
      </c>
      <c r="M46" s="155">
        <v>24.0</v>
      </c>
      <c r="N46" s="155">
        <v>36.0</v>
      </c>
      <c r="O46" s="281" t="str">
        <f t="shared" si="59"/>
        <v>#REF!</v>
      </c>
      <c r="P46" s="281" t="str">
        <f t="shared" si="10"/>
        <v>#REF!</v>
      </c>
      <c r="Q46" s="280" t="str">
        <f t="shared" si="11"/>
        <v>#REF!</v>
      </c>
      <c r="R46">
        <f t="shared" si="12"/>
        <v>2.383333333</v>
      </c>
      <c r="T46" t="str">
        <f t="shared" si="13"/>
        <v>#REF!</v>
      </c>
      <c r="U46" s="280" t="str">
        <f t="shared" si="14"/>
        <v>#REF!</v>
      </c>
    </row>
    <row r="47">
      <c r="A47" t="str">
        <f t="shared" ref="A47:F47" si="60">#REF!</f>
        <v>#REF!</v>
      </c>
      <c r="B47" t="str">
        <f t="shared" si="60"/>
        <v>#REF!</v>
      </c>
      <c r="C47" t="str">
        <f t="shared" si="60"/>
        <v>#REF!</v>
      </c>
      <c r="D47" t="str">
        <f t="shared" si="60"/>
        <v>#REF!</v>
      </c>
      <c r="E47" s="276" t="str">
        <f t="shared" si="60"/>
        <v>#REF!</v>
      </c>
      <c r="F47" s="277" t="str">
        <f t="shared" si="60"/>
        <v>#REF!</v>
      </c>
      <c r="G47" t="str">
        <f t="shared" si="3"/>
        <v>#REF!</v>
      </c>
      <c r="H47" s="278" t="str">
        <f t="shared" si="57"/>
        <v>#REF!</v>
      </c>
      <c r="I47" s="278" t="str">
        <f t="shared" si="5"/>
        <v>#REF!</v>
      </c>
      <c r="J47" s="279" t="str">
        <f t="shared" si="58"/>
        <v>#REF!</v>
      </c>
      <c r="K47" s="280" t="str">
        <f t="shared" si="7"/>
        <v>#REF!</v>
      </c>
      <c r="L47" s="280" t="str">
        <f t="shared" si="8"/>
        <v>#REF!</v>
      </c>
      <c r="M47" s="155">
        <v>24.0</v>
      </c>
      <c r="N47" s="155">
        <v>36.0</v>
      </c>
      <c r="O47" s="281" t="str">
        <f t="shared" si="59"/>
        <v>#REF!</v>
      </c>
      <c r="P47" s="281" t="str">
        <f t="shared" si="10"/>
        <v>#REF!</v>
      </c>
      <c r="Q47" s="280" t="str">
        <f t="shared" si="11"/>
        <v>#REF!</v>
      </c>
      <c r="R47">
        <f t="shared" si="12"/>
        <v>2.383333333</v>
      </c>
      <c r="T47" t="str">
        <f t="shared" si="13"/>
        <v>#REF!</v>
      </c>
      <c r="U47" s="280" t="str">
        <f t="shared" si="14"/>
        <v>#REF!</v>
      </c>
    </row>
    <row r="48">
      <c r="A48" t="str">
        <f t="shared" ref="A48:F48" si="61">#REF!</f>
        <v>#REF!</v>
      </c>
      <c r="B48" t="str">
        <f t="shared" si="61"/>
        <v>#REF!</v>
      </c>
      <c r="C48" t="str">
        <f t="shared" si="61"/>
        <v>#REF!</v>
      </c>
      <c r="D48" t="str">
        <f t="shared" si="61"/>
        <v>#REF!</v>
      </c>
      <c r="E48" s="276" t="str">
        <f t="shared" si="61"/>
        <v>#REF!</v>
      </c>
      <c r="F48" s="277" t="str">
        <f t="shared" si="61"/>
        <v>#REF!</v>
      </c>
      <c r="G48" t="str">
        <f t="shared" si="3"/>
        <v>#REF!</v>
      </c>
      <c r="H48" s="278" t="str">
        <f>'Plan - NL'!Y26</f>
        <v/>
      </c>
      <c r="I48" s="278" t="str">
        <f t="shared" si="5"/>
        <v>#REF!</v>
      </c>
      <c r="J48" s="279" t="str">
        <f t="shared" si="58"/>
        <v>#REF!</v>
      </c>
      <c r="K48" s="280" t="str">
        <f t="shared" si="7"/>
        <v>#REF!</v>
      </c>
      <c r="L48" s="280" t="str">
        <f t="shared" si="8"/>
        <v>#REF!</v>
      </c>
      <c r="M48" s="155">
        <v>24.0</v>
      </c>
      <c r="N48" s="155">
        <v>36.0</v>
      </c>
      <c r="O48" s="281" t="str">
        <f t="shared" si="59"/>
        <v>#REF!</v>
      </c>
      <c r="P48" s="281" t="str">
        <f t="shared" si="10"/>
        <v>#REF!</v>
      </c>
      <c r="Q48" s="280" t="str">
        <f t="shared" si="11"/>
        <v>#REF!</v>
      </c>
      <c r="R48">
        <f t="shared" si="12"/>
        <v>2.383333333</v>
      </c>
      <c r="T48" t="str">
        <f t="shared" si="13"/>
        <v>#REF!</v>
      </c>
      <c r="U48" s="280" t="str">
        <f t="shared" si="14"/>
        <v>#REF!</v>
      </c>
    </row>
    <row r="49">
      <c r="E49" s="276"/>
      <c r="F49" s="277"/>
      <c r="H49" s="278"/>
      <c r="I49" s="278"/>
      <c r="J49" s="279"/>
      <c r="K49" s="280"/>
      <c r="L49" s="280"/>
      <c r="M49" s="155"/>
      <c r="N49" s="155"/>
      <c r="O49" s="281"/>
      <c r="P49" s="281"/>
      <c r="Q49" s="280"/>
      <c r="U49" s="280"/>
    </row>
    <row r="50">
      <c r="E50" s="276"/>
      <c r="F50" s="277"/>
      <c r="H50" s="284"/>
      <c r="I50" s="278"/>
      <c r="J50" s="279"/>
      <c r="K50" s="280"/>
      <c r="L50" s="280"/>
      <c r="M50" s="155"/>
      <c r="N50" s="155"/>
      <c r="O50" s="285"/>
      <c r="P50" s="285"/>
      <c r="Q50" s="280"/>
    </row>
    <row r="51">
      <c r="E51" s="276"/>
      <c r="F51" s="277"/>
      <c r="H51" s="278"/>
      <c r="I51" s="278"/>
      <c r="J51" s="279"/>
      <c r="K51" s="280"/>
      <c r="L51" s="280"/>
      <c r="M51" s="155"/>
      <c r="N51" s="155"/>
      <c r="O51" s="281"/>
      <c r="P51" s="281"/>
      <c r="Q51" s="280"/>
    </row>
    <row r="52">
      <c r="E52" s="276"/>
      <c r="F52" s="277"/>
      <c r="H52" s="284"/>
      <c r="I52" s="278"/>
      <c r="J52" s="279"/>
      <c r="K52" s="280"/>
      <c r="L52" s="280"/>
      <c r="M52" s="155"/>
      <c r="N52" s="155"/>
      <c r="O52" s="285"/>
      <c r="P52" s="285"/>
      <c r="Q52" s="280"/>
    </row>
    <row r="53">
      <c r="E53" s="276"/>
      <c r="F53" s="277"/>
      <c r="H53" s="278"/>
      <c r="I53" s="278"/>
      <c r="J53" s="279"/>
      <c r="K53" s="280"/>
      <c r="L53" s="280"/>
      <c r="M53" s="155"/>
      <c r="N53" s="155"/>
      <c r="O53" s="281"/>
      <c r="P53" s="281"/>
      <c r="Q53" s="280"/>
    </row>
    <row r="54">
      <c r="E54" s="276"/>
      <c r="F54" s="277"/>
      <c r="H54" s="278"/>
      <c r="I54" s="278"/>
      <c r="J54" s="279"/>
      <c r="K54" s="280"/>
      <c r="L54" s="280"/>
      <c r="M54" s="155"/>
      <c r="N54" s="155"/>
      <c r="O54" s="285"/>
      <c r="P54" s="285"/>
      <c r="Q54" s="280"/>
    </row>
    <row r="55">
      <c r="E55" s="276"/>
      <c r="F55" s="277"/>
      <c r="H55" s="278"/>
      <c r="I55" s="278"/>
      <c r="J55" s="279"/>
      <c r="K55" s="280"/>
      <c r="L55" s="280"/>
      <c r="M55" s="155"/>
      <c r="N55" s="155"/>
      <c r="O55" s="281"/>
      <c r="P55" s="281"/>
      <c r="Q55" s="280"/>
    </row>
    <row r="56">
      <c r="E56" s="276"/>
      <c r="F56" s="277"/>
      <c r="H56" s="278"/>
      <c r="I56" s="278"/>
      <c r="J56" s="279"/>
      <c r="K56" s="280"/>
      <c r="L56" s="280"/>
      <c r="M56" s="155"/>
      <c r="N56" s="155"/>
      <c r="O56" s="285"/>
      <c r="P56" s="285"/>
      <c r="Q56" s="280"/>
    </row>
    <row r="57">
      <c r="E57" s="276"/>
      <c r="F57" s="277"/>
      <c r="H57" s="278"/>
      <c r="I57" s="278"/>
      <c r="J57" s="279"/>
      <c r="K57" s="280"/>
      <c r="L57" s="280"/>
      <c r="M57" s="155"/>
      <c r="N57" s="155"/>
      <c r="O57" s="285"/>
      <c r="P57" s="285"/>
      <c r="Q57" s="280"/>
    </row>
    <row r="58">
      <c r="E58" s="276"/>
      <c r="F58" s="277"/>
      <c r="H58" s="278"/>
      <c r="I58" s="278"/>
      <c r="J58" s="279"/>
      <c r="K58" s="280"/>
      <c r="L58" s="280"/>
      <c r="M58" s="155"/>
      <c r="N58" s="155"/>
      <c r="O58" s="281"/>
      <c r="P58" s="281"/>
      <c r="Q58" s="280"/>
    </row>
    <row r="59">
      <c r="E59" s="276"/>
      <c r="F59" s="277"/>
      <c r="H59" s="278"/>
      <c r="I59" s="278"/>
      <c r="J59" s="279"/>
      <c r="K59" s="280"/>
      <c r="L59" s="280"/>
      <c r="M59" s="155"/>
      <c r="N59" s="155"/>
      <c r="O59" s="285"/>
      <c r="P59" s="285"/>
      <c r="Q59" s="280"/>
    </row>
    <row r="60">
      <c r="F60" s="277"/>
      <c r="H60" s="284"/>
      <c r="I60" s="278"/>
      <c r="J60" s="279"/>
      <c r="K60" s="273"/>
      <c r="L60" s="280"/>
      <c r="M60" s="155"/>
      <c r="N60" s="155"/>
      <c r="O60" s="285"/>
      <c r="P60" s="285"/>
      <c r="Q60" s="280"/>
    </row>
    <row r="61">
      <c r="F61" s="277"/>
      <c r="H61" s="284"/>
      <c r="I61" s="278"/>
      <c r="J61" s="286"/>
      <c r="K61" s="280"/>
      <c r="L61" s="280"/>
      <c r="M61" s="155"/>
      <c r="N61" s="155"/>
      <c r="O61" s="285"/>
      <c r="P61" s="285"/>
      <c r="Q61" s="280"/>
    </row>
    <row r="62">
      <c r="F62" s="277"/>
      <c r="H62" s="278"/>
      <c r="I62" s="278"/>
      <c r="J62" s="286"/>
      <c r="K62" s="280"/>
      <c r="L62" s="280"/>
      <c r="O62" s="285"/>
      <c r="P62" s="285"/>
      <c r="Q62" s="280"/>
    </row>
    <row r="63">
      <c r="I63" s="278"/>
      <c r="J63" s="286"/>
      <c r="L63" s="280"/>
      <c r="P63" s="286"/>
    </row>
    <row r="64">
      <c r="I64" s="278"/>
      <c r="L64" s="280"/>
    </row>
    <row r="65">
      <c r="I65" s="278"/>
      <c r="L65" s="280"/>
    </row>
    <row r="66">
      <c r="I66" s="278"/>
      <c r="L66" s="280"/>
    </row>
    <row r="67">
      <c r="I67" s="278"/>
      <c r="L67" s="280"/>
    </row>
    <row r="68">
      <c r="I68" s="278"/>
      <c r="L68" s="280"/>
    </row>
    <row r="69">
      <c r="I69" s="278"/>
      <c r="L69" s="280"/>
    </row>
    <row r="70">
      <c r="I70" s="278"/>
      <c r="L70" s="280"/>
    </row>
    <row r="71">
      <c r="I71" s="278"/>
      <c r="L71" s="280"/>
    </row>
    <row r="72">
      <c r="I72" s="278"/>
      <c r="L72" s="280"/>
    </row>
    <row r="73">
      <c r="I73" s="278"/>
      <c r="L73" s="280"/>
    </row>
    <row r="74">
      <c r="I74" s="278"/>
      <c r="L74" s="280"/>
    </row>
    <row r="75">
      <c r="I75" s="278"/>
      <c r="L75" s="280"/>
    </row>
    <row r="76">
      <c r="I76" s="278"/>
      <c r="L76" s="280"/>
    </row>
    <row r="77">
      <c r="I77" s="278"/>
      <c r="L77" s="280"/>
    </row>
    <row r="78">
      <c r="I78" s="278"/>
      <c r="L78" s="280"/>
    </row>
    <row r="79">
      <c r="I79" s="278"/>
      <c r="L79" s="280"/>
    </row>
    <row r="80">
      <c r="I80" s="278"/>
      <c r="L80" s="280"/>
    </row>
    <row r="81">
      <c r="I81" s="278"/>
      <c r="L81" s="280"/>
    </row>
    <row r="82">
      <c r="I82" s="278"/>
      <c r="L82" s="280"/>
    </row>
    <row r="83">
      <c r="I83" s="278"/>
      <c r="L83" s="280"/>
    </row>
    <row r="84">
      <c r="I84" s="278"/>
      <c r="L84" s="280"/>
    </row>
    <row r="85">
      <c r="I85" s="278"/>
      <c r="L85" s="280"/>
    </row>
    <row r="86">
      <c r="I86" s="278"/>
      <c r="L86" s="280"/>
    </row>
    <row r="87">
      <c r="I87" s="278"/>
      <c r="L87" s="280"/>
    </row>
    <row r="88">
      <c r="I88" s="278"/>
      <c r="L88" s="280"/>
    </row>
    <row r="89">
      <c r="I89" s="278"/>
      <c r="L89" s="280"/>
    </row>
    <row r="90">
      <c r="I90" s="278"/>
      <c r="L90" s="280"/>
    </row>
    <row r="91">
      <c r="I91" s="278"/>
      <c r="L91" s="280"/>
    </row>
    <row r="92">
      <c r="I92" s="278"/>
      <c r="L92" s="280"/>
    </row>
    <row r="93">
      <c r="I93" s="278"/>
      <c r="L93" s="280"/>
    </row>
    <row r="94">
      <c r="I94" s="278"/>
      <c r="L94" s="280"/>
    </row>
    <row r="95">
      <c r="I95" s="278"/>
      <c r="L95" s="280"/>
    </row>
    <row r="96">
      <c r="I96" s="278"/>
      <c r="L96" s="280"/>
    </row>
    <row r="97">
      <c r="I97" s="278"/>
      <c r="L97" s="280"/>
    </row>
    <row r="98">
      <c r="I98" s="278"/>
      <c r="L98" s="280"/>
    </row>
    <row r="99">
      <c r="I99" s="278"/>
      <c r="L99" s="28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>
        <f t="shared" ref="A1:H1" si="1">IF(ISBLANK(#REF!),0,1)</f>
        <v>1</v>
      </c>
      <c r="B1">
        <f t="shared" si="1"/>
        <v>1</v>
      </c>
      <c r="C1">
        <f t="shared" si="1"/>
        <v>1</v>
      </c>
      <c r="D1">
        <f t="shared" si="1"/>
        <v>1</v>
      </c>
      <c r="E1">
        <f t="shared" si="1"/>
        <v>1</v>
      </c>
      <c r="F1">
        <f t="shared" si="1"/>
        <v>1</v>
      </c>
      <c r="G1">
        <f t="shared" si="1"/>
        <v>1</v>
      </c>
      <c r="H1">
        <f t="shared" si="1"/>
        <v>1</v>
      </c>
      <c r="I1">
        <f t="shared" ref="I1:I58" si="3">sum(A1:G1)</f>
        <v>7</v>
      </c>
    </row>
    <row r="2">
      <c r="A2">
        <f t="shared" ref="A2:H2" si="2">IF(ISBLANK(#REF!),0,1)</f>
        <v>1</v>
      </c>
      <c r="B2">
        <f t="shared" si="2"/>
        <v>1</v>
      </c>
      <c r="C2">
        <f t="shared" si="2"/>
        <v>1</v>
      </c>
      <c r="D2">
        <f t="shared" si="2"/>
        <v>1</v>
      </c>
      <c r="E2">
        <f t="shared" si="2"/>
        <v>1</v>
      </c>
      <c r="F2">
        <f t="shared" si="2"/>
        <v>1</v>
      </c>
      <c r="G2">
        <f t="shared" si="2"/>
        <v>1</v>
      </c>
      <c r="H2">
        <f t="shared" si="2"/>
        <v>1</v>
      </c>
      <c r="I2">
        <f t="shared" si="3"/>
        <v>7</v>
      </c>
    </row>
    <row r="3">
      <c r="A3">
        <f t="shared" ref="A3:H3" si="4">IF(ISBLANK(#REF!),0,1)</f>
        <v>1</v>
      </c>
      <c r="B3">
        <f t="shared" si="4"/>
        <v>1</v>
      </c>
      <c r="C3">
        <f t="shared" si="4"/>
        <v>1</v>
      </c>
      <c r="D3">
        <f t="shared" si="4"/>
        <v>1</v>
      </c>
      <c r="E3">
        <f t="shared" si="4"/>
        <v>1</v>
      </c>
      <c r="F3">
        <f t="shared" si="4"/>
        <v>1</v>
      </c>
      <c r="G3">
        <f t="shared" si="4"/>
        <v>1</v>
      </c>
      <c r="H3">
        <f t="shared" si="4"/>
        <v>1</v>
      </c>
      <c r="I3">
        <f t="shared" si="3"/>
        <v>7</v>
      </c>
    </row>
    <row r="4">
      <c r="A4">
        <f t="shared" ref="A4:H4" si="5">IF(ISBLANK(#REF!),0,1)</f>
        <v>1</v>
      </c>
      <c r="B4">
        <f t="shared" si="5"/>
        <v>1</v>
      </c>
      <c r="C4">
        <f t="shared" si="5"/>
        <v>1</v>
      </c>
      <c r="D4">
        <f t="shared" si="5"/>
        <v>1</v>
      </c>
      <c r="E4">
        <f t="shared" si="5"/>
        <v>1</v>
      </c>
      <c r="F4">
        <f t="shared" si="5"/>
        <v>1</v>
      </c>
      <c r="G4">
        <f t="shared" si="5"/>
        <v>1</v>
      </c>
      <c r="H4">
        <f t="shared" si="5"/>
        <v>1</v>
      </c>
      <c r="I4">
        <f t="shared" si="3"/>
        <v>7</v>
      </c>
    </row>
    <row r="5">
      <c r="A5">
        <f t="shared" ref="A5:H5" si="6">IF(ISBLANK(#REF!),0,1)</f>
        <v>1</v>
      </c>
      <c r="B5">
        <f t="shared" si="6"/>
        <v>1</v>
      </c>
      <c r="C5">
        <f t="shared" si="6"/>
        <v>1</v>
      </c>
      <c r="D5">
        <f t="shared" si="6"/>
        <v>1</v>
      </c>
      <c r="E5">
        <f t="shared" si="6"/>
        <v>1</v>
      </c>
      <c r="F5">
        <f t="shared" si="6"/>
        <v>1</v>
      </c>
      <c r="G5">
        <f t="shared" si="6"/>
        <v>1</v>
      </c>
      <c r="H5">
        <f t="shared" si="6"/>
        <v>1</v>
      </c>
      <c r="I5">
        <f t="shared" si="3"/>
        <v>7</v>
      </c>
    </row>
    <row r="6">
      <c r="A6">
        <f t="shared" ref="A6:H6" si="7">IF(ISBLANK(#REF!),0,1)</f>
        <v>1</v>
      </c>
      <c r="B6">
        <f t="shared" si="7"/>
        <v>1</v>
      </c>
      <c r="C6">
        <f t="shared" si="7"/>
        <v>1</v>
      </c>
      <c r="D6">
        <f t="shared" si="7"/>
        <v>1</v>
      </c>
      <c r="E6">
        <f t="shared" si="7"/>
        <v>1</v>
      </c>
      <c r="F6">
        <f t="shared" si="7"/>
        <v>1</v>
      </c>
      <c r="G6">
        <f t="shared" si="7"/>
        <v>1</v>
      </c>
      <c r="H6">
        <f t="shared" si="7"/>
        <v>1</v>
      </c>
      <c r="I6">
        <f t="shared" si="3"/>
        <v>7</v>
      </c>
    </row>
    <row r="7">
      <c r="A7">
        <f t="shared" ref="A7:H7" si="8">IF(ISBLANK(#REF!),0,1)</f>
        <v>1</v>
      </c>
      <c r="B7">
        <f t="shared" si="8"/>
        <v>1</v>
      </c>
      <c r="C7">
        <f t="shared" si="8"/>
        <v>1</v>
      </c>
      <c r="D7">
        <f t="shared" si="8"/>
        <v>1</v>
      </c>
      <c r="E7">
        <f t="shared" si="8"/>
        <v>1</v>
      </c>
      <c r="F7">
        <f t="shared" si="8"/>
        <v>1</v>
      </c>
      <c r="G7">
        <f t="shared" si="8"/>
        <v>1</v>
      </c>
      <c r="H7">
        <f t="shared" si="8"/>
        <v>1</v>
      </c>
      <c r="I7">
        <f t="shared" si="3"/>
        <v>7</v>
      </c>
    </row>
    <row r="8">
      <c r="A8">
        <f t="shared" ref="A8:H8" si="9">IF(ISBLANK(#REF!),0,1)</f>
        <v>1</v>
      </c>
      <c r="B8">
        <f t="shared" si="9"/>
        <v>1</v>
      </c>
      <c r="C8">
        <f t="shared" si="9"/>
        <v>1</v>
      </c>
      <c r="D8">
        <f t="shared" si="9"/>
        <v>1</v>
      </c>
      <c r="E8">
        <f t="shared" si="9"/>
        <v>1</v>
      </c>
      <c r="F8">
        <f t="shared" si="9"/>
        <v>1</v>
      </c>
      <c r="G8">
        <f t="shared" si="9"/>
        <v>1</v>
      </c>
      <c r="H8">
        <f t="shared" si="9"/>
        <v>1</v>
      </c>
      <c r="I8">
        <f t="shared" si="3"/>
        <v>7</v>
      </c>
    </row>
    <row r="9">
      <c r="A9">
        <f t="shared" ref="A9:H9" si="10">IF(ISBLANK(#REF!),0,1)</f>
        <v>1</v>
      </c>
      <c r="B9">
        <f t="shared" si="10"/>
        <v>1</v>
      </c>
      <c r="C9">
        <f t="shared" si="10"/>
        <v>1</v>
      </c>
      <c r="D9">
        <f t="shared" si="10"/>
        <v>1</v>
      </c>
      <c r="E9">
        <f t="shared" si="10"/>
        <v>1</v>
      </c>
      <c r="F9">
        <f t="shared" si="10"/>
        <v>1</v>
      </c>
      <c r="G9">
        <f t="shared" si="10"/>
        <v>1</v>
      </c>
      <c r="H9">
        <f t="shared" si="10"/>
        <v>1</v>
      </c>
      <c r="I9">
        <f t="shared" si="3"/>
        <v>7</v>
      </c>
    </row>
    <row r="10">
      <c r="A10">
        <f t="shared" ref="A10:H10" si="11">IF(ISBLANK(#REF!),0,1)</f>
        <v>1</v>
      </c>
      <c r="B10">
        <f t="shared" si="11"/>
        <v>1</v>
      </c>
      <c r="C10">
        <f t="shared" si="11"/>
        <v>1</v>
      </c>
      <c r="D10">
        <f t="shared" si="11"/>
        <v>1</v>
      </c>
      <c r="E10">
        <f t="shared" si="11"/>
        <v>1</v>
      </c>
      <c r="F10">
        <f t="shared" si="11"/>
        <v>1</v>
      </c>
      <c r="G10">
        <f t="shared" si="11"/>
        <v>1</v>
      </c>
      <c r="H10">
        <f t="shared" si="11"/>
        <v>1</v>
      </c>
      <c r="I10">
        <f t="shared" si="3"/>
        <v>7</v>
      </c>
    </row>
    <row r="11">
      <c r="A11">
        <f t="shared" ref="A11:H11" si="12">IF(ISBLANK(#REF!),0,1)</f>
        <v>1</v>
      </c>
      <c r="B11">
        <f t="shared" si="12"/>
        <v>1</v>
      </c>
      <c r="C11">
        <f t="shared" si="12"/>
        <v>1</v>
      </c>
      <c r="D11">
        <f t="shared" si="12"/>
        <v>1</v>
      </c>
      <c r="E11">
        <f t="shared" si="12"/>
        <v>1</v>
      </c>
      <c r="F11">
        <f t="shared" si="12"/>
        <v>1</v>
      </c>
      <c r="G11">
        <f t="shared" si="12"/>
        <v>1</v>
      </c>
      <c r="H11">
        <f t="shared" si="12"/>
        <v>1</v>
      </c>
      <c r="I11">
        <f t="shared" si="3"/>
        <v>7</v>
      </c>
    </row>
    <row r="12">
      <c r="A12">
        <f t="shared" ref="A12:H12" si="13">IF(ISBLANK(#REF!),0,1)</f>
        <v>1</v>
      </c>
      <c r="B12">
        <f t="shared" si="13"/>
        <v>1</v>
      </c>
      <c r="C12">
        <f t="shared" si="13"/>
        <v>1</v>
      </c>
      <c r="D12">
        <f t="shared" si="13"/>
        <v>1</v>
      </c>
      <c r="E12">
        <f t="shared" si="13"/>
        <v>1</v>
      </c>
      <c r="F12">
        <f t="shared" si="13"/>
        <v>1</v>
      </c>
      <c r="G12">
        <f t="shared" si="13"/>
        <v>1</v>
      </c>
      <c r="H12">
        <f t="shared" si="13"/>
        <v>1</v>
      </c>
      <c r="I12">
        <f t="shared" si="3"/>
        <v>7</v>
      </c>
    </row>
    <row r="13">
      <c r="A13">
        <f t="shared" ref="A13:H13" si="14">IF(ISBLANK(#REF!),0,1)</f>
        <v>1</v>
      </c>
      <c r="B13">
        <f t="shared" si="14"/>
        <v>1</v>
      </c>
      <c r="C13">
        <f t="shared" si="14"/>
        <v>1</v>
      </c>
      <c r="D13">
        <f t="shared" si="14"/>
        <v>1</v>
      </c>
      <c r="E13">
        <f t="shared" si="14"/>
        <v>1</v>
      </c>
      <c r="F13">
        <f t="shared" si="14"/>
        <v>1</v>
      </c>
      <c r="G13">
        <f t="shared" si="14"/>
        <v>1</v>
      </c>
      <c r="H13">
        <f t="shared" si="14"/>
        <v>1</v>
      </c>
      <c r="I13">
        <f t="shared" si="3"/>
        <v>7</v>
      </c>
    </row>
    <row r="14">
      <c r="A14">
        <f t="shared" ref="A14:H14" si="15">IF(ISBLANK(#REF!),0,1)</f>
        <v>1</v>
      </c>
      <c r="B14">
        <f t="shared" si="15"/>
        <v>1</v>
      </c>
      <c r="C14">
        <f t="shared" si="15"/>
        <v>1</v>
      </c>
      <c r="D14">
        <f t="shared" si="15"/>
        <v>1</v>
      </c>
      <c r="E14">
        <f t="shared" si="15"/>
        <v>1</v>
      </c>
      <c r="F14">
        <f t="shared" si="15"/>
        <v>1</v>
      </c>
      <c r="G14">
        <f t="shared" si="15"/>
        <v>1</v>
      </c>
      <c r="H14">
        <f t="shared" si="15"/>
        <v>1</v>
      </c>
      <c r="I14">
        <f t="shared" si="3"/>
        <v>7</v>
      </c>
    </row>
    <row r="15">
      <c r="A15">
        <f t="shared" ref="A15:H15" si="16">IF(ISBLANK(#REF!),0,1)</f>
        <v>1</v>
      </c>
      <c r="B15">
        <f t="shared" si="16"/>
        <v>1</v>
      </c>
      <c r="C15">
        <f t="shared" si="16"/>
        <v>1</v>
      </c>
      <c r="D15">
        <f t="shared" si="16"/>
        <v>1</v>
      </c>
      <c r="E15">
        <f t="shared" si="16"/>
        <v>1</v>
      </c>
      <c r="F15">
        <f t="shared" si="16"/>
        <v>1</v>
      </c>
      <c r="G15">
        <f t="shared" si="16"/>
        <v>1</v>
      </c>
      <c r="H15">
        <f t="shared" si="16"/>
        <v>1</v>
      </c>
      <c r="I15">
        <f t="shared" si="3"/>
        <v>7</v>
      </c>
    </row>
    <row r="16">
      <c r="A16">
        <f t="shared" ref="A16:H16" si="17">IF(ISBLANK(#REF!),0,1)</f>
        <v>1</v>
      </c>
      <c r="B16">
        <f t="shared" si="17"/>
        <v>1</v>
      </c>
      <c r="C16">
        <f t="shared" si="17"/>
        <v>1</v>
      </c>
      <c r="D16">
        <f t="shared" si="17"/>
        <v>1</v>
      </c>
      <c r="E16">
        <f t="shared" si="17"/>
        <v>1</v>
      </c>
      <c r="F16">
        <f t="shared" si="17"/>
        <v>1</v>
      </c>
      <c r="G16">
        <f t="shared" si="17"/>
        <v>1</v>
      </c>
      <c r="H16">
        <f t="shared" si="17"/>
        <v>1</v>
      </c>
      <c r="I16">
        <f t="shared" si="3"/>
        <v>7</v>
      </c>
    </row>
    <row r="17">
      <c r="A17">
        <f t="shared" ref="A17:H17" si="18">IF(ISBLANK(#REF!),0,1)</f>
        <v>1</v>
      </c>
      <c r="B17">
        <f t="shared" si="18"/>
        <v>1</v>
      </c>
      <c r="C17">
        <f t="shared" si="18"/>
        <v>1</v>
      </c>
      <c r="D17">
        <f t="shared" si="18"/>
        <v>1</v>
      </c>
      <c r="E17">
        <f t="shared" si="18"/>
        <v>1</v>
      </c>
      <c r="F17">
        <f t="shared" si="18"/>
        <v>1</v>
      </c>
      <c r="G17">
        <f t="shared" si="18"/>
        <v>1</v>
      </c>
      <c r="H17">
        <f t="shared" si="18"/>
        <v>1</v>
      </c>
      <c r="I17">
        <f t="shared" si="3"/>
        <v>7</v>
      </c>
    </row>
    <row r="18">
      <c r="A18">
        <f t="shared" ref="A18:H18" si="19">IF(ISBLANK(#REF!),0,1)</f>
        <v>1</v>
      </c>
      <c r="B18">
        <f t="shared" si="19"/>
        <v>1</v>
      </c>
      <c r="C18">
        <f t="shared" si="19"/>
        <v>1</v>
      </c>
      <c r="D18">
        <f t="shared" si="19"/>
        <v>1</v>
      </c>
      <c r="E18">
        <f t="shared" si="19"/>
        <v>1</v>
      </c>
      <c r="F18">
        <f t="shared" si="19"/>
        <v>1</v>
      </c>
      <c r="G18">
        <f t="shared" si="19"/>
        <v>1</v>
      </c>
      <c r="H18">
        <f t="shared" si="19"/>
        <v>1</v>
      </c>
      <c r="I18">
        <f t="shared" si="3"/>
        <v>7</v>
      </c>
    </row>
    <row r="19">
      <c r="A19">
        <f t="shared" ref="A19:H19" si="20">IF(ISBLANK(#REF!),0,1)</f>
        <v>1</v>
      </c>
      <c r="B19">
        <f t="shared" si="20"/>
        <v>1</v>
      </c>
      <c r="C19">
        <f t="shared" si="20"/>
        <v>1</v>
      </c>
      <c r="D19">
        <f t="shared" si="20"/>
        <v>1</v>
      </c>
      <c r="E19">
        <f t="shared" si="20"/>
        <v>1</v>
      </c>
      <c r="F19">
        <f t="shared" si="20"/>
        <v>1</v>
      </c>
      <c r="G19">
        <f t="shared" si="20"/>
        <v>1</v>
      </c>
      <c r="H19">
        <f t="shared" si="20"/>
        <v>1</v>
      </c>
      <c r="I19">
        <f t="shared" si="3"/>
        <v>7</v>
      </c>
    </row>
    <row r="20">
      <c r="A20">
        <f t="shared" ref="A20:H20" si="21">IF(ISBLANK(#REF!),0,1)</f>
        <v>1</v>
      </c>
      <c r="B20">
        <f t="shared" si="21"/>
        <v>1</v>
      </c>
      <c r="C20">
        <f t="shared" si="21"/>
        <v>1</v>
      </c>
      <c r="D20">
        <f t="shared" si="21"/>
        <v>1</v>
      </c>
      <c r="E20">
        <f t="shared" si="21"/>
        <v>1</v>
      </c>
      <c r="F20">
        <f t="shared" si="21"/>
        <v>1</v>
      </c>
      <c r="G20">
        <f t="shared" si="21"/>
        <v>1</v>
      </c>
      <c r="H20">
        <f t="shared" si="21"/>
        <v>1</v>
      </c>
      <c r="I20">
        <f t="shared" si="3"/>
        <v>7</v>
      </c>
    </row>
    <row r="21">
      <c r="A21">
        <f t="shared" ref="A21:H21" si="22">IF(ISBLANK(#REF!),0,1)</f>
        <v>1</v>
      </c>
      <c r="B21">
        <f t="shared" si="22"/>
        <v>1</v>
      </c>
      <c r="C21">
        <f t="shared" si="22"/>
        <v>1</v>
      </c>
      <c r="D21">
        <f t="shared" si="22"/>
        <v>1</v>
      </c>
      <c r="E21">
        <f t="shared" si="22"/>
        <v>1</v>
      </c>
      <c r="F21">
        <f t="shared" si="22"/>
        <v>1</v>
      </c>
      <c r="G21">
        <f t="shared" si="22"/>
        <v>1</v>
      </c>
      <c r="H21">
        <f t="shared" si="22"/>
        <v>1</v>
      </c>
      <c r="I21">
        <f t="shared" si="3"/>
        <v>7</v>
      </c>
    </row>
    <row r="22">
      <c r="A22">
        <f t="shared" ref="A22:H22" si="23">IF(ISBLANK(#REF!),0,1)</f>
        <v>1</v>
      </c>
      <c r="B22">
        <f t="shared" si="23"/>
        <v>1</v>
      </c>
      <c r="C22">
        <f t="shared" si="23"/>
        <v>1</v>
      </c>
      <c r="D22">
        <f t="shared" si="23"/>
        <v>1</v>
      </c>
      <c r="E22">
        <f t="shared" si="23"/>
        <v>1</v>
      </c>
      <c r="F22">
        <f t="shared" si="23"/>
        <v>1</v>
      </c>
      <c r="G22">
        <f t="shared" si="23"/>
        <v>1</v>
      </c>
      <c r="H22">
        <f t="shared" si="23"/>
        <v>1</v>
      </c>
      <c r="I22">
        <f t="shared" si="3"/>
        <v>7</v>
      </c>
    </row>
    <row r="23">
      <c r="A23">
        <f t="shared" ref="A23:H23" si="24">IF(ISBLANK(#REF!),0,1)</f>
        <v>1</v>
      </c>
      <c r="B23">
        <f t="shared" si="24"/>
        <v>1</v>
      </c>
      <c r="C23">
        <f t="shared" si="24"/>
        <v>1</v>
      </c>
      <c r="D23">
        <f t="shared" si="24"/>
        <v>1</v>
      </c>
      <c r="E23">
        <f t="shared" si="24"/>
        <v>1</v>
      </c>
      <c r="F23">
        <f t="shared" si="24"/>
        <v>1</v>
      </c>
      <c r="G23">
        <f t="shared" si="24"/>
        <v>1</v>
      </c>
      <c r="H23">
        <f t="shared" si="24"/>
        <v>1</v>
      </c>
      <c r="I23">
        <f t="shared" si="3"/>
        <v>7</v>
      </c>
    </row>
    <row r="24">
      <c r="A24">
        <f t="shared" ref="A24:H24" si="25">IF(ISBLANK(#REF!),0,1)</f>
        <v>1</v>
      </c>
      <c r="B24">
        <f t="shared" si="25"/>
        <v>1</v>
      </c>
      <c r="C24">
        <f t="shared" si="25"/>
        <v>1</v>
      </c>
      <c r="D24">
        <f t="shared" si="25"/>
        <v>1</v>
      </c>
      <c r="E24">
        <f t="shared" si="25"/>
        <v>1</v>
      </c>
      <c r="F24">
        <f t="shared" si="25"/>
        <v>1</v>
      </c>
      <c r="G24">
        <f t="shared" si="25"/>
        <v>1</v>
      </c>
      <c r="H24">
        <f t="shared" si="25"/>
        <v>1</v>
      </c>
      <c r="I24">
        <f t="shared" si="3"/>
        <v>7</v>
      </c>
    </row>
    <row r="25">
      <c r="A25">
        <f t="shared" ref="A25:H25" si="26">IF(ISBLANK(#REF!),0,1)</f>
        <v>1</v>
      </c>
      <c r="B25">
        <f t="shared" si="26"/>
        <v>1</v>
      </c>
      <c r="C25">
        <f t="shared" si="26"/>
        <v>1</v>
      </c>
      <c r="D25">
        <f t="shared" si="26"/>
        <v>1</v>
      </c>
      <c r="E25">
        <f t="shared" si="26"/>
        <v>1</v>
      </c>
      <c r="F25">
        <f t="shared" si="26"/>
        <v>1</v>
      </c>
      <c r="G25">
        <f t="shared" si="26"/>
        <v>1</v>
      </c>
      <c r="H25">
        <f t="shared" si="26"/>
        <v>1</v>
      </c>
      <c r="I25">
        <f t="shared" si="3"/>
        <v>7</v>
      </c>
    </row>
    <row r="26">
      <c r="A26">
        <f t="shared" ref="A26:H26" si="27">IF(ISBLANK(#REF!),0,1)</f>
        <v>1</v>
      </c>
      <c r="B26">
        <f t="shared" si="27"/>
        <v>1</v>
      </c>
      <c r="C26">
        <f t="shared" si="27"/>
        <v>1</v>
      </c>
      <c r="D26">
        <f t="shared" si="27"/>
        <v>1</v>
      </c>
      <c r="E26">
        <f t="shared" si="27"/>
        <v>1</v>
      </c>
      <c r="F26">
        <f t="shared" si="27"/>
        <v>1</v>
      </c>
      <c r="G26">
        <f t="shared" si="27"/>
        <v>1</v>
      </c>
      <c r="H26">
        <f t="shared" si="27"/>
        <v>1</v>
      </c>
      <c r="I26">
        <f t="shared" si="3"/>
        <v>7</v>
      </c>
    </row>
    <row r="27">
      <c r="A27">
        <f t="shared" ref="A27:H27" si="28">IF(ISBLANK(#REF!),0,1)</f>
        <v>1</v>
      </c>
      <c r="B27">
        <f t="shared" si="28"/>
        <v>1</v>
      </c>
      <c r="C27">
        <f t="shared" si="28"/>
        <v>1</v>
      </c>
      <c r="D27">
        <f t="shared" si="28"/>
        <v>1</v>
      </c>
      <c r="E27">
        <f t="shared" si="28"/>
        <v>1</v>
      </c>
      <c r="F27">
        <f t="shared" si="28"/>
        <v>1</v>
      </c>
      <c r="G27">
        <f t="shared" si="28"/>
        <v>1</v>
      </c>
      <c r="H27">
        <f t="shared" si="28"/>
        <v>1</v>
      </c>
      <c r="I27">
        <f t="shared" si="3"/>
        <v>7</v>
      </c>
    </row>
    <row r="28">
      <c r="A28">
        <f t="shared" ref="A28:H28" si="29">IF(ISBLANK(#REF!),0,1)</f>
        <v>1</v>
      </c>
      <c r="B28">
        <f t="shared" si="29"/>
        <v>1</v>
      </c>
      <c r="C28">
        <f t="shared" si="29"/>
        <v>1</v>
      </c>
      <c r="D28">
        <f t="shared" si="29"/>
        <v>1</v>
      </c>
      <c r="E28">
        <f t="shared" si="29"/>
        <v>1</v>
      </c>
      <c r="F28">
        <f t="shared" si="29"/>
        <v>1</v>
      </c>
      <c r="G28">
        <f t="shared" si="29"/>
        <v>1</v>
      </c>
      <c r="H28">
        <f t="shared" si="29"/>
        <v>1</v>
      </c>
      <c r="I28">
        <f t="shared" si="3"/>
        <v>7</v>
      </c>
    </row>
    <row r="29">
      <c r="A29">
        <f t="shared" ref="A29:H29" si="30">IF(ISBLANK(#REF!),0,1)</f>
        <v>1</v>
      </c>
      <c r="B29">
        <f t="shared" si="30"/>
        <v>1</v>
      </c>
      <c r="C29">
        <f t="shared" si="30"/>
        <v>1</v>
      </c>
      <c r="D29">
        <f t="shared" si="30"/>
        <v>1</v>
      </c>
      <c r="E29">
        <f t="shared" si="30"/>
        <v>1</v>
      </c>
      <c r="F29">
        <f t="shared" si="30"/>
        <v>1</v>
      </c>
      <c r="G29">
        <f t="shared" si="30"/>
        <v>1</v>
      </c>
      <c r="H29">
        <f t="shared" si="30"/>
        <v>1</v>
      </c>
      <c r="I29">
        <f t="shared" si="3"/>
        <v>7</v>
      </c>
    </row>
    <row r="30">
      <c r="A30">
        <f t="shared" ref="A30:H30" si="31">IF(ISBLANK(#REF!),0,1)</f>
        <v>1</v>
      </c>
      <c r="B30">
        <f t="shared" si="31"/>
        <v>1</v>
      </c>
      <c r="C30">
        <f t="shared" si="31"/>
        <v>1</v>
      </c>
      <c r="D30">
        <f t="shared" si="31"/>
        <v>1</v>
      </c>
      <c r="E30">
        <f t="shared" si="31"/>
        <v>1</v>
      </c>
      <c r="F30">
        <f t="shared" si="31"/>
        <v>1</v>
      </c>
      <c r="G30">
        <f t="shared" si="31"/>
        <v>1</v>
      </c>
      <c r="H30">
        <f t="shared" si="31"/>
        <v>1</v>
      </c>
      <c r="I30">
        <f t="shared" si="3"/>
        <v>7</v>
      </c>
    </row>
    <row r="31">
      <c r="A31">
        <f t="shared" ref="A31:H31" si="32">IF(ISBLANK(#REF!),0,1)</f>
        <v>1</v>
      </c>
      <c r="B31">
        <f t="shared" si="32"/>
        <v>1</v>
      </c>
      <c r="C31">
        <f t="shared" si="32"/>
        <v>1</v>
      </c>
      <c r="D31">
        <f t="shared" si="32"/>
        <v>1</v>
      </c>
      <c r="E31">
        <f t="shared" si="32"/>
        <v>1</v>
      </c>
      <c r="F31">
        <f t="shared" si="32"/>
        <v>1</v>
      </c>
      <c r="G31">
        <f t="shared" si="32"/>
        <v>1</v>
      </c>
      <c r="H31">
        <f t="shared" si="32"/>
        <v>1</v>
      </c>
      <c r="I31">
        <f t="shared" si="3"/>
        <v>7</v>
      </c>
    </row>
    <row r="32">
      <c r="A32">
        <f t="shared" ref="A32:H32" si="33">IF(ISBLANK(#REF!),0,1)</f>
        <v>1</v>
      </c>
      <c r="B32">
        <f t="shared" si="33"/>
        <v>1</v>
      </c>
      <c r="C32">
        <f t="shared" si="33"/>
        <v>1</v>
      </c>
      <c r="D32">
        <f t="shared" si="33"/>
        <v>1</v>
      </c>
      <c r="E32">
        <f t="shared" si="33"/>
        <v>1</v>
      </c>
      <c r="F32">
        <f t="shared" si="33"/>
        <v>1</v>
      </c>
      <c r="G32">
        <f t="shared" si="33"/>
        <v>1</v>
      </c>
      <c r="H32">
        <f t="shared" si="33"/>
        <v>1</v>
      </c>
      <c r="I32">
        <f t="shared" si="3"/>
        <v>7</v>
      </c>
    </row>
    <row r="33">
      <c r="A33">
        <f t="shared" ref="A33:H33" si="34">IF(ISBLANK(#REF!),0,1)</f>
        <v>1</v>
      </c>
      <c r="B33">
        <f t="shared" si="34"/>
        <v>1</v>
      </c>
      <c r="C33">
        <f t="shared" si="34"/>
        <v>1</v>
      </c>
      <c r="D33">
        <f t="shared" si="34"/>
        <v>1</v>
      </c>
      <c r="E33">
        <f t="shared" si="34"/>
        <v>1</v>
      </c>
      <c r="F33">
        <f t="shared" si="34"/>
        <v>1</v>
      </c>
      <c r="G33">
        <f t="shared" si="34"/>
        <v>1</v>
      </c>
      <c r="H33">
        <f t="shared" si="34"/>
        <v>1</v>
      </c>
      <c r="I33">
        <f t="shared" si="3"/>
        <v>7</v>
      </c>
    </row>
    <row r="34">
      <c r="A34">
        <f t="shared" ref="A34:H34" si="35">IF(ISBLANK(#REF!),0,1)</f>
        <v>1</v>
      </c>
      <c r="B34">
        <f t="shared" si="35"/>
        <v>1</v>
      </c>
      <c r="C34">
        <f t="shared" si="35"/>
        <v>1</v>
      </c>
      <c r="D34">
        <f t="shared" si="35"/>
        <v>1</v>
      </c>
      <c r="E34">
        <f t="shared" si="35"/>
        <v>1</v>
      </c>
      <c r="F34">
        <f t="shared" si="35"/>
        <v>1</v>
      </c>
      <c r="G34">
        <f t="shared" si="35"/>
        <v>1</v>
      </c>
      <c r="H34">
        <f t="shared" si="35"/>
        <v>1</v>
      </c>
      <c r="I34">
        <f t="shared" si="3"/>
        <v>7</v>
      </c>
    </row>
    <row r="35">
      <c r="A35">
        <f t="shared" ref="A35:H35" si="36">IF(ISBLANK(#REF!),0,1)</f>
        <v>1</v>
      </c>
      <c r="B35">
        <f t="shared" si="36"/>
        <v>1</v>
      </c>
      <c r="C35">
        <f t="shared" si="36"/>
        <v>1</v>
      </c>
      <c r="D35">
        <f t="shared" si="36"/>
        <v>1</v>
      </c>
      <c r="E35">
        <f t="shared" si="36"/>
        <v>1</v>
      </c>
      <c r="F35">
        <f t="shared" si="36"/>
        <v>1</v>
      </c>
      <c r="G35">
        <f t="shared" si="36"/>
        <v>1</v>
      </c>
      <c r="H35">
        <f t="shared" si="36"/>
        <v>1</v>
      </c>
      <c r="I35">
        <f t="shared" si="3"/>
        <v>7</v>
      </c>
    </row>
    <row r="36">
      <c r="A36">
        <f t="shared" ref="A36:H36" si="37">IF(ISBLANK(#REF!),0,1)</f>
        <v>1</v>
      </c>
      <c r="B36">
        <f t="shared" si="37"/>
        <v>1</v>
      </c>
      <c r="C36">
        <f t="shared" si="37"/>
        <v>1</v>
      </c>
      <c r="D36">
        <f t="shared" si="37"/>
        <v>1</v>
      </c>
      <c r="E36">
        <f t="shared" si="37"/>
        <v>1</v>
      </c>
      <c r="F36">
        <f t="shared" si="37"/>
        <v>1</v>
      </c>
      <c r="G36">
        <f t="shared" si="37"/>
        <v>1</v>
      </c>
      <c r="H36">
        <f t="shared" si="37"/>
        <v>1</v>
      </c>
      <c r="I36">
        <f t="shared" si="3"/>
        <v>7</v>
      </c>
    </row>
    <row r="37">
      <c r="A37">
        <f t="shared" ref="A37:H37" si="38">IF(ISBLANK(#REF!),0,1)</f>
        <v>1</v>
      </c>
      <c r="B37">
        <f t="shared" si="38"/>
        <v>1</v>
      </c>
      <c r="C37">
        <f t="shared" si="38"/>
        <v>1</v>
      </c>
      <c r="D37">
        <f t="shared" si="38"/>
        <v>1</v>
      </c>
      <c r="E37">
        <f t="shared" si="38"/>
        <v>1</v>
      </c>
      <c r="F37">
        <f t="shared" si="38"/>
        <v>1</v>
      </c>
      <c r="G37">
        <f t="shared" si="38"/>
        <v>1</v>
      </c>
      <c r="H37">
        <f t="shared" si="38"/>
        <v>1</v>
      </c>
      <c r="I37">
        <f t="shared" si="3"/>
        <v>7</v>
      </c>
    </row>
    <row r="38">
      <c r="A38">
        <f t="shared" ref="A38:H38" si="39">IF(ISBLANK(#REF!),0,1)</f>
        <v>1</v>
      </c>
      <c r="B38">
        <f t="shared" si="39"/>
        <v>1</v>
      </c>
      <c r="C38">
        <f t="shared" si="39"/>
        <v>1</v>
      </c>
      <c r="D38">
        <f t="shared" si="39"/>
        <v>1</v>
      </c>
      <c r="E38">
        <f t="shared" si="39"/>
        <v>1</v>
      </c>
      <c r="F38">
        <f t="shared" si="39"/>
        <v>1</v>
      </c>
      <c r="G38">
        <f t="shared" si="39"/>
        <v>1</v>
      </c>
      <c r="H38">
        <f t="shared" si="39"/>
        <v>1</v>
      </c>
      <c r="I38">
        <f t="shared" si="3"/>
        <v>7</v>
      </c>
    </row>
    <row r="39">
      <c r="A39">
        <f t="shared" ref="A39:H39" si="40">IF(ISBLANK(#REF!),0,1)</f>
        <v>1</v>
      </c>
      <c r="B39">
        <f t="shared" si="40"/>
        <v>1</v>
      </c>
      <c r="C39">
        <f t="shared" si="40"/>
        <v>1</v>
      </c>
      <c r="D39">
        <f t="shared" si="40"/>
        <v>1</v>
      </c>
      <c r="E39">
        <f t="shared" si="40"/>
        <v>1</v>
      </c>
      <c r="F39">
        <f t="shared" si="40"/>
        <v>1</v>
      </c>
      <c r="G39">
        <f t="shared" si="40"/>
        <v>1</v>
      </c>
      <c r="H39">
        <f t="shared" si="40"/>
        <v>1</v>
      </c>
      <c r="I39">
        <f t="shared" si="3"/>
        <v>7</v>
      </c>
    </row>
    <row r="40">
      <c r="A40">
        <f t="shared" ref="A40:H40" si="41">IF(ISBLANK(#REF!),0,1)</f>
        <v>1</v>
      </c>
      <c r="B40">
        <f t="shared" si="41"/>
        <v>1</v>
      </c>
      <c r="C40">
        <f t="shared" si="41"/>
        <v>1</v>
      </c>
      <c r="D40">
        <f t="shared" si="41"/>
        <v>1</v>
      </c>
      <c r="E40">
        <f t="shared" si="41"/>
        <v>1</v>
      </c>
      <c r="F40">
        <f t="shared" si="41"/>
        <v>1</v>
      </c>
      <c r="G40">
        <f t="shared" si="41"/>
        <v>1</v>
      </c>
      <c r="H40">
        <f t="shared" si="41"/>
        <v>1</v>
      </c>
      <c r="I40">
        <f t="shared" si="3"/>
        <v>7</v>
      </c>
    </row>
    <row r="41">
      <c r="A41">
        <f t="shared" ref="A41:H41" si="42">IF(ISBLANK(#REF!),0,1)</f>
        <v>1</v>
      </c>
      <c r="B41">
        <f t="shared" si="42"/>
        <v>1</v>
      </c>
      <c r="C41">
        <f t="shared" si="42"/>
        <v>1</v>
      </c>
      <c r="D41">
        <f t="shared" si="42"/>
        <v>1</v>
      </c>
      <c r="E41">
        <f t="shared" si="42"/>
        <v>1</v>
      </c>
      <c r="F41">
        <f t="shared" si="42"/>
        <v>1</v>
      </c>
      <c r="G41">
        <f t="shared" si="42"/>
        <v>1</v>
      </c>
      <c r="H41">
        <f t="shared" si="42"/>
        <v>1</v>
      </c>
      <c r="I41">
        <f t="shared" si="3"/>
        <v>7</v>
      </c>
    </row>
    <row r="42">
      <c r="A42">
        <f t="shared" ref="A42:H42" si="43">IF(ISBLANK(#REF!),0,1)</f>
        <v>1</v>
      </c>
      <c r="B42">
        <f t="shared" si="43"/>
        <v>1</v>
      </c>
      <c r="C42">
        <f t="shared" si="43"/>
        <v>1</v>
      </c>
      <c r="D42">
        <f t="shared" si="43"/>
        <v>1</v>
      </c>
      <c r="E42">
        <f t="shared" si="43"/>
        <v>1</v>
      </c>
      <c r="F42">
        <f t="shared" si="43"/>
        <v>1</v>
      </c>
      <c r="G42">
        <f t="shared" si="43"/>
        <v>1</v>
      </c>
      <c r="H42">
        <f t="shared" si="43"/>
        <v>1</v>
      </c>
      <c r="I42">
        <f t="shared" si="3"/>
        <v>7</v>
      </c>
    </row>
    <row r="43">
      <c r="A43">
        <f>IF(ISBLANK('Plan - NL'!I25),0,1)</f>
        <v>1</v>
      </c>
      <c r="B43">
        <f>IF(ISBLANK('Plan - NL'!J25),0,1)</f>
        <v>1</v>
      </c>
      <c r="C43">
        <f>IF(ISBLANK('Plan - NL'!K25),0,1)</f>
        <v>1</v>
      </c>
      <c r="D43">
        <f>IF(ISBLANK('Plan - NL'!L25),0,1)</f>
        <v>1</v>
      </c>
      <c r="E43">
        <f>IF(ISBLANK('Plan - NL'!M25),0,1)</f>
        <v>1</v>
      </c>
      <c r="F43">
        <f>IF(ISBLANK('Plan - NL'!N25),0,1)</f>
        <v>1</v>
      </c>
      <c r="G43">
        <f>IF(ISBLANK('Plan - NL'!O25),0,1)</f>
        <v>1</v>
      </c>
      <c r="H43">
        <f>IF(ISBLANK('Plan - NL'!P25),0,1)</f>
        <v>0</v>
      </c>
      <c r="I43">
        <f t="shared" si="3"/>
        <v>7</v>
      </c>
    </row>
    <row r="44">
      <c r="A44">
        <f t="shared" ref="A44:H44" si="44">IF(ISBLANK(#REF!),0,1)</f>
        <v>1</v>
      </c>
      <c r="B44">
        <f t="shared" si="44"/>
        <v>1</v>
      </c>
      <c r="C44">
        <f t="shared" si="44"/>
        <v>1</v>
      </c>
      <c r="D44">
        <f t="shared" si="44"/>
        <v>1</v>
      </c>
      <c r="E44">
        <f t="shared" si="44"/>
        <v>1</v>
      </c>
      <c r="F44">
        <f t="shared" si="44"/>
        <v>1</v>
      </c>
      <c r="G44">
        <f t="shared" si="44"/>
        <v>1</v>
      </c>
      <c r="H44">
        <f t="shared" si="44"/>
        <v>1</v>
      </c>
      <c r="I44">
        <f t="shared" si="3"/>
        <v>7</v>
      </c>
    </row>
    <row r="45">
      <c r="A45">
        <f t="shared" ref="A45:H45" si="45">IF(ISBLANK(#REF!),0,1)</f>
        <v>1</v>
      </c>
      <c r="B45">
        <f t="shared" si="45"/>
        <v>1</v>
      </c>
      <c r="C45">
        <f t="shared" si="45"/>
        <v>1</v>
      </c>
      <c r="D45">
        <f t="shared" si="45"/>
        <v>1</v>
      </c>
      <c r="E45">
        <f t="shared" si="45"/>
        <v>1</v>
      </c>
      <c r="F45">
        <f t="shared" si="45"/>
        <v>1</v>
      </c>
      <c r="G45">
        <f t="shared" si="45"/>
        <v>1</v>
      </c>
      <c r="H45">
        <f t="shared" si="45"/>
        <v>1</v>
      </c>
      <c r="I45">
        <f t="shared" si="3"/>
        <v>7</v>
      </c>
    </row>
    <row r="46">
      <c r="A46">
        <f t="shared" ref="A46:H46" si="46">IF(ISBLANK(#REF!),0,1)</f>
        <v>1</v>
      </c>
      <c r="B46">
        <f t="shared" si="46"/>
        <v>1</v>
      </c>
      <c r="C46">
        <f t="shared" si="46"/>
        <v>1</v>
      </c>
      <c r="D46">
        <f t="shared" si="46"/>
        <v>1</v>
      </c>
      <c r="E46">
        <f t="shared" si="46"/>
        <v>1</v>
      </c>
      <c r="F46">
        <f t="shared" si="46"/>
        <v>1</v>
      </c>
      <c r="G46">
        <f t="shared" si="46"/>
        <v>1</v>
      </c>
      <c r="H46">
        <f t="shared" si="46"/>
        <v>1</v>
      </c>
      <c r="I46">
        <f t="shared" si="3"/>
        <v>7</v>
      </c>
    </row>
    <row r="47">
      <c r="A47">
        <f t="shared" ref="A47:H47" si="47">IF(ISBLANK(#REF!),0,1)</f>
        <v>1</v>
      </c>
      <c r="B47">
        <f t="shared" si="47"/>
        <v>1</v>
      </c>
      <c r="C47">
        <f t="shared" si="47"/>
        <v>1</v>
      </c>
      <c r="D47">
        <f t="shared" si="47"/>
        <v>1</v>
      </c>
      <c r="E47">
        <f t="shared" si="47"/>
        <v>1</v>
      </c>
      <c r="F47">
        <f t="shared" si="47"/>
        <v>1</v>
      </c>
      <c r="G47">
        <f t="shared" si="47"/>
        <v>1</v>
      </c>
      <c r="H47">
        <f t="shared" si="47"/>
        <v>1</v>
      </c>
      <c r="I47">
        <f t="shared" si="3"/>
        <v>7</v>
      </c>
    </row>
    <row r="48">
      <c r="A48">
        <f t="shared" ref="A48:D48" si="48">IF(ISBLANK(#REF!),0,1)</f>
        <v>1</v>
      </c>
      <c r="B48">
        <f t="shared" si="48"/>
        <v>1</v>
      </c>
      <c r="C48">
        <f t="shared" si="48"/>
        <v>1</v>
      </c>
      <c r="D48">
        <f t="shared" si="48"/>
        <v>1</v>
      </c>
      <c r="E48">
        <f>IF(ISBLANK('Plan - NL'!E37),0,1)</f>
        <v>1</v>
      </c>
      <c r="F48">
        <f t="shared" ref="F48:F51" si="50">IF(ISBLANK(#REF!),0,1)</f>
        <v>1</v>
      </c>
      <c r="G48">
        <f>IF(ISBLANK('Plan - NL'!G37),0,1)</f>
        <v>1</v>
      </c>
      <c r="H48">
        <f>IF(ISBLANK('Plan - NL'!H47),0,1)</f>
        <v>1</v>
      </c>
      <c r="I48">
        <f t="shared" si="3"/>
        <v>7</v>
      </c>
    </row>
    <row r="49">
      <c r="A49">
        <f t="shared" ref="A49:D49" si="49">IF(ISBLANK(#REF!),0,1)</f>
        <v>1</v>
      </c>
      <c r="B49">
        <f t="shared" si="49"/>
        <v>1</v>
      </c>
      <c r="C49">
        <f t="shared" si="49"/>
        <v>1</v>
      </c>
      <c r="D49">
        <f t="shared" si="49"/>
        <v>1</v>
      </c>
      <c r="E49">
        <f>IF(ISBLANK('Plan - NL'!E85),0,1)</f>
        <v>0</v>
      </c>
      <c r="F49">
        <f t="shared" si="50"/>
        <v>1</v>
      </c>
      <c r="G49">
        <f>IF(ISBLANK('Plan - NL'!G85),0,1)</f>
        <v>0</v>
      </c>
      <c r="H49">
        <f>IF(ISBLANK('Plan - NL'!H55),0,1)</f>
        <v>1</v>
      </c>
      <c r="I49">
        <f t="shared" si="3"/>
        <v>5</v>
      </c>
    </row>
    <row r="50">
      <c r="A50">
        <f t="shared" ref="A50:D50" si="51">IF(ISBLANK(#REF!),0,1)</f>
        <v>1</v>
      </c>
      <c r="B50">
        <f t="shared" si="51"/>
        <v>1</v>
      </c>
      <c r="C50">
        <f t="shared" si="51"/>
        <v>1</v>
      </c>
      <c r="D50">
        <f t="shared" si="51"/>
        <v>1</v>
      </c>
      <c r="E50">
        <f>IF(ISBLANK('Plan - NL'!E48),0,1)</f>
        <v>1</v>
      </c>
      <c r="F50">
        <f t="shared" si="50"/>
        <v>1</v>
      </c>
      <c r="G50">
        <f t="shared" ref="G50:G51" si="53">IF(ISBLANK(#REF!),0,1)</f>
        <v>1</v>
      </c>
      <c r="H50">
        <f>IF(ISBLANK('Plan - NL'!H40),0,1)</f>
        <v>1</v>
      </c>
      <c r="I50">
        <f t="shared" si="3"/>
        <v>7</v>
      </c>
    </row>
    <row r="51">
      <c r="A51">
        <f t="shared" ref="A51:D51" si="52">IF(ISBLANK(#REF!),0,1)</f>
        <v>1</v>
      </c>
      <c r="B51">
        <f t="shared" si="52"/>
        <v>1</v>
      </c>
      <c r="C51">
        <f t="shared" si="52"/>
        <v>1</v>
      </c>
      <c r="D51">
        <f t="shared" si="52"/>
        <v>1</v>
      </c>
      <c r="E51">
        <f>IF(ISBLANK('Plan - NL'!E36),0,1)</f>
        <v>1</v>
      </c>
      <c r="F51">
        <f t="shared" si="50"/>
        <v>1</v>
      </c>
      <c r="G51">
        <f t="shared" si="53"/>
        <v>1</v>
      </c>
      <c r="H51">
        <f t="shared" ref="H51:H55" si="55">IF(ISBLANK(#REF!),0,1)</f>
        <v>1</v>
      </c>
      <c r="I51">
        <f t="shared" si="3"/>
        <v>7</v>
      </c>
    </row>
    <row r="52">
      <c r="A52">
        <f t="shared" ref="A52:F52" si="54">IF(ISBLANK(#REF!),0,1)</f>
        <v>1</v>
      </c>
      <c r="B52">
        <f t="shared" si="54"/>
        <v>1</v>
      </c>
      <c r="C52">
        <f t="shared" si="54"/>
        <v>1</v>
      </c>
      <c r="D52">
        <f t="shared" si="54"/>
        <v>1</v>
      </c>
      <c r="E52">
        <f t="shared" si="54"/>
        <v>1</v>
      </c>
      <c r="F52">
        <f t="shared" si="54"/>
        <v>1</v>
      </c>
      <c r="G52">
        <f>IF(ISBLANK('Plan - NL'!I36),0,1)</f>
        <v>1</v>
      </c>
      <c r="H52">
        <f t="shared" si="55"/>
        <v>1</v>
      </c>
      <c r="I52">
        <f t="shared" si="3"/>
        <v>7</v>
      </c>
    </row>
    <row r="53">
      <c r="A53">
        <f t="shared" ref="A53:C53" si="56">IF(ISBLANK(#REF!),0,1)</f>
        <v>1</v>
      </c>
      <c r="B53">
        <f t="shared" si="56"/>
        <v>1</v>
      </c>
      <c r="C53">
        <f t="shared" si="56"/>
        <v>1</v>
      </c>
      <c r="D53">
        <f>IF(ISBLANK('Plan - NL'!L47),0,1)</f>
        <v>0</v>
      </c>
      <c r="E53">
        <f t="shared" ref="E53:F53" si="57">IF(ISBLANK(#REF!),0,1)</f>
        <v>1</v>
      </c>
      <c r="F53">
        <f t="shared" si="57"/>
        <v>1</v>
      </c>
      <c r="G53">
        <f>IF(ISBLANK('Plan - NL'!I47),0,1)</f>
        <v>1</v>
      </c>
      <c r="H53">
        <f t="shared" si="55"/>
        <v>1</v>
      </c>
      <c r="I53">
        <f t="shared" si="3"/>
        <v>6</v>
      </c>
    </row>
    <row r="54">
      <c r="A54">
        <f t="shared" ref="A54:C54" si="58">IF(ISBLANK(#REF!),0,1)</f>
        <v>1</v>
      </c>
      <c r="B54">
        <f t="shared" si="58"/>
        <v>1</v>
      </c>
      <c r="C54">
        <f t="shared" si="58"/>
        <v>1</v>
      </c>
      <c r="D54">
        <f>IF(ISBLANK('Plan - NL'!L55),0,1)</f>
        <v>0</v>
      </c>
      <c r="E54">
        <f t="shared" ref="E54:F54" si="59">IF(ISBLANK(#REF!),0,1)</f>
        <v>1</v>
      </c>
      <c r="F54">
        <f t="shared" si="59"/>
        <v>1</v>
      </c>
      <c r="G54">
        <f>IF(ISBLANK('Plan - NL'!I55),0,1)</f>
        <v>1</v>
      </c>
      <c r="H54">
        <f t="shared" si="55"/>
        <v>1</v>
      </c>
      <c r="I54">
        <f t="shared" si="3"/>
        <v>6</v>
      </c>
    </row>
    <row r="55">
      <c r="A55">
        <f t="shared" ref="A55:C55" si="60">IF(ISBLANK(#REF!),0,1)</f>
        <v>1</v>
      </c>
      <c r="B55">
        <f t="shared" si="60"/>
        <v>1</v>
      </c>
      <c r="C55">
        <f t="shared" si="60"/>
        <v>1</v>
      </c>
      <c r="D55">
        <f>IF(ISBLANK('Plan - NL'!L40),0,1)</f>
        <v>0</v>
      </c>
      <c r="E55">
        <f t="shared" ref="E55:F55" si="61">IF(ISBLANK(#REF!),0,1)</f>
        <v>1</v>
      </c>
      <c r="F55">
        <f t="shared" si="61"/>
        <v>1</v>
      </c>
      <c r="G55">
        <f>IF(ISBLANK('Plan - NL'!I40),0,1)</f>
        <v>1</v>
      </c>
      <c r="H55">
        <f t="shared" si="55"/>
        <v>1</v>
      </c>
      <c r="I55">
        <f t="shared" si="3"/>
        <v>6</v>
      </c>
    </row>
    <row r="56">
      <c r="A56">
        <f>IF(ISBLANK('Plan - NL'!I46),0,1)</f>
        <v>1</v>
      </c>
      <c r="B56">
        <f>IF(ISBLANK('Plan - NL'!J46),0,1)</f>
        <v>1</v>
      </c>
      <c r="C56">
        <f>IF(ISBLANK(#REF!),0,1)</f>
        <v>1</v>
      </c>
      <c r="D56">
        <f>IF(ISBLANK('Plan - NL'!L46),0,1)</f>
        <v>0</v>
      </c>
      <c r="E56">
        <f>IF(ISBLANK('Plan - NL'!M46),0,1)</f>
        <v>0</v>
      </c>
      <c r="F56">
        <f>IF(ISBLANK('Plan - NL'!N46),0,1)</f>
        <v>0</v>
      </c>
      <c r="G56">
        <f>IF(ISBLANK('Plan - NL'!O46),0,1)</f>
        <v>0</v>
      </c>
      <c r="H56">
        <f>IF(ISBLANK('Plan - NL'!P46),0,1)</f>
        <v>0</v>
      </c>
      <c r="I56">
        <f t="shared" si="3"/>
        <v>3</v>
      </c>
    </row>
    <row r="57">
      <c r="A57">
        <f t="shared" ref="A57:H57" si="62">IF(ISBLANK(#REF!),0,1)</f>
        <v>1</v>
      </c>
      <c r="B57">
        <f t="shared" si="62"/>
        <v>1</v>
      </c>
      <c r="C57">
        <f t="shared" si="62"/>
        <v>1</v>
      </c>
      <c r="D57">
        <f t="shared" si="62"/>
        <v>1</v>
      </c>
      <c r="E57">
        <f t="shared" si="62"/>
        <v>1</v>
      </c>
      <c r="F57">
        <f t="shared" si="62"/>
        <v>1</v>
      </c>
      <c r="G57">
        <f t="shared" si="62"/>
        <v>1</v>
      </c>
      <c r="H57">
        <f t="shared" si="62"/>
        <v>1</v>
      </c>
      <c r="I57">
        <f t="shared" si="3"/>
        <v>7</v>
      </c>
    </row>
    <row r="58">
      <c r="A58">
        <f t="shared" ref="A58:H58" si="63">IF(ISBLANK(#REF!),0,1)</f>
        <v>1</v>
      </c>
      <c r="B58">
        <f t="shared" si="63"/>
        <v>1</v>
      </c>
      <c r="C58">
        <f t="shared" si="63"/>
        <v>1</v>
      </c>
      <c r="D58">
        <f t="shared" si="63"/>
        <v>1</v>
      </c>
      <c r="E58">
        <f t="shared" si="63"/>
        <v>1</v>
      </c>
      <c r="F58">
        <f t="shared" si="63"/>
        <v>1</v>
      </c>
      <c r="G58">
        <f t="shared" si="63"/>
        <v>1</v>
      </c>
      <c r="H58">
        <f t="shared" si="63"/>
        <v>1</v>
      </c>
      <c r="I58">
        <f t="shared" si="3"/>
        <v>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11.88"/>
    <col customWidth="1" min="2" max="2" width="8.5"/>
    <col customWidth="1" min="3" max="3" width="7.25"/>
    <col customWidth="1" min="4" max="4" width="7.13"/>
    <col customWidth="1" min="5" max="5" width="9.0"/>
    <col customWidth="1" min="6" max="6" width="11.25"/>
    <col customWidth="1" min="7" max="8" width="10.5"/>
    <col customWidth="1" min="9" max="13" width="5.0"/>
    <col customWidth="1" min="14" max="14" width="4.5"/>
    <col customWidth="1" min="15" max="16" width="5.0"/>
    <col customWidth="1" min="17" max="17" width="23.5"/>
    <col customWidth="1" min="18" max="18" width="14.0"/>
    <col customWidth="1" min="19" max="19" width="7.88"/>
    <col customWidth="1" min="20" max="20" width="8.75"/>
    <col customWidth="1" min="23" max="23" width="3.75"/>
    <col customWidth="1" min="24" max="24" width="15.13"/>
    <col customWidth="1" min="25" max="25" width="11.0"/>
    <col customWidth="1" min="26" max="26" width="8.13"/>
    <col customWidth="1" min="27" max="27" width="9.75"/>
    <col customWidth="1" min="28" max="28" width="7.25"/>
    <col customWidth="1" min="29" max="29" width="7.0"/>
    <col customWidth="1" min="30" max="30" width="9.63"/>
    <col customWidth="1" min="31" max="31" width="5.5"/>
    <col customWidth="1" min="32" max="32" width="5.13"/>
  </cols>
  <sheetData>
    <row r="1">
      <c r="A1" s="76" t="s">
        <v>130</v>
      </c>
      <c r="B1" s="77" t="s">
        <v>1</v>
      </c>
      <c r="C1" s="78" t="s">
        <v>2</v>
      </c>
      <c r="D1" s="78" t="s">
        <v>3</v>
      </c>
      <c r="E1" s="79" t="s">
        <v>4</v>
      </c>
      <c r="F1" s="78" t="s">
        <v>5</v>
      </c>
      <c r="G1" s="78" t="s">
        <v>6</v>
      </c>
      <c r="H1" s="78" t="s">
        <v>7</v>
      </c>
      <c r="I1" s="78" t="s">
        <v>9</v>
      </c>
      <c r="J1" s="78" t="s">
        <v>10</v>
      </c>
      <c r="K1" s="78" t="s">
        <v>120</v>
      </c>
      <c r="L1" s="78" t="s">
        <v>12</v>
      </c>
      <c r="M1" s="78" t="s">
        <v>13</v>
      </c>
      <c r="N1" s="78" t="s">
        <v>14</v>
      </c>
      <c r="O1" s="78" t="s">
        <v>15</v>
      </c>
      <c r="P1" s="79" t="s">
        <v>16</v>
      </c>
      <c r="Q1" s="79" t="s">
        <v>17</v>
      </c>
      <c r="R1" s="83"/>
      <c r="S1" s="79"/>
      <c r="T1" s="83"/>
      <c r="U1" s="77"/>
      <c r="V1" s="77"/>
      <c r="W1" s="77"/>
      <c r="X1" s="77"/>
      <c r="Y1" s="77"/>
      <c r="AA1" s="77"/>
      <c r="AB1" s="83"/>
      <c r="AC1" s="83"/>
      <c r="AD1" s="83"/>
      <c r="AE1" s="83"/>
      <c r="AF1" s="83"/>
    </row>
    <row r="2">
      <c r="A2" s="134">
        <v>105329.0</v>
      </c>
      <c r="B2" s="135">
        <v>0.0</v>
      </c>
      <c r="C2" s="137" t="s">
        <v>91</v>
      </c>
      <c r="D2" s="137">
        <v>30.0</v>
      </c>
      <c r="E2" s="137" t="s">
        <v>61</v>
      </c>
      <c r="F2" s="139">
        <v>0.5833333333333334</v>
      </c>
      <c r="G2" s="137" t="s">
        <v>65</v>
      </c>
      <c r="H2" s="287" t="s">
        <v>106</v>
      </c>
      <c r="I2" s="288" t="str">
        <f t="shared" ref="I2:P2" si="1">#REF!</f>
        <v>#REF!</v>
      </c>
      <c r="J2" s="288" t="str">
        <f t="shared" si="1"/>
        <v>#REF!</v>
      </c>
      <c r="K2" s="288" t="str">
        <f t="shared" si="1"/>
        <v>#REF!</v>
      </c>
      <c r="L2" s="288" t="str">
        <f t="shared" si="1"/>
        <v>#REF!</v>
      </c>
      <c r="M2" s="288" t="str">
        <f t="shared" si="1"/>
        <v>#REF!</v>
      </c>
      <c r="N2" s="288" t="str">
        <f t="shared" si="1"/>
        <v>#REF!</v>
      </c>
      <c r="O2" s="288" t="str">
        <f t="shared" si="1"/>
        <v>#REF!</v>
      </c>
      <c r="P2" s="288" t="str">
        <f t="shared" si="1"/>
        <v>#REF!</v>
      </c>
      <c r="Q2" s="239" t="s">
        <v>372</v>
      </c>
      <c r="R2" s="96"/>
      <c r="S2" s="289"/>
      <c r="T2" s="290"/>
      <c r="U2" s="290"/>
      <c r="V2" s="290"/>
      <c r="W2" s="290"/>
      <c r="X2" s="290"/>
      <c r="Y2" s="290"/>
      <c r="AA2" s="290"/>
      <c r="AB2" s="86"/>
      <c r="AC2" s="86"/>
      <c r="AD2" s="86"/>
      <c r="AE2" s="86"/>
      <c r="AF2" s="86"/>
    </row>
    <row r="3">
      <c r="A3" s="134">
        <v>105330.0</v>
      </c>
      <c r="B3" s="135">
        <v>1.0</v>
      </c>
      <c r="C3" s="138" t="s">
        <v>91</v>
      </c>
      <c r="D3" s="138">
        <v>6.0</v>
      </c>
      <c r="E3" s="138" t="s">
        <v>78</v>
      </c>
      <c r="F3" s="139">
        <v>0.5833333333333334</v>
      </c>
      <c r="G3" s="138" t="s">
        <v>79</v>
      </c>
      <c r="H3" s="291" t="s">
        <v>117</v>
      </c>
      <c r="I3" s="288" t="str">
        <f t="shared" ref="I3:P3" si="2">#REF!</f>
        <v>#REF!</v>
      </c>
      <c r="J3" s="288" t="str">
        <f t="shared" si="2"/>
        <v>#REF!</v>
      </c>
      <c r="K3" s="288" t="str">
        <f t="shared" si="2"/>
        <v>#REF!</v>
      </c>
      <c r="L3" s="288" t="str">
        <f t="shared" si="2"/>
        <v>#REF!</v>
      </c>
      <c r="M3" s="288" t="str">
        <f t="shared" si="2"/>
        <v>#REF!</v>
      </c>
      <c r="N3" s="288" t="str">
        <f t="shared" si="2"/>
        <v>#REF!</v>
      </c>
      <c r="O3" s="288" t="str">
        <f t="shared" si="2"/>
        <v>#REF!</v>
      </c>
      <c r="P3" s="288" t="str">
        <f t="shared" si="2"/>
        <v>#REF!</v>
      </c>
      <c r="Q3" s="239"/>
      <c r="R3" s="96"/>
      <c r="S3" s="289"/>
      <c r="T3" s="290" t="s">
        <v>373</v>
      </c>
      <c r="U3" s="290"/>
      <c r="V3" s="290"/>
      <c r="W3" s="290"/>
      <c r="X3" s="290"/>
      <c r="Y3" s="290"/>
      <c r="Z3" s="3" t="s">
        <v>374</v>
      </c>
      <c r="AA3" s="290"/>
      <c r="AB3" s="86"/>
      <c r="AC3" s="86"/>
      <c r="AD3" s="86"/>
      <c r="AE3" s="86"/>
      <c r="AF3" s="86"/>
    </row>
    <row r="4">
      <c r="A4" s="134">
        <v>105331.0</v>
      </c>
      <c r="B4" s="135">
        <v>1.0</v>
      </c>
      <c r="C4" s="138" t="s">
        <v>57</v>
      </c>
      <c r="D4" s="138">
        <v>7.0</v>
      </c>
      <c r="E4" s="138" t="s">
        <v>78</v>
      </c>
      <c r="F4" s="139">
        <v>0.5833333333333334</v>
      </c>
      <c r="G4" s="138" t="s">
        <v>80</v>
      </c>
      <c r="H4" s="291" t="s">
        <v>100</v>
      </c>
      <c r="I4" s="288" t="str">
        <f t="shared" ref="I4:P4" si="3">#REF!</f>
        <v>#REF!</v>
      </c>
      <c r="J4" s="288" t="str">
        <f t="shared" si="3"/>
        <v>#REF!</v>
      </c>
      <c r="K4" s="288" t="str">
        <f t="shared" si="3"/>
        <v>#REF!</v>
      </c>
      <c r="L4" s="288" t="str">
        <f t="shared" si="3"/>
        <v>#REF!</v>
      </c>
      <c r="M4" s="288" t="str">
        <f t="shared" si="3"/>
        <v>#REF!</v>
      </c>
      <c r="N4" s="288" t="str">
        <f t="shared" si="3"/>
        <v>#REF!</v>
      </c>
      <c r="O4" s="288" t="str">
        <f t="shared" si="3"/>
        <v>#REF!</v>
      </c>
      <c r="P4" s="288" t="str">
        <f t="shared" si="3"/>
        <v>#REF!</v>
      </c>
      <c r="Q4" s="239"/>
      <c r="R4" s="96"/>
      <c r="S4" s="289"/>
      <c r="T4" s="290" t="s">
        <v>375</v>
      </c>
      <c r="W4" s="290"/>
      <c r="X4" s="290"/>
      <c r="Y4" s="290"/>
      <c r="Z4" s="3" t="s">
        <v>65</v>
      </c>
      <c r="AA4" s="290" t="s">
        <v>376</v>
      </c>
      <c r="AB4" s="86" t="s">
        <v>106</v>
      </c>
      <c r="AC4" s="86" t="s">
        <v>117</v>
      </c>
      <c r="AD4" s="86" t="s">
        <v>80</v>
      </c>
      <c r="AE4" s="86" t="s">
        <v>79</v>
      </c>
      <c r="AF4" s="86" t="s">
        <v>100</v>
      </c>
    </row>
    <row r="5">
      <c r="A5" s="134">
        <v>105332.0</v>
      </c>
      <c r="B5" s="135">
        <v>2.0</v>
      </c>
      <c r="C5" s="138" t="s">
        <v>91</v>
      </c>
      <c r="D5" s="138">
        <v>13.0</v>
      </c>
      <c r="E5" s="138" t="s">
        <v>78</v>
      </c>
      <c r="F5" s="139">
        <v>0.5833333333333334</v>
      </c>
      <c r="G5" s="138" t="s">
        <v>79</v>
      </c>
      <c r="H5" s="291" t="s">
        <v>65</v>
      </c>
      <c r="I5" s="288" t="str">
        <f t="shared" ref="I5:P5" si="4">#REF!</f>
        <v>#REF!</v>
      </c>
      <c r="J5" s="288" t="str">
        <f t="shared" si="4"/>
        <v>#REF!</v>
      </c>
      <c r="K5" s="288" t="str">
        <f t="shared" si="4"/>
        <v>#REF!</v>
      </c>
      <c r="L5" s="288" t="str">
        <f t="shared" si="4"/>
        <v>#REF!</v>
      </c>
      <c r="M5" s="288" t="str">
        <f t="shared" si="4"/>
        <v>#REF!</v>
      </c>
      <c r="N5" s="288" t="str">
        <f t="shared" si="4"/>
        <v>#REF!</v>
      </c>
      <c r="O5" s="288" t="str">
        <f t="shared" si="4"/>
        <v>#REF!</v>
      </c>
      <c r="P5" s="288" t="str">
        <f t="shared" si="4"/>
        <v>#REF!</v>
      </c>
      <c r="Q5" s="292" t="s">
        <v>377</v>
      </c>
      <c r="R5" s="96"/>
      <c r="S5" s="289"/>
      <c r="T5" s="290"/>
      <c r="U5" s="290"/>
      <c r="V5" s="290"/>
      <c r="W5" s="290" t="s">
        <v>64</v>
      </c>
      <c r="X5" s="290" t="s">
        <v>66</v>
      </c>
      <c r="Y5" s="86" t="s">
        <v>378</v>
      </c>
      <c r="Z5" s="3">
        <v>104.0</v>
      </c>
      <c r="AA5" s="86">
        <v>109.0</v>
      </c>
      <c r="AB5" s="86">
        <v>78.0</v>
      </c>
      <c r="AC5" s="3">
        <v>71.0</v>
      </c>
      <c r="AD5" s="86">
        <v>145.0</v>
      </c>
      <c r="AE5" s="86">
        <v>213.0</v>
      </c>
      <c r="AF5" s="86">
        <v>323.0</v>
      </c>
    </row>
    <row r="6">
      <c r="A6" s="134">
        <v>105333.0</v>
      </c>
      <c r="B6" s="135">
        <v>3.0</v>
      </c>
      <c r="C6" s="138" t="s">
        <v>57</v>
      </c>
      <c r="D6" s="138">
        <v>21.0</v>
      </c>
      <c r="E6" s="138" t="s">
        <v>78</v>
      </c>
      <c r="F6" s="139">
        <v>0.5833333333333334</v>
      </c>
      <c r="G6" s="287" t="s">
        <v>107</v>
      </c>
      <c r="H6" s="291" t="s">
        <v>117</v>
      </c>
      <c r="I6" s="288" t="str">
        <f t="shared" ref="I6:P6" si="5">#REF!</f>
        <v>#REF!</v>
      </c>
      <c r="J6" s="288" t="str">
        <f t="shared" si="5"/>
        <v>#REF!</v>
      </c>
      <c r="K6" s="288" t="str">
        <f t="shared" si="5"/>
        <v>#REF!</v>
      </c>
      <c r="L6" s="288" t="str">
        <f t="shared" si="5"/>
        <v>#REF!</v>
      </c>
      <c r="M6" s="288" t="str">
        <f t="shared" si="5"/>
        <v>#REF!</v>
      </c>
      <c r="N6" s="288" t="str">
        <f t="shared" si="5"/>
        <v>#REF!</v>
      </c>
      <c r="O6" s="288" t="str">
        <f t="shared" si="5"/>
        <v>#REF!</v>
      </c>
      <c r="P6" s="288" t="str">
        <f t="shared" si="5"/>
        <v>#REF!</v>
      </c>
      <c r="Q6" s="95" t="s">
        <v>379</v>
      </c>
      <c r="R6" s="96"/>
      <c r="S6" s="289"/>
      <c r="T6" s="290"/>
      <c r="U6" s="290"/>
      <c r="V6" s="290"/>
      <c r="W6" s="290" t="s">
        <v>86</v>
      </c>
      <c r="X6" s="290" t="s">
        <v>88</v>
      </c>
      <c r="Y6" s="86" t="s">
        <v>380</v>
      </c>
      <c r="Z6" s="3">
        <v>417.0</v>
      </c>
      <c r="AA6" s="86">
        <v>19.0</v>
      </c>
      <c r="AB6" s="86">
        <v>45.0</v>
      </c>
      <c r="AC6" s="3">
        <v>165.0</v>
      </c>
      <c r="AD6" s="86">
        <v>237.0</v>
      </c>
      <c r="AE6" s="86">
        <v>307.0</v>
      </c>
      <c r="AF6" s="86">
        <v>417.0</v>
      </c>
    </row>
    <row r="7">
      <c r="A7" s="134">
        <v>105334.0</v>
      </c>
      <c r="B7" s="135">
        <v>3.0</v>
      </c>
      <c r="C7" s="293" t="s">
        <v>77</v>
      </c>
      <c r="D7" s="138">
        <v>22.0</v>
      </c>
      <c r="E7" s="138" t="s">
        <v>78</v>
      </c>
      <c r="F7" s="139">
        <v>0.5833333333333334</v>
      </c>
      <c r="G7" s="138" t="s">
        <v>100</v>
      </c>
      <c r="H7" s="291" t="s">
        <v>79</v>
      </c>
      <c r="I7" s="288" t="str">
        <f t="shared" ref="I7:P7" si="6">#REF!</f>
        <v>#REF!</v>
      </c>
      <c r="J7" s="288" t="str">
        <f t="shared" si="6"/>
        <v>#REF!</v>
      </c>
      <c r="K7" s="288" t="str">
        <f t="shared" si="6"/>
        <v>#REF!</v>
      </c>
      <c r="L7" s="288" t="str">
        <f t="shared" si="6"/>
        <v>#REF!</v>
      </c>
      <c r="M7" s="288" t="str">
        <f t="shared" si="6"/>
        <v>#REF!</v>
      </c>
      <c r="N7" s="288" t="str">
        <f t="shared" si="6"/>
        <v>#REF!</v>
      </c>
      <c r="O7" s="288" t="str">
        <f t="shared" si="6"/>
        <v>#REF!</v>
      </c>
      <c r="P7" s="288" t="str">
        <f t="shared" si="6"/>
        <v>#REF!</v>
      </c>
      <c r="Q7" s="95" t="s">
        <v>381</v>
      </c>
      <c r="R7" s="96"/>
      <c r="S7" s="289"/>
      <c r="T7" s="290"/>
      <c r="U7" s="290"/>
      <c r="V7" s="290"/>
      <c r="W7" s="290" t="s">
        <v>123</v>
      </c>
      <c r="X7" s="290" t="s">
        <v>124</v>
      </c>
      <c r="Y7" s="86" t="s">
        <v>382</v>
      </c>
      <c r="AA7" s="86"/>
      <c r="AB7" s="86"/>
      <c r="AD7" s="86"/>
      <c r="AE7" s="86"/>
      <c r="AF7" s="86"/>
    </row>
    <row r="8">
      <c r="A8" s="134">
        <v>105335.0</v>
      </c>
      <c r="B8" s="135">
        <v>4.0</v>
      </c>
      <c r="C8" s="138" t="s">
        <v>57</v>
      </c>
      <c r="D8" s="138">
        <v>28.0</v>
      </c>
      <c r="E8" s="138" t="s">
        <v>78</v>
      </c>
      <c r="F8" s="139">
        <v>0.5833333333333334</v>
      </c>
      <c r="G8" s="138" t="s">
        <v>106</v>
      </c>
      <c r="H8" s="291" t="s">
        <v>80</v>
      </c>
      <c r="I8" s="288" t="str">
        <f t="shared" ref="I8:P8" si="7">#REF!</f>
        <v>#REF!</v>
      </c>
      <c r="J8" s="288" t="str">
        <f t="shared" si="7"/>
        <v>#REF!</v>
      </c>
      <c r="K8" s="288" t="str">
        <f t="shared" si="7"/>
        <v>#REF!</v>
      </c>
      <c r="L8" s="288" t="str">
        <f t="shared" si="7"/>
        <v>#REF!</v>
      </c>
      <c r="M8" s="288" t="str">
        <f t="shared" si="7"/>
        <v>#REF!</v>
      </c>
      <c r="N8" s="288" t="str">
        <f t="shared" si="7"/>
        <v>#REF!</v>
      </c>
      <c r="O8" s="288" t="str">
        <f t="shared" si="7"/>
        <v>#REF!</v>
      </c>
      <c r="P8" s="288" t="str">
        <f t="shared" si="7"/>
        <v>#REF!</v>
      </c>
      <c r="Q8" s="95" t="s">
        <v>383</v>
      </c>
      <c r="R8" s="96"/>
      <c r="S8" s="289"/>
      <c r="T8" s="290"/>
      <c r="U8" s="290"/>
      <c r="V8" s="290"/>
      <c r="W8" s="290" t="s">
        <v>131</v>
      </c>
      <c r="X8" s="290" t="s">
        <v>132</v>
      </c>
      <c r="Y8" s="86" t="s">
        <v>384</v>
      </c>
      <c r="Z8" s="3">
        <v>417.0</v>
      </c>
      <c r="AA8" s="86">
        <v>19.0</v>
      </c>
      <c r="AB8" s="86">
        <v>45.0</v>
      </c>
      <c r="AC8" s="3">
        <v>165.0</v>
      </c>
      <c r="AD8" s="86">
        <v>237.0</v>
      </c>
      <c r="AE8" s="86">
        <v>307.0</v>
      </c>
      <c r="AF8" s="86">
        <v>417.0</v>
      </c>
    </row>
    <row r="9">
      <c r="A9" s="134">
        <v>105336.0</v>
      </c>
      <c r="B9" s="135">
        <v>5.0</v>
      </c>
      <c r="C9" s="138" t="s">
        <v>91</v>
      </c>
      <c r="D9" s="138">
        <v>4.0</v>
      </c>
      <c r="E9" s="138" t="s">
        <v>126</v>
      </c>
      <c r="F9" s="139">
        <v>0.5833333333333334</v>
      </c>
      <c r="G9" s="137" t="s">
        <v>107</v>
      </c>
      <c r="H9" s="291" t="s">
        <v>100</v>
      </c>
      <c r="I9" s="288" t="str">
        <f t="shared" ref="I9:P9" si="8">#REF!</f>
        <v>#REF!</v>
      </c>
      <c r="J9" s="288" t="str">
        <f t="shared" si="8"/>
        <v>#REF!</v>
      </c>
      <c r="K9" s="288" t="str">
        <f t="shared" si="8"/>
        <v>#REF!</v>
      </c>
      <c r="L9" s="288" t="str">
        <f t="shared" si="8"/>
        <v>#REF!</v>
      </c>
      <c r="M9" s="288" t="str">
        <f t="shared" si="8"/>
        <v>#REF!</v>
      </c>
      <c r="N9" s="288" t="str">
        <f t="shared" si="8"/>
        <v>#REF!</v>
      </c>
      <c r="O9" s="288" t="str">
        <f t="shared" si="8"/>
        <v>#REF!</v>
      </c>
      <c r="P9" s="288" t="str">
        <f t="shared" si="8"/>
        <v>#REF!</v>
      </c>
      <c r="Q9" s="95" t="s">
        <v>385</v>
      </c>
      <c r="R9" s="96" t="s">
        <v>86</v>
      </c>
      <c r="S9" s="289" t="s">
        <v>386</v>
      </c>
      <c r="T9" s="290"/>
      <c r="U9" s="290"/>
      <c r="V9" s="290"/>
      <c r="W9" s="290" t="s">
        <v>98</v>
      </c>
      <c r="X9" s="290" t="s">
        <v>141</v>
      </c>
      <c r="Y9" s="86" t="s">
        <v>378</v>
      </c>
      <c r="Z9" s="3">
        <v>104.0</v>
      </c>
      <c r="AA9" s="86">
        <v>109.0</v>
      </c>
      <c r="AB9" s="86">
        <v>78.0</v>
      </c>
      <c r="AC9" s="3">
        <v>71.0</v>
      </c>
      <c r="AD9" s="86">
        <v>145.0</v>
      </c>
      <c r="AE9" s="86">
        <v>213.0</v>
      </c>
      <c r="AF9" s="86">
        <v>323.0</v>
      </c>
    </row>
    <row r="10">
      <c r="A10" s="134">
        <v>105337.0</v>
      </c>
      <c r="B10" s="135">
        <v>5.0</v>
      </c>
      <c r="C10" s="138" t="s">
        <v>57</v>
      </c>
      <c r="D10" s="138">
        <v>5.0</v>
      </c>
      <c r="E10" s="138" t="s">
        <v>126</v>
      </c>
      <c r="F10" s="139">
        <v>0.5833333333333334</v>
      </c>
      <c r="G10" s="287" t="s">
        <v>106</v>
      </c>
      <c r="H10" s="291" t="s">
        <v>117</v>
      </c>
      <c r="I10" s="288" t="str">
        <f t="shared" ref="I10:P10" si="9">#REF!</f>
        <v>#REF!</v>
      </c>
      <c r="J10" s="288" t="str">
        <f t="shared" si="9"/>
        <v>#REF!</v>
      </c>
      <c r="K10" s="288" t="str">
        <f t="shared" si="9"/>
        <v>#REF!</v>
      </c>
      <c r="L10" s="288" t="str">
        <f t="shared" si="9"/>
        <v>#REF!</v>
      </c>
      <c r="M10" s="288" t="str">
        <f t="shared" si="9"/>
        <v>#REF!</v>
      </c>
      <c r="N10" s="288" t="str">
        <f t="shared" si="9"/>
        <v>#REF!</v>
      </c>
      <c r="O10" s="288" t="str">
        <f t="shared" si="9"/>
        <v>#REF!</v>
      </c>
      <c r="P10" s="288" t="str">
        <f t="shared" si="9"/>
        <v>#REF!</v>
      </c>
      <c r="Q10" s="95" t="s">
        <v>387</v>
      </c>
      <c r="R10" s="96" t="s">
        <v>86</v>
      </c>
      <c r="S10" s="289" t="s">
        <v>71</v>
      </c>
      <c r="T10" s="290"/>
      <c r="U10" s="290"/>
      <c r="V10" s="290"/>
      <c r="W10" s="294" t="s">
        <v>69</v>
      </c>
      <c r="X10" s="294" t="s">
        <v>151</v>
      </c>
      <c r="Y10" s="86" t="s">
        <v>388</v>
      </c>
      <c r="Z10" s="3">
        <v>417.0</v>
      </c>
      <c r="AA10" s="86">
        <v>19.0</v>
      </c>
      <c r="AB10" s="86">
        <v>45.0</v>
      </c>
      <c r="AC10" s="3">
        <v>165.0</v>
      </c>
      <c r="AD10" s="86">
        <v>237.0</v>
      </c>
      <c r="AE10" s="86">
        <v>307.0</v>
      </c>
      <c r="AF10" s="86">
        <v>417.0</v>
      </c>
    </row>
    <row r="11">
      <c r="A11" s="134">
        <v>105338.0</v>
      </c>
      <c r="B11" s="135">
        <v>6.0</v>
      </c>
      <c r="C11" s="138" t="s">
        <v>91</v>
      </c>
      <c r="D11" s="138">
        <v>11.0</v>
      </c>
      <c r="E11" s="138" t="s">
        <v>126</v>
      </c>
      <c r="F11" s="139">
        <v>0.5833333333333334</v>
      </c>
      <c r="G11" s="138" t="s">
        <v>100</v>
      </c>
      <c r="H11" s="291" t="s">
        <v>107</v>
      </c>
      <c r="I11" s="288" t="str">
        <f t="shared" ref="I11:P11" si="10">#REF!</f>
        <v>#REF!</v>
      </c>
      <c r="J11" s="288" t="str">
        <f t="shared" si="10"/>
        <v>#REF!</v>
      </c>
      <c r="K11" s="288" t="str">
        <f t="shared" si="10"/>
        <v>#REF!</v>
      </c>
      <c r="L11" s="288" t="str">
        <f t="shared" si="10"/>
        <v>#REF!</v>
      </c>
      <c r="M11" s="288" t="str">
        <f t="shared" si="10"/>
        <v>#REF!</v>
      </c>
      <c r="N11" s="288" t="str">
        <f t="shared" si="10"/>
        <v>#REF!</v>
      </c>
      <c r="O11" s="288" t="str">
        <f t="shared" si="10"/>
        <v>#REF!</v>
      </c>
      <c r="P11" s="288" t="str">
        <f t="shared" si="10"/>
        <v>#REF!</v>
      </c>
      <c r="Q11" s="95" t="s">
        <v>389</v>
      </c>
      <c r="R11" s="96"/>
      <c r="S11" s="289"/>
      <c r="T11" s="290"/>
      <c r="U11" s="290"/>
      <c r="V11" s="290"/>
      <c r="W11" s="290" t="s">
        <v>95</v>
      </c>
      <c r="X11" s="290" t="s">
        <v>207</v>
      </c>
      <c r="Y11" s="86" t="s">
        <v>390</v>
      </c>
      <c r="AA11" s="86"/>
      <c r="AB11" s="86"/>
      <c r="AD11" s="86"/>
      <c r="AE11" s="86"/>
      <c r="AF11" s="86"/>
    </row>
    <row r="12">
      <c r="A12" s="134">
        <v>105339.0</v>
      </c>
      <c r="B12" s="135">
        <v>6.0</v>
      </c>
      <c r="C12" s="138" t="s">
        <v>57</v>
      </c>
      <c r="D12" s="138">
        <v>12.0</v>
      </c>
      <c r="E12" s="138" t="s">
        <v>126</v>
      </c>
      <c r="F12" s="139">
        <v>0.5833333333333334</v>
      </c>
      <c r="G12" s="137" t="s">
        <v>117</v>
      </c>
      <c r="H12" s="138" t="s">
        <v>80</v>
      </c>
      <c r="I12" s="288" t="str">
        <f t="shared" ref="I12:P12" si="11">#REF!</f>
        <v>#REF!</v>
      </c>
      <c r="J12" s="288" t="str">
        <f t="shared" si="11"/>
        <v>#REF!</v>
      </c>
      <c r="K12" s="288" t="str">
        <f t="shared" si="11"/>
        <v>#REF!</v>
      </c>
      <c r="L12" s="288" t="str">
        <f t="shared" si="11"/>
        <v>#REF!</v>
      </c>
      <c r="M12" s="288" t="str">
        <f t="shared" si="11"/>
        <v>#REF!</v>
      </c>
      <c r="N12" s="288" t="str">
        <f t="shared" si="11"/>
        <v>#REF!</v>
      </c>
      <c r="O12" s="288" t="str">
        <f t="shared" si="11"/>
        <v>#REF!</v>
      </c>
      <c r="P12" s="288" t="str">
        <f t="shared" si="11"/>
        <v>#REF!</v>
      </c>
      <c r="Q12" s="95" t="s">
        <v>391</v>
      </c>
      <c r="R12" s="96"/>
      <c r="S12" s="289"/>
      <c r="T12" s="290"/>
      <c r="U12" s="290"/>
      <c r="V12" s="290"/>
      <c r="W12" s="290" t="s">
        <v>85</v>
      </c>
      <c r="X12" s="290" t="s">
        <v>392</v>
      </c>
      <c r="Y12" s="86" t="s">
        <v>393</v>
      </c>
      <c r="Z12" s="3">
        <v>417.0</v>
      </c>
      <c r="AA12" s="86">
        <v>19.0</v>
      </c>
      <c r="AB12" s="86">
        <v>45.0</v>
      </c>
      <c r="AC12" s="3">
        <v>165.0</v>
      </c>
      <c r="AD12" s="86">
        <v>237.0</v>
      </c>
      <c r="AE12" s="86">
        <v>307.0</v>
      </c>
      <c r="AF12" s="86">
        <v>417.0</v>
      </c>
    </row>
    <row r="13">
      <c r="A13" s="134">
        <v>105340.0</v>
      </c>
      <c r="B13" s="135">
        <v>7.0</v>
      </c>
      <c r="C13" s="138" t="s">
        <v>57</v>
      </c>
      <c r="D13" s="138">
        <v>19.0</v>
      </c>
      <c r="E13" s="138" t="s">
        <v>126</v>
      </c>
      <c r="F13" s="139">
        <v>0.5833333333333334</v>
      </c>
      <c r="G13" s="138" t="s">
        <v>107</v>
      </c>
      <c r="H13" s="291" t="s">
        <v>65</v>
      </c>
      <c r="I13" s="288" t="str">
        <f t="shared" ref="I13:P13" si="12">#REF!</f>
        <v>#REF!</v>
      </c>
      <c r="J13" s="288" t="str">
        <f t="shared" si="12"/>
        <v>#REF!</v>
      </c>
      <c r="K13" s="288" t="str">
        <f t="shared" si="12"/>
        <v>#REF!</v>
      </c>
      <c r="L13" s="288" t="str">
        <f t="shared" si="12"/>
        <v>#REF!</v>
      </c>
      <c r="M13" s="288" t="str">
        <f t="shared" si="12"/>
        <v>#REF!</v>
      </c>
      <c r="N13" s="288" t="str">
        <f t="shared" si="12"/>
        <v>#REF!</v>
      </c>
      <c r="O13" s="288" t="str">
        <f t="shared" si="12"/>
        <v>#REF!</v>
      </c>
      <c r="P13" s="288" t="str">
        <f t="shared" si="12"/>
        <v>#REF!</v>
      </c>
      <c r="Q13" s="95" t="s">
        <v>394</v>
      </c>
      <c r="R13" s="96"/>
      <c r="S13" s="289"/>
      <c r="T13" s="290"/>
      <c r="U13" s="290"/>
      <c r="V13" s="290"/>
      <c r="W13" s="294" t="s">
        <v>82</v>
      </c>
      <c r="X13" s="294" t="s">
        <v>211</v>
      </c>
      <c r="Y13" s="86" t="s">
        <v>395</v>
      </c>
      <c r="AB13" s="86"/>
      <c r="AD13" s="86"/>
      <c r="AE13" s="86"/>
      <c r="AF13" s="86"/>
    </row>
    <row r="14">
      <c r="A14" s="134">
        <v>105341.0</v>
      </c>
      <c r="B14" s="135">
        <v>8.0</v>
      </c>
      <c r="C14" s="138" t="s">
        <v>91</v>
      </c>
      <c r="D14" s="138">
        <v>25.0</v>
      </c>
      <c r="E14" s="138" t="s">
        <v>126</v>
      </c>
      <c r="F14" s="139">
        <v>0.625</v>
      </c>
      <c r="G14" s="138" t="s">
        <v>65</v>
      </c>
      <c r="H14" s="291" t="s">
        <v>79</v>
      </c>
      <c r="I14" s="288" t="str">
        <f t="shared" ref="I14:P14" si="13">#REF!</f>
        <v>#REF!</v>
      </c>
      <c r="J14" s="288" t="str">
        <f t="shared" si="13"/>
        <v>#REF!</v>
      </c>
      <c r="K14" s="288" t="str">
        <f t="shared" si="13"/>
        <v>#REF!</v>
      </c>
      <c r="L14" s="288" t="str">
        <f t="shared" si="13"/>
        <v>#REF!</v>
      </c>
      <c r="M14" s="288" t="str">
        <f t="shared" si="13"/>
        <v>#REF!</v>
      </c>
      <c r="N14" s="288" t="str">
        <f t="shared" si="13"/>
        <v>#REF!</v>
      </c>
      <c r="O14" s="288" t="str">
        <f t="shared" si="13"/>
        <v>#REF!</v>
      </c>
      <c r="P14" s="288" t="str">
        <f t="shared" si="13"/>
        <v>#REF!</v>
      </c>
      <c r="Q14" s="95" t="s">
        <v>396</v>
      </c>
      <c r="R14" s="96"/>
      <c r="S14" s="289"/>
      <c r="T14" s="290"/>
      <c r="U14" s="294"/>
      <c r="V14" s="294"/>
      <c r="W14" s="294" t="s">
        <v>157</v>
      </c>
      <c r="X14" s="294" t="s">
        <v>210</v>
      </c>
      <c r="Y14" s="86" t="s">
        <v>397</v>
      </c>
      <c r="Z14" s="3">
        <v>417.0</v>
      </c>
      <c r="AA14" s="86">
        <v>19.0</v>
      </c>
      <c r="AB14" s="86">
        <v>45.0</v>
      </c>
      <c r="AC14" s="3">
        <v>165.0</v>
      </c>
      <c r="AD14" s="86">
        <v>237.0</v>
      </c>
      <c r="AE14" s="86">
        <v>307.0</v>
      </c>
      <c r="AF14" s="86">
        <v>417.0</v>
      </c>
    </row>
    <row r="15" ht="16.5" customHeight="1">
      <c r="A15" s="134">
        <v>105342.0</v>
      </c>
      <c r="B15" s="135">
        <v>9.0</v>
      </c>
      <c r="C15" s="293" t="s">
        <v>398</v>
      </c>
      <c r="D15" s="138">
        <v>30.0</v>
      </c>
      <c r="E15" s="138" t="s">
        <v>126</v>
      </c>
      <c r="F15" s="139">
        <v>0.6458333333333334</v>
      </c>
      <c r="G15" s="138" t="s">
        <v>80</v>
      </c>
      <c r="H15" s="291" t="s">
        <v>107</v>
      </c>
      <c r="I15" s="288" t="str">
        <f t="shared" ref="I15:P15" si="14">#REF!</f>
        <v>#REF!</v>
      </c>
      <c r="J15" s="288" t="str">
        <f t="shared" si="14"/>
        <v>#REF!</v>
      </c>
      <c r="K15" s="288" t="str">
        <f t="shared" si="14"/>
        <v>#REF!</v>
      </c>
      <c r="L15" s="288" t="str">
        <f t="shared" si="14"/>
        <v>#REF!</v>
      </c>
      <c r="M15" s="288" t="str">
        <f t="shared" si="14"/>
        <v>#REF!</v>
      </c>
      <c r="N15" s="288" t="str">
        <f t="shared" si="14"/>
        <v>#REF!</v>
      </c>
      <c r="O15" s="288" t="str">
        <f t="shared" si="14"/>
        <v>#REF!</v>
      </c>
      <c r="P15" s="288" t="str">
        <f t="shared" si="14"/>
        <v>#REF!</v>
      </c>
      <c r="Q15" s="239" t="s">
        <v>399</v>
      </c>
      <c r="R15" s="239" t="s">
        <v>400</v>
      </c>
      <c r="S15" s="289"/>
      <c r="T15" s="290"/>
      <c r="U15" s="290"/>
      <c r="V15" s="290"/>
      <c r="W15" s="290" t="s">
        <v>110</v>
      </c>
      <c r="X15" s="294" t="s">
        <v>185</v>
      </c>
      <c r="Y15" s="295" t="s">
        <v>401</v>
      </c>
      <c r="AA15" s="86"/>
      <c r="AB15" s="86"/>
      <c r="AD15" s="86"/>
      <c r="AE15" s="86"/>
      <c r="AF15" s="86"/>
    </row>
    <row r="16">
      <c r="A16" s="134">
        <v>105343.0</v>
      </c>
      <c r="B16" s="135">
        <v>9.0</v>
      </c>
      <c r="C16" s="138" t="s">
        <v>91</v>
      </c>
      <c r="D16" s="138">
        <v>1.0</v>
      </c>
      <c r="E16" s="138" t="s">
        <v>154</v>
      </c>
      <c r="F16" s="139">
        <v>0.5833333333333334</v>
      </c>
      <c r="G16" s="138" t="s">
        <v>79</v>
      </c>
      <c r="H16" s="291" t="s">
        <v>106</v>
      </c>
      <c r="I16" s="288" t="str">
        <f t="shared" ref="I16:P16" si="15">#REF!</f>
        <v>#REF!</v>
      </c>
      <c r="J16" s="288" t="str">
        <f t="shared" si="15"/>
        <v>#REF!</v>
      </c>
      <c r="K16" s="288" t="str">
        <f t="shared" si="15"/>
        <v>#REF!</v>
      </c>
      <c r="L16" s="288" t="str">
        <f t="shared" si="15"/>
        <v>#REF!</v>
      </c>
      <c r="M16" s="288" t="str">
        <f t="shared" si="15"/>
        <v>#REF!</v>
      </c>
      <c r="N16" s="288" t="str">
        <f t="shared" si="15"/>
        <v>#REF!</v>
      </c>
      <c r="O16" s="288" t="str">
        <f t="shared" si="15"/>
        <v>#REF!</v>
      </c>
      <c r="P16" s="288" t="str">
        <f t="shared" si="15"/>
        <v>#REF!</v>
      </c>
      <c r="Q16" s="239" t="s">
        <v>402</v>
      </c>
      <c r="R16" s="239"/>
      <c r="S16" s="289"/>
      <c r="T16" s="290"/>
      <c r="U16" s="290"/>
      <c r="V16" s="290"/>
      <c r="W16" s="290" t="s">
        <v>81</v>
      </c>
      <c r="X16" s="294" t="s">
        <v>164</v>
      </c>
      <c r="Y16" s="295" t="s">
        <v>403</v>
      </c>
      <c r="AA16" s="86"/>
      <c r="AB16" s="86"/>
      <c r="AD16" s="86"/>
      <c r="AE16" s="86"/>
      <c r="AF16" s="86"/>
    </row>
    <row r="17">
      <c r="A17" s="134">
        <v>105344.0</v>
      </c>
      <c r="B17" s="135">
        <v>9.0</v>
      </c>
      <c r="C17" s="138" t="s">
        <v>57</v>
      </c>
      <c r="D17" s="138">
        <v>2.0</v>
      </c>
      <c r="E17" s="138" t="s">
        <v>154</v>
      </c>
      <c r="F17" s="139">
        <v>0.5833333333333334</v>
      </c>
      <c r="G17" s="287" t="s">
        <v>117</v>
      </c>
      <c r="H17" s="138" t="s">
        <v>100</v>
      </c>
      <c r="I17" s="288" t="str">
        <f t="shared" ref="I17:P17" si="16">#REF!</f>
        <v>#REF!</v>
      </c>
      <c r="J17" s="288" t="str">
        <f t="shared" si="16"/>
        <v>#REF!</v>
      </c>
      <c r="K17" s="288" t="str">
        <f t="shared" si="16"/>
        <v>#REF!</v>
      </c>
      <c r="L17" s="288" t="str">
        <f t="shared" si="16"/>
        <v>#REF!</v>
      </c>
      <c r="M17" s="288" t="str">
        <f t="shared" si="16"/>
        <v>#REF!</v>
      </c>
      <c r="N17" s="288" t="str">
        <f t="shared" si="16"/>
        <v>#REF!</v>
      </c>
      <c r="O17" s="288" t="str">
        <f t="shared" si="16"/>
        <v>#REF!</v>
      </c>
      <c r="P17" s="288" t="str">
        <f t="shared" si="16"/>
        <v>#REF!</v>
      </c>
      <c r="Q17" s="239" t="s">
        <v>404</v>
      </c>
      <c r="R17" s="239" t="s">
        <v>405</v>
      </c>
      <c r="S17" s="289"/>
      <c r="T17" s="290"/>
      <c r="U17" s="294"/>
      <c r="V17" s="294"/>
      <c r="W17" s="290" t="s">
        <v>118</v>
      </c>
      <c r="X17" s="294" t="s">
        <v>119</v>
      </c>
      <c r="Y17" s="295" t="s">
        <v>406</v>
      </c>
      <c r="AA17" s="86"/>
      <c r="AB17" s="86"/>
      <c r="AD17" s="86"/>
      <c r="AE17" s="86"/>
      <c r="AF17" s="86"/>
    </row>
    <row r="18">
      <c r="A18" s="134">
        <v>105345.0</v>
      </c>
      <c r="B18" s="135">
        <v>10.0</v>
      </c>
      <c r="C18" s="138" t="s">
        <v>91</v>
      </c>
      <c r="D18" s="138">
        <v>8.0</v>
      </c>
      <c r="E18" s="138" t="s">
        <v>154</v>
      </c>
      <c r="F18" s="139">
        <v>0.5833333333333334</v>
      </c>
      <c r="G18" s="137" t="s">
        <v>117</v>
      </c>
      <c r="H18" s="291" t="s">
        <v>107</v>
      </c>
      <c r="I18" s="288" t="str">
        <f t="shared" ref="I18:P18" si="17">#REF!</f>
        <v>#REF!</v>
      </c>
      <c r="J18" s="288" t="str">
        <f t="shared" si="17"/>
        <v>#REF!</v>
      </c>
      <c r="K18" s="288" t="str">
        <f t="shared" si="17"/>
        <v>#REF!</v>
      </c>
      <c r="L18" s="288" t="str">
        <f t="shared" si="17"/>
        <v>#REF!</v>
      </c>
      <c r="M18" s="288" t="str">
        <f t="shared" si="17"/>
        <v>#REF!</v>
      </c>
      <c r="N18" s="288" t="str">
        <f t="shared" si="17"/>
        <v>#REF!</v>
      </c>
      <c r="O18" s="288" t="str">
        <f t="shared" si="17"/>
        <v>#REF!</v>
      </c>
      <c r="P18" s="288" t="str">
        <f t="shared" si="17"/>
        <v>#REF!</v>
      </c>
      <c r="Q18" s="95" t="s">
        <v>407</v>
      </c>
      <c r="R18" s="96"/>
      <c r="S18" s="289"/>
      <c r="T18" s="290"/>
      <c r="U18" s="294"/>
      <c r="V18" s="294"/>
      <c r="W18" s="290" t="s">
        <v>176</v>
      </c>
      <c r="X18" s="294" t="s">
        <v>221</v>
      </c>
      <c r="Y18" s="295" t="s">
        <v>408</v>
      </c>
      <c r="AA18" s="86"/>
      <c r="AB18" s="86"/>
      <c r="AD18" s="86"/>
      <c r="AE18" s="86"/>
      <c r="AF18" s="86"/>
    </row>
    <row r="19">
      <c r="A19" s="134">
        <v>105346.0</v>
      </c>
      <c r="B19" s="135">
        <v>10.0</v>
      </c>
      <c r="C19" s="138" t="s">
        <v>57</v>
      </c>
      <c r="D19" s="138">
        <v>9.0</v>
      </c>
      <c r="E19" s="138" t="s">
        <v>154</v>
      </c>
      <c r="F19" s="139">
        <v>0.5833333333333334</v>
      </c>
      <c r="G19" s="138" t="s">
        <v>106</v>
      </c>
      <c r="H19" s="287" t="s">
        <v>100</v>
      </c>
      <c r="I19" s="288" t="str">
        <f t="shared" ref="I19:P19" si="18">#REF!</f>
        <v>#REF!</v>
      </c>
      <c r="J19" s="288" t="str">
        <f t="shared" si="18"/>
        <v>#REF!</v>
      </c>
      <c r="K19" s="288" t="str">
        <f t="shared" si="18"/>
        <v>#REF!</v>
      </c>
      <c r="L19" s="288" t="str">
        <f t="shared" si="18"/>
        <v>#REF!</v>
      </c>
      <c r="M19" s="288" t="str">
        <f t="shared" si="18"/>
        <v>#REF!</v>
      </c>
      <c r="N19" s="288" t="str">
        <f t="shared" si="18"/>
        <v>#REF!</v>
      </c>
      <c r="O19" s="288" t="str">
        <f t="shared" si="18"/>
        <v>#REF!</v>
      </c>
      <c r="P19" s="288" t="str">
        <f t="shared" si="18"/>
        <v>#REF!</v>
      </c>
      <c r="Q19" s="95" t="s">
        <v>409</v>
      </c>
      <c r="R19" s="96"/>
      <c r="S19" s="289"/>
      <c r="T19" s="290"/>
      <c r="U19" s="294"/>
      <c r="V19" s="294"/>
      <c r="W19" s="290" t="s">
        <v>72</v>
      </c>
      <c r="X19" s="294" t="s">
        <v>218</v>
      </c>
      <c r="Y19" s="295" t="s">
        <v>410</v>
      </c>
      <c r="AA19" s="86"/>
      <c r="AB19" s="86"/>
      <c r="AD19" s="86"/>
      <c r="AE19" s="86"/>
      <c r="AF19" s="86"/>
    </row>
    <row r="20">
      <c r="A20" s="134">
        <v>105347.0</v>
      </c>
      <c r="B20" s="135">
        <v>11.0</v>
      </c>
      <c r="C20" s="138" t="s">
        <v>91</v>
      </c>
      <c r="D20" s="138">
        <v>15.0</v>
      </c>
      <c r="E20" s="138" t="s">
        <v>154</v>
      </c>
      <c r="F20" s="139">
        <v>0.5833333333333334</v>
      </c>
      <c r="G20" s="138" t="s">
        <v>100</v>
      </c>
      <c r="H20" s="291" t="s">
        <v>65</v>
      </c>
      <c r="I20" s="288" t="str">
        <f t="shared" ref="I20:P20" si="19">#REF!</f>
        <v>#REF!</v>
      </c>
      <c r="J20" s="288" t="str">
        <f t="shared" si="19"/>
        <v>#REF!</v>
      </c>
      <c r="K20" s="288" t="str">
        <f t="shared" si="19"/>
        <v>#REF!</v>
      </c>
      <c r="L20" s="288" t="str">
        <f t="shared" si="19"/>
        <v>#REF!</v>
      </c>
      <c r="M20" s="288" t="str">
        <f t="shared" si="19"/>
        <v>#REF!</v>
      </c>
      <c r="N20" s="288" t="str">
        <f t="shared" si="19"/>
        <v>#REF!</v>
      </c>
      <c r="O20" s="288" t="str">
        <f t="shared" si="19"/>
        <v>#REF!</v>
      </c>
      <c r="P20" s="288" t="str">
        <f t="shared" si="19"/>
        <v>#REF!</v>
      </c>
      <c r="Q20" s="239" t="s">
        <v>411</v>
      </c>
      <c r="R20" s="96"/>
      <c r="S20" s="289"/>
      <c r="T20" s="290"/>
      <c r="U20" s="294"/>
      <c r="V20" s="294"/>
      <c r="W20" s="290" t="s">
        <v>101</v>
      </c>
      <c r="X20" s="294" t="s">
        <v>220</v>
      </c>
      <c r="Y20" s="295" t="s">
        <v>412</v>
      </c>
      <c r="AA20" s="294"/>
      <c r="AB20" s="290"/>
      <c r="AD20" s="294"/>
      <c r="AE20" s="294"/>
      <c r="AF20" s="294"/>
    </row>
    <row r="21">
      <c r="A21" s="134">
        <v>105348.0</v>
      </c>
      <c r="B21" s="135">
        <v>11.0</v>
      </c>
      <c r="C21" s="138" t="s">
        <v>91</v>
      </c>
      <c r="D21" s="138">
        <v>15.0</v>
      </c>
      <c r="E21" s="138" t="s">
        <v>154</v>
      </c>
      <c r="F21" s="139">
        <v>0.7083333333333334</v>
      </c>
      <c r="G21" s="138" t="s">
        <v>80</v>
      </c>
      <c r="H21" s="291" t="s">
        <v>79</v>
      </c>
      <c r="I21" s="288" t="str">
        <f t="shared" ref="I21:P21" si="20">#REF!</f>
        <v>#REF!</v>
      </c>
      <c r="J21" s="288" t="str">
        <f t="shared" si="20"/>
        <v>#REF!</v>
      </c>
      <c r="K21" s="288" t="str">
        <f t="shared" si="20"/>
        <v>#REF!</v>
      </c>
      <c r="L21" s="288" t="str">
        <f t="shared" si="20"/>
        <v>#REF!</v>
      </c>
      <c r="M21" s="288" t="str">
        <f t="shared" si="20"/>
        <v>#REF!</v>
      </c>
      <c r="N21" s="288" t="str">
        <f t="shared" si="20"/>
        <v>#REF!</v>
      </c>
      <c r="O21" s="288" t="str">
        <f t="shared" si="20"/>
        <v>#REF!</v>
      </c>
      <c r="P21" s="288" t="str">
        <f t="shared" si="20"/>
        <v>#REF!</v>
      </c>
      <c r="Q21" s="95" t="s">
        <v>413</v>
      </c>
      <c r="R21" s="96"/>
      <c r="S21" s="289"/>
      <c r="T21" s="290"/>
      <c r="U21" s="294"/>
      <c r="V21" s="294"/>
      <c r="W21" s="290" t="s">
        <v>216</v>
      </c>
      <c r="X21" s="294" t="s">
        <v>414</v>
      </c>
      <c r="Y21" s="295" t="s">
        <v>415</v>
      </c>
      <c r="AA21" s="294"/>
      <c r="AB21" s="290"/>
      <c r="AD21" s="294"/>
      <c r="AE21" s="294"/>
      <c r="AF21" s="294"/>
    </row>
    <row r="22">
      <c r="A22" s="134">
        <v>105349.0</v>
      </c>
      <c r="B22" s="135">
        <v>12.0</v>
      </c>
      <c r="C22" s="138" t="s">
        <v>91</v>
      </c>
      <c r="D22" s="138">
        <v>22.0</v>
      </c>
      <c r="E22" s="138" t="s">
        <v>154</v>
      </c>
      <c r="F22" s="139">
        <v>0.5833333333333334</v>
      </c>
      <c r="G22" s="138" t="s">
        <v>117</v>
      </c>
      <c r="H22" s="137" t="s">
        <v>79</v>
      </c>
      <c r="I22" s="288" t="str">
        <f t="shared" ref="I22:P22" si="21">#REF!</f>
        <v>#REF!</v>
      </c>
      <c r="J22" s="288" t="str">
        <f t="shared" si="21"/>
        <v>#REF!</v>
      </c>
      <c r="K22" s="288" t="str">
        <f t="shared" si="21"/>
        <v>#REF!</v>
      </c>
      <c r="L22" s="288" t="str">
        <f t="shared" si="21"/>
        <v>#REF!</v>
      </c>
      <c r="M22" s="288" t="str">
        <f t="shared" si="21"/>
        <v>#REF!</v>
      </c>
      <c r="N22" s="288" t="str">
        <f t="shared" si="21"/>
        <v>#REF!</v>
      </c>
      <c r="O22" s="288" t="str">
        <f t="shared" si="21"/>
        <v>#REF!</v>
      </c>
      <c r="P22" s="288" t="str">
        <f t="shared" si="21"/>
        <v>#REF!</v>
      </c>
      <c r="Q22" s="95" t="s">
        <v>416</v>
      </c>
      <c r="R22" s="126"/>
      <c r="S22" s="296"/>
      <c r="T22" s="290"/>
      <c r="U22" s="294"/>
      <c r="V22" s="294"/>
      <c r="W22" s="290" t="s">
        <v>103</v>
      </c>
      <c r="X22" s="294" t="s">
        <v>222</v>
      </c>
      <c r="Y22" s="295" t="s">
        <v>417</v>
      </c>
      <c r="AA22" s="294"/>
      <c r="AB22" s="290"/>
      <c r="AD22" s="294"/>
      <c r="AE22" s="294"/>
      <c r="AF22" s="294"/>
    </row>
    <row r="23">
      <c r="A23" s="134">
        <v>105350.0</v>
      </c>
      <c r="B23" s="135">
        <v>12.0</v>
      </c>
      <c r="C23" s="138" t="s">
        <v>57</v>
      </c>
      <c r="D23" s="138">
        <v>23.0</v>
      </c>
      <c r="E23" s="138" t="s">
        <v>154</v>
      </c>
      <c r="F23" s="139">
        <v>0.5833333333333334</v>
      </c>
      <c r="G23" s="138" t="s">
        <v>65</v>
      </c>
      <c r="H23" s="287" t="s">
        <v>80</v>
      </c>
      <c r="I23" s="288" t="str">
        <f t="shared" ref="I23:P23" si="22">#REF!</f>
        <v>#REF!</v>
      </c>
      <c r="J23" s="288" t="str">
        <f t="shared" si="22"/>
        <v>#REF!</v>
      </c>
      <c r="K23" s="288" t="str">
        <f t="shared" si="22"/>
        <v>#REF!</v>
      </c>
      <c r="L23" s="288" t="str">
        <f t="shared" si="22"/>
        <v>#REF!</v>
      </c>
      <c r="M23" s="288" t="str">
        <f t="shared" si="22"/>
        <v>#REF!</v>
      </c>
      <c r="N23" s="288" t="str">
        <f t="shared" si="22"/>
        <v>#REF!</v>
      </c>
      <c r="O23" s="288" t="str">
        <f t="shared" si="22"/>
        <v>#REF!</v>
      </c>
      <c r="P23" s="288" t="str">
        <f t="shared" si="22"/>
        <v>#REF!</v>
      </c>
      <c r="Q23" s="95" t="s">
        <v>418</v>
      </c>
      <c r="R23" s="126"/>
      <c r="S23" s="296"/>
      <c r="T23" s="290"/>
      <c r="U23" s="294"/>
      <c r="V23" s="294"/>
      <c r="W23" s="294" t="s">
        <v>225</v>
      </c>
      <c r="X23" s="294" t="s">
        <v>279</v>
      </c>
      <c r="Y23" s="86" t="s">
        <v>378</v>
      </c>
      <c r="Z23" s="3">
        <v>104.0</v>
      </c>
      <c r="AA23" s="86">
        <v>109.0</v>
      </c>
      <c r="AB23" s="86">
        <v>78.0</v>
      </c>
      <c r="AC23" s="3">
        <v>71.0</v>
      </c>
      <c r="AD23" s="86">
        <v>145.0</v>
      </c>
      <c r="AE23" s="86">
        <v>213.0</v>
      </c>
      <c r="AF23" s="86">
        <v>323.0</v>
      </c>
    </row>
    <row r="24">
      <c r="A24" s="134">
        <v>105351.0</v>
      </c>
      <c r="B24" s="135">
        <v>13.0</v>
      </c>
      <c r="C24" s="138" t="s">
        <v>91</v>
      </c>
      <c r="D24" s="138">
        <v>29.0</v>
      </c>
      <c r="E24" s="138" t="s">
        <v>154</v>
      </c>
      <c r="F24" s="139">
        <v>0.5833333333333334</v>
      </c>
      <c r="G24" s="138" t="s">
        <v>107</v>
      </c>
      <c r="H24" s="138" t="s">
        <v>106</v>
      </c>
      <c r="I24" s="288" t="str">
        <f t="shared" ref="I24:P24" si="23">#REF!</f>
        <v>#REF!</v>
      </c>
      <c r="J24" s="288" t="str">
        <f t="shared" si="23"/>
        <v>#REF!</v>
      </c>
      <c r="K24" s="288" t="str">
        <f t="shared" si="23"/>
        <v>#REF!</v>
      </c>
      <c r="L24" s="288" t="str">
        <f t="shared" si="23"/>
        <v>#REF!</v>
      </c>
      <c r="M24" s="288" t="str">
        <f t="shared" si="23"/>
        <v>#REF!</v>
      </c>
      <c r="N24" s="288" t="str">
        <f t="shared" si="23"/>
        <v>#REF!</v>
      </c>
      <c r="O24" s="288" t="str">
        <f t="shared" si="23"/>
        <v>#REF!</v>
      </c>
      <c r="P24" s="288" t="str">
        <f t="shared" si="23"/>
        <v>#REF!</v>
      </c>
      <c r="Q24" s="95" t="s">
        <v>419</v>
      </c>
      <c r="R24" s="126"/>
      <c r="S24" s="296"/>
      <c r="T24" s="290"/>
      <c r="U24" s="294"/>
      <c r="V24" s="294"/>
      <c r="W24" s="294" t="s">
        <v>105</v>
      </c>
      <c r="X24" s="294" t="s">
        <v>229</v>
      </c>
      <c r="Y24" s="86" t="s">
        <v>415</v>
      </c>
      <c r="AA24" s="294"/>
      <c r="AB24" s="290"/>
      <c r="AD24" s="294"/>
      <c r="AE24" s="294"/>
      <c r="AF24" s="294"/>
    </row>
    <row r="25">
      <c r="A25" s="134">
        <v>105352.0</v>
      </c>
      <c r="B25" s="135">
        <v>14.0</v>
      </c>
      <c r="C25" s="138" t="s">
        <v>91</v>
      </c>
      <c r="D25" s="138">
        <v>3.0</v>
      </c>
      <c r="E25" s="138" t="s">
        <v>187</v>
      </c>
      <c r="F25" s="139">
        <v>0.5833333333333334</v>
      </c>
      <c r="G25" s="138" t="s">
        <v>106</v>
      </c>
      <c r="H25" s="291" t="s">
        <v>107</v>
      </c>
      <c r="I25" s="288" t="str">
        <f t="shared" ref="I25:P25" si="24">#REF!</f>
        <v>#REF!</v>
      </c>
      <c r="J25" s="288" t="str">
        <f t="shared" si="24"/>
        <v>#REF!</v>
      </c>
      <c r="K25" s="288" t="str">
        <f t="shared" si="24"/>
        <v>#REF!</v>
      </c>
      <c r="L25" s="288" t="str">
        <f t="shared" si="24"/>
        <v>#REF!</v>
      </c>
      <c r="M25" s="288" t="str">
        <f t="shared" si="24"/>
        <v>#REF!</v>
      </c>
      <c r="N25" s="288" t="str">
        <f t="shared" si="24"/>
        <v>#REF!</v>
      </c>
      <c r="O25" s="288" t="str">
        <f t="shared" si="24"/>
        <v>#REF!</v>
      </c>
      <c r="P25" s="288" t="str">
        <f t="shared" si="24"/>
        <v>#REF!</v>
      </c>
      <c r="Q25" s="95"/>
      <c r="R25" s="126"/>
      <c r="S25" s="296"/>
      <c r="T25" s="290"/>
      <c r="U25" s="294"/>
      <c r="V25" s="294"/>
      <c r="W25" s="294" t="s">
        <v>148</v>
      </c>
      <c r="X25" s="294" t="s">
        <v>231</v>
      </c>
      <c r="Y25" s="86" t="s">
        <v>420</v>
      </c>
      <c r="Z25" s="3">
        <v>417.0</v>
      </c>
      <c r="AA25" s="86">
        <v>19.0</v>
      </c>
      <c r="AB25" s="86">
        <v>45.0</v>
      </c>
      <c r="AC25" s="3">
        <v>165.0</v>
      </c>
      <c r="AD25" s="86">
        <v>237.0</v>
      </c>
      <c r="AE25" s="86">
        <v>307.0</v>
      </c>
      <c r="AF25" s="86">
        <v>417.0</v>
      </c>
    </row>
    <row r="26">
      <c r="A26" s="134">
        <v>105354.0</v>
      </c>
      <c r="B26" s="135">
        <v>16.0</v>
      </c>
      <c r="C26" s="138" t="s">
        <v>91</v>
      </c>
      <c r="D26" s="138">
        <v>17.0</v>
      </c>
      <c r="E26" s="138" t="s">
        <v>187</v>
      </c>
      <c r="F26" s="139">
        <v>0.5833333333333334</v>
      </c>
      <c r="G26" s="138" t="s">
        <v>106</v>
      </c>
      <c r="H26" s="138" t="s">
        <v>65</v>
      </c>
      <c r="I26" s="288" t="str">
        <f t="shared" ref="I26:P26" si="25">#REF!</f>
        <v>#REF!</v>
      </c>
      <c r="J26" s="288" t="str">
        <f t="shared" si="25"/>
        <v>#REF!</v>
      </c>
      <c r="K26" s="288" t="str">
        <f t="shared" si="25"/>
        <v>#REF!</v>
      </c>
      <c r="L26" s="288" t="str">
        <f t="shared" si="25"/>
        <v>#REF!</v>
      </c>
      <c r="M26" s="288" t="str">
        <f t="shared" si="25"/>
        <v>#REF!</v>
      </c>
      <c r="N26" s="288" t="str">
        <f t="shared" si="25"/>
        <v>#REF!</v>
      </c>
      <c r="O26" s="288" t="str">
        <f t="shared" si="25"/>
        <v>#REF!</v>
      </c>
      <c r="P26" s="288" t="str">
        <f t="shared" si="25"/>
        <v>#REF!</v>
      </c>
      <c r="Q26" s="95"/>
      <c r="R26" s="96"/>
      <c r="S26" s="289"/>
      <c r="T26" s="290"/>
      <c r="U26" s="294"/>
      <c r="V26" s="294"/>
      <c r="W26" s="290" t="s">
        <v>144</v>
      </c>
      <c r="X26" s="290" t="s">
        <v>145</v>
      </c>
      <c r="Y26" s="86" t="s">
        <v>421</v>
      </c>
      <c r="AA26" s="294"/>
      <c r="AB26" s="290"/>
      <c r="AD26" s="294"/>
      <c r="AE26" s="294"/>
      <c r="AF26" s="294"/>
    </row>
    <row r="27">
      <c r="A27" s="134">
        <v>105353.0</v>
      </c>
      <c r="B27" s="135">
        <v>16.0</v>
      </c>
      <c r="C27" s="138" t="s">
        <v>91</v>
      </c>
      <c r="D27" s="138">
        <v>17.0</v>
      </c>
      <c r="E27" s="138" t="s">
        <v>187</v>
      </c>
      <c r="F27" s="139">
        <v>0.5833333333333334</v>
      </c>
      <c r="G27" s="137" t="s">
        <v>79</v>
      </c>
      <c r="H27" s="291" t="s">
        <v>80</v>
      </c>
      <c r="I27" s="288" t="str">
        <f t="shared" ref="I27:P27" si="26">#REF!</f>
        <v>#REF!</v>
      </c>
      <c r="J27" s="288" t="str">
        <f t="shared" si="26"/>
        <v>#REF!</v>
      </c>
      <c r="K27" s="288" t="str">
        <f t="shared" si="26"/>
        <v>#REF!</v>
      </c>
      <c r="L27" s="288" t="str">
        <f t="shared" si="26"/>
        <v>#REF!</v>
      </c>
      <c r="M27" s="288" t="str">
        <f t="shared" si="26"/>
        <v>#REF!</v>
      </c>
      <c r="N27" s="288" t="str">
        <f t="shared" si="26"/>
        <v>#REF!</v>
      </c>
      <c r="O27" s="288" t="str">
        <f t="shared" si="26"/>
        <v>#REF!</v>
      </c>
      <c r="P27" s="288" t="str">
        <f t="shared" si="26"/>
        <v>#REF!</v>
      </c>
      <c r="Q27" s="95"/>
      <c r="R27" s="96"/>
      <c r="S27" s="289"/>
      <c r="T27" s="290"/>
      <c r="U27" s="294"/>
      <c r="V27" s="294"/>
      <c r="W27" s="290" t="s">
        <v>71</v>
      </c>
      <c r="X27" s="290" t="s">
        <v>232</v>
      </c>
      <c r="Y27" s="86" t="s">
        <v>408</v>
      </c>
      <c r="AA27" s="294"/>
      <c r="AB27" s="290"/>
      <c r="AD27" s="294"/>
      <c r="AE27" s="294"/>
      <c r="AF27" s="294"/>
    </row>
    <row r="28">
      <c r="A28" s="134">
        <v>105355.0</v>
      </c>
      <c r="B28" s="135">
        <v>16.0</v>
      </c>
      <c r="C28" s="138" t="s">
        <v>57</v>
      </c>
      <c r="D28" s="138">
        <v>18.0</v>
      </c>
      <c r="E28" s="138" t="s">
        <v>187</v>
      </c>
      <c r="F28" s="139">
        <v>0.5833333333333334</v>
      </c>
      <c r="G28" s="138" t="s">
        <v>100</v>
      </c>
      <c r="H28" s="291" t="s">
        <v>117</v>
      </c>
      <c r="I28" s="288" t="str">
        <f t="shared" ref="I28:P28" si="27">#REF!</f>
        <v>#REF!</v>
      </c>
      <c r="J28" s="288" t="str">
        <f t="shared" si="27"/>
        <v>#REF!</v>
      </c>
      <c r="K28" s="288" t="str">
        <f t="shared" si="27"/>
        <v>#REF!</v>
      </c>
      <c r="L28" s="288" t="str">
        <f t="shared" si="27"/>
        <v>#REF!</v>
      </c>
      <c r="M28" s="288" t="str">
        <f t="shared" si="27"/>
        <v>#REF!</v>
      </c>
      <c r="N28" s="288" t="str">
        <f t="shared" si="27"/>
        <v>#REF!</v>
      </c>
      <c r="O28" s="288" t="str">
        <f t="shared" si="27"/>
        <v>#REF!</v>
      </c>
      <c r="P28" s="288" t="str">
        <f t="shared" si="27"/>
        <v>#REF!</v>
      </c>
      <c r="Q28" s="115" t="s">
        <v>422</v>
      </c>
      <c r="R28" s="96"/>
      <c r="S28" s="289"/>
      <c r="T28" s="290"/>
      <c r="U28" s="294"/>
      <c r="V28" s="294"/>
      <c r="W28" s="290" t="s">
        <v>135</v>
      </c>
      <c r="X28" s="290" t="s">
        <v>423</v>
      </c>
      <c r="Y28" s="86" t="s">
        <v>424</v>
      </c>
      <c r="AA28" s="86"/>
      <c r="AB28" s="86"/>
      <c r="AD28" s="86"/>
      <c r="AE28" s="86"/>
      <c r="AF28" s="86"/>
    </row>
    <row r="29">
      <c r="A29" s="134">
        <v>105356.0</v>
      </c>
      <c r="B29" s="135">
        <v>17.0</v>
      </c>
      <c r="C29" s="293" t="s">
        <v>139</v>
      </c>
      <c r="D29" s="138">
        <v>23.0</v>
      </c>
      <c r="E29" s="138" t="s">
        <v>187</v>
      </c>
      <c r="F29" s="139">
        <v>0.7916666666666666</v>
      </c>
      <c r="G29" s="287" t="s">
        <v>65</v>
      </c>
      <c r="H29" s="291" t="s">
        <v>107</v>
      </c>
      <c r="I29" s="288" t="str">
        <f t="shared" ref="I29:P29" si="28">#REF!</f>
        <v>#REF!</v>
      </c>
      <c r="J29" s="288" t="str">
        <f t="shared" si="28"/>
        <v>#REF!</v>
      </c>
      <c r="K29" s="288" t="str">
        <f t="shared" si="28"/>
        <v>#REF!</v>
      </c>
      <c r="L29" s="288" t="str">
        <f t="shared" si="28"/>
        <v>#REF!</v>
      </c>
      <c r="M29" s="288" t="str">
        <f t="shared" si="28"/>
        <v>#REF!</v>
      </c>
      <c r="N29" s="288" t="str">
        <f t="shared" si="28"/>
        <v>#REF!</v>
      </c>
      <c r="O29" s="288" t="str">
        <f t="shared" si="28"/>
        <v>#REF!</v>
      </c>
      <c r="P29" s="288" t="str">
        <f t="shared" si="28"/>
        <v>#REF!</v>
      </c>
      <c r="Q29" s="95" t="s">
        <v>425</v>
      </c>
      <c r="R29" s="96"/>
      <c r="S29" s="289"/>
      <c r="T29" s="290"/>
      <c r="U29" s="294"/>
      <c r="V29" s="294"/>
      <c r="W29" s="290" t="s">
        <v>111</v>
      </c>
      <c r="X29" s="290" t="s">
        <v>112</v>
      </c>
      <c r="Y29" s="86" t="s">
        <v>426</v>
      </c>
      <c r="AA29" s="86"/>
      <c r="AB29" s="86"/>
      <c r="AD29" s="86"/>
      <c r="AE29" s="86"/>
      <c r="AF29" s="86"/>
    </row>
    <row r="30">
      <c r="A30" s="134">
        <v>105357.0</v>
      </c>
      <c r="B30" s="135">
        <v>17.0</v>
      </c>
      <c r="C30" s="138" t="s">
        <v>91</v>
      </c>
      <c r="D30" s="138">
        <v>24.0</v>
      </c>
      <c r="E30" s="138" t="s">
        <v>187</v>
      </c>
      <c r="F30" s="139">
        <v>0.5833333333333334</v>
      </c>
      <c r="G30" s="138" t="s">
        <v>100</v>
      </c>
      <c r="H30" s="291" t="s">
        <v>80</v>
      </c>
      <c r="I30" s="288" t="str">
        <f t="shared" ref="I30:P30" si="29">#REF!</f>
        <v>#REF!</v>
      </c>
      <c r="J30" s="288" t="str">
        <f t="shared" si="29"/>
        <v>#REF!</v>
      </c>
      <c r="K30" s="288" t="str">
        <f t="shared" si="29"/>
        <v>#REF!</v>
      </c>
      <c r="L30" s="288" t="str">
        <f t="shared" si="29"/>
        <v>#REF!</v>
      </c>
      <c r="M30" s="288" t="str">
        <f t="shared" si="29"/>
        <v>#REF!</v>
      </c>
      <c r="N30" s="288" t="str">
        <f t="shared" si="29"/>
        <v>#REF!</v>
      </c>
      <c r="O30" s="288" t="str">
        <f t="shared" si="29"/>
        <v>#REF!</v>
      </c>
      <c r="P30" s="288" t="str">
        <f t="shared" si="29"/>
        <v>#REF!</v>
      </c>
      <c r="Q30" s="95" t="s">
        <v>427</v>
      </c>
      <c r="R30" s="96"/>
      <c r="S30" s="289"/>
      <c r="T30" s="290"/>
      <c r="U30" s="294"/>
      <c r="V30" s="294"/>
      <c r="AA30" s="86"/>
      <c r="AB30" s="86"/>
      <c r="AD30" s="86"/>
      <c r="AE30" s="86"/>
      <c r="AF30" s="86"/>
    </row>
    <row r="31">
      <c r="A31" s="134">
        <v>105358.0</v>
      </c>
      <c r="B31" s="135">
        <v>17.0</v>
      </c>
      <c r="C31" s="138" t="s">
        <v>57</v>
      </c>
      <c r="D31" s="138">
        <v>25.0</v>
      </c>
      <c r="E31" s="138" t="s">
        <v>187</v>
      </c>
      <c r="F31" s="139">
        <v>0.5833333333333334</v>
      </c>
      <c r="G31" s="287" t="s">
        <v>117</v>
      </c>
      <c r="H31" s="137" t="s">
        <v>106</v>
      </c>
      <c r="I31" s="288" t="str">
        <f t="shared" ref="I31:P31" si="30">#REF!</f>
        <v>#REF!</v>
      </c>
      <c r="J31" s="288" t="str">
        <f t="shared" si="30"/>
        <v>#REF!</v>
      </c>
      <c r="K31" s="288" t="str">
        <f t="shared" si="30"/>
        <v>#REF!</v>
      </c>
      <c r="L31" s="288" t="str">
        <f t="shared" si="30"/>
        <v>#REF!</v>
      </c>
      <c r="M31" s="288" t="str">
        <f t="shared" si="30"/>
        <v>#REF!</v>
      </c>
      <c r="N31" s="288" t="str">
        <f t="shared" si="30"/>
        <v>#REF!</v>
      </c>
      <c r="O31" s="288" t="str">
        <f t="shared" si="30"/>
        <v>#REF!</v>
      </c>
      <c r="P31" s="288" t="str">
        <f t="shared" si="30"/>
        <v>#REF!</v>
      </c>
      <c r="Q31" s="95" t="s">
        <v>292</v>
      </c>
      <c r="R31" s="96"/>
      <c r="S31" s="289"/>
      <c r="T31" s="290"/>
      <c r="U31" s="294"/>
      <c r="V31" s="294"/>
      <c r="AA31" s="86"/>
      <c r="AB31" s="86"/>
      <c r="AD31" s="86"/>
      <c r="AE31" s="86"/>
      <c r="AF31" s="86"/>
    </row>
    <row r="32">
      <c r="A32" s="134">
        <v>105359.0</v>
      </c>
      <c r="B32" s="135">
        <v>18.0</v>
      </c>
      <c r="C32" s="138" t="s">
        <v>91</v>
      </c>
      <c r="D32" s="138">
        <v>31.0</v>
      </c>
      <c r="E32" s="138" t="s">
        <v>187</v>
      </c>
      <c r="F32" s="139">
        <v>0.5833333333333334</v>
      </c>
      <c r="G32" s="138" t="s">
        <v>80</v>
      </c>
      <c r="H32" s="291" t="s">
        <v>65</v>
      </c>
      <c r="I32" s="288" t="str">
        <f t="shared" ref="I32:P32" si="31">#REF!</f>
        <v>#REF!</v>
      </c>
      <c r="J32" s="288" t="str">
        <f t="shared" si="31"/>
        <v>#REF!</v>
      </c>
      <c r="K32" s="288" t="str">
        <f t="shared" si="31"/>
        <v>#REF!</v>
      </c>
      <c r="L32" s="288" t="str">
        <f t="shared" si="31"/>
        <v>#REF!</v>
      </c>
      <c r="M32" s="288" t="str">
        <f t="shared" si="31"/>
        <v>#REF!</v>
      </c>
      <c r="N32" s="288" t="str">
        <f t="shared" si="31"/>
        <v>#REF!</v>
      </c>
      <c r="O32" s="288" t="str">
        <f t="shared" si="31"/>
        <v>#REF!</v>
      </c>
      <c r="P32" s="288" t="str">
        <f t="shared" si="31"/>
        <v>#REF!</v>
      </c>
      <c r="Q32" s="95" t="s">
        <v>428</v>
      </c>
      <c r="R32" s="96"/>
      <c r="S32" s="289"/>
      <c r="T32" s="290"/>
      <c r="U32" s="294"/>
      <c r="V32" s="294"/>
      <c r="AA32" s="86"/>
      <c r="AB32" s="86"/>
      <c r="AD32" s="86"/>
      <c r="AE32" s="86"/>
      <c r="AF32" s="86"/>
    </row>
    <row r="33">
      <c r="A33" s="134">
        <v>105360.0</v>
      </c>
      <c r="B33" s="135">
        <v>18.0</v>
      </c>
      <c r="C33" s="138" t="s">
        <v>57</v>
      </c>
      <c r="D33" s="138">
        <v>1.0</v>
      </c>
      <c r="E33" s="138" t="s">
        <v>429</v>
      </c>
      <c r="F33" s="139">
        <v>0.5833333333333334</v>
      </c>
      <c r="G33" s="138" t="s">
        <v>79</v>
      </c>
      <c r="H33" s="291" t="s">
        <v>100</v>
      </c>
      <c r="I33" s="288" t="str">
        <f t="shared" ref="I33:P33" si="32">#REF!</f>
        <v>#REF!</v>
      </c>
      <c r="J33" s="288" t="str">
        <f t="shared" si="32"/>
        <v>#REF!</v>
      </c>
      <c r="K33" s="288" t="str">
        <f t="shared" si="32"/>
        <v>#REF!</v>
      </c>
      <c r="L33" s="288" t="str">
        <f t="shared" si="32"/>
        <v>#REF!</v>
      </c>
      <c r="M33" s="288" t="str">
        <f t="shared" si="32"/>
        <v>#REF!</v>
      </c>
      <c r="N33" s="288" t="str">
        <f t="shared" si="32"/>
        <v>#REF!</v>
      </c>
      <c r="O33" s="288" t="str">
        <f t="shared" si="32"/>
        <v>#REF!</v>
      </c>
      <c r="P33" s="288" t="str">
        <f t="shared" si="32"/>
        <v>#REF!</v>
      </c>
      <c r="Q33" s="95" t="s">
        <v>430</v>
      </c>
      <c r="R33" s="96"/>
      <c r="S33" s="289"/>
      <c r="T33" s="290"/>
      <c r="U33" s="294"/>
      <c r="V33" s="294"/>
      <c r="AA33" s="86"/>
      <c r="AB33" s="86"/>
      <c r="AD33" s="86"/>
      <c r="AE33" s="86"/>
      <c r="AF33" s="86"/>
    </row>
    <row r="34">
      <c r="A34" s="134">
        <v>105361.0</v>
      </c>
      <c r="B34" s="135">
        <v>19.0</v>
      </c>
      <c r="C34" s="138" t="s">
        <v>91</v>
      </c>
      <c r="D34" s="138">
        <v>7.0</v>
      </c>
      <c r="E34" s="138" t="s">
        <v>429</v>
      </c>
      <c r="F34" s="139">
        <v>0.5833333333333334</v>
      </c>
      <c r="G34" s="138" t="s">
        <v>107</v>
      </c>
      <c r="H34" s="291" t="s">
        <v>79</v>
      </c>
      <c r="I34" s="288" t="str">
        <f t="shared" ref="I34:P34" si="33">#REF!</f>
        <v>#REF!</v>
      </c>
      <c r="J34" s="288" t="str">
        <f t="shared" si="33"/>
        <v>#REF!</v>
      </c>
      <c r="K34" s="288" t="str">
        <f t="shared" si="33"/>
        <v>#REF!</v>
      </c>
      <c r="L34" s="288" t="str">
        <f t="shared" si="33"/>
        <v>#REF!</v>
      </c>
      <c r="M34" s="288" t="str">
        <f t="shared" si="33"/>
        <v>#REF!</v>
      </c>
      <c r="N34" s="288" t="str">
        <f t="shared" si="33"/>
        <v>#REF!</v>
      </c>
      <c r="O34" s="288" t="str">
        <f t="shared" si="33"/>
        <v>#REF!</v>
      </c>
      <c r="P34" s="288" t="str">
        <f t="shared" si="33"/>
        <v>#REF!</v>
      </c>
      <c r="Q34" s="95"/>
      <c r="R34" s="96"/>
      <c r="S34" s="289"/>
      <c r="T34" s="290"/>
      <c r="U34" s="294"/>
      <c r="V34" s="294"/>
      <c r="AA34" s="86"/>
      <c r="AB34" s="86"/>
      <c r="AD34" s="86"/>
      <c r="AE34" s="86"/>
      <c r="AF34" s="86"/>
    </row>
    <row r="35">
      <c r="A35" s="134">
        <v>105363.0</v>
      </c>
      <c r="B35" s="135">
        <v>19.0</v>
      </c>
      <c r="C35" s="138" t="s">
        <v>57</v>
      </c>
      <c r="D35" s="138">
        <v>8.0</v>
      </c>
      <c r="E35" s="138" t="s">
        <v>429</v>
      </c>
      <c r="F35" s="139">
        <v>0.5833333333333334</v>
      </c>
      <c r="G35" s="138" t="s">
        <v>80</v>
      </c>
      <c r="H35" s="138" t="s">
        <v>106</v>
      </c>
      <c r="I35" s="288" t="str">
        <f t="shared" ref="I35:P35" si="34">#REF!</f>
        <v>#REF!</v>
      </c>
      <c r="J35" s="288" t="str">
        <f t="shared" si="34"/>
        <v>#REF!</v>
      </c>
      <c r="K35" s="288" t="str">
        <f t="shared" si="34"/>
        <v>#REF!</v>
      </c>
      <c r="L35" s="288" t="str">
        <f t="shared" si="34"/>
        <v>#REF!</v>
      </c>
      <c r="M35" s="288" t="str">
        <f t="shared" si="34"/>
        <v>#REF!</v>
      </c>
      <c r="N35" s="288" t="str">
        <f t="shared" si="34"/>
        <v>#REF!</v>
      </c>
      <c r="O35" s="288" t="str">
        <f t="shared" si="34"/>
        <v>#REF!</v>
      </c>
      <c r="P35" s="288" t="str">
        <f t="shared" si="34"/>
        <v>#REF!</v>
      </c>
      <c r="Q35" s="242"/>
      <c r="R35" s="96"/>
      <c r="S35" s="289"/>
      <c r="T35" s="290"/>
      <c r="U35" s="290"/>
      <c r="V35" s="290"/>
      <c r="AA35" s="86"/>
      <c r="AB35" s="86"/>
      <c r="AD35" s="86"/>
      <c r="AE35" s="86"/>
      <c r="AF35" s="86"/>
    </row>
    <row r="36">
      <c r="A36" s="134">
        <v>105362.0</v>
      </c>
      <c r="B36" s="135">
        <v>19.0</v>
      </c>
      <c r="C36" s="138" t="s">
        <v>57</v>
      </c>
      <c r="D36" s="138">
        <v>8.0</v>
      </c>
      <c r="E36" s="138" t="s">
        <v>429</v>
      </c>
      <c r="F36" s="139">
        <v>0.5833333333333334</v>
      </c>
      <c r="G36" s="138" t="s">
        <v>65</v>
      </c>
      <c r="H36" s="291" t="s">
        <v>117</v>
      </c>
      <c r="I36" s="288" t="str">
        <f t="shared" ref="I36:P36" si="35">#REF!</f>
        <v>#REF!</v>
      </c>
      <c r="J36" s="288" t="str">
        <f t="shared" si="35"/>
        <v>#REF!</v>
      </c>
      <c r="K36" s="288" t="str">
        <f t="shared" si="35"/>
        <v>#REF!</v>
      </c>
      <c r="L36" s="288" t="str">
        <f t="shared" si="35"/>
        <v>#REF!</v>
      </c>
      <c r="M36" s="288" t="str">
        <f t="shared" si="35"/>
        <v>#REF!</v>
      </c>
      <c r="N36" s="288" t="str">
        <f t="shared" si="35"/>
        <v>#REF!</v>
      </c>
      <c r="O36" s="288" t="str">
        <f t="shared" si="35"/>
        <v>#REF!</v>
      </c>
      <c r="P36" s="288" t="str">
        <f t="shared" si="35"/>
        <v>#REF!</v>
      </c>
      <c r="Q36" s="95"/>
      <c r="R36" s="96"/>
      <c r="S36" s="289"/>
      <c r="T36" s="290"/>
      <c r="U36" s="290"/>
      <c r="V36" s="290"/>
      <c r="AA36" s="86"/>
      <c r="AB36" s="86"/>
      <c r="AD36" s="86"/>
      <c r="AE36" s="86"/>
      <c r="AF36" s="86"/>
    </row>
    <row r="37">
      <c r="A37" s="239" t="s">
        <v>431</v>
      </c>
      <c r="B37" s="135">
        <v>21.0</v>
      </c>
      <c r="C37" s="138" t="s">
        <v>91</v>
      </c>
      <c r="D37" s="138"/>
      <c r="E37" s="138" t="s">
        <v>213</v>
      </c>
      <c r="F37" s="139"/>
      <c r="G37" s="239"/>
      <c r="H37" s="239"/>
      <c r="I37" s="288" t="str">
        <f t="shared" ref="I37:P37" si="36">#REF!</f>
        <v>#REF!</v>
      </c>
      <c r="J37" s="288" t="str">
        <f t="shared" si="36"/>
        <v>#REF!</v>
      </c>
      <c r="K37" s="288" t="str">
        <f t="shared" si="36"/>
        <v>#REF!</v>
      </c>
      <c r="L37" s="288" t="str">
        <f t="shared" si="36"/>
        <v>#REF!</v>
      </c>
      <c r="M37" s="288" t="str">
        <f t="shared" si="36"/>
        <v>#REF!</v>
      </c>
      <c r="N37" s="288" t="str">
        <f t="shared" si="36"/>
        <v>#REF!</v>
      </c>
      <c r="O37" s="288" t="str">
        <f t="shared" si="36"/>
        <v>#REF!</v>
      </c>
      <c r="P37" s="288" t="str">
        <f t="shared" si="36"/>
        <v>#REF!</v>
      </c>
      <c r="Q37" s="242"/>
      <c r="R37" s="96"/>
      <c r="S37" s="289"/>
      <c r="T37" s="290"/>
      <c r="U37" s="290"/>
      <c r="V37" s="290"/>
      <c r="AA37" s="86"/>
      <c r="AB37" s="86"/>
      <c r="AD37" s="86"/>
      <c r="AE37" s="86"/>
      <c r="AF37" s="86"/>
    </row>
    <row r="38">
      <c r="A38" s="239" t="s">
        <v>432</v>
      </c>
      <c r="B38" s="135">
        <v>21.0</v>
      </c>
      <c r="C38" s="138" t="s">
        <v>91</v>
      </c>
      <c r="D38" s="138"/>
      <c r="E38" s="138" t="s">
        <v>213</v>
      </c>
      <c r="F38" s="139"/>
      <c r="G38" s="239"/>
      <c r="H38" s="239"/>
      <c r="I38" s="288" t="str">
        <f t="shared" ref="I38:P38" si="37">#REF!</f>
        <v>#REF!</v>
      </c>
      <c r="J38" s="288" t="str">
        <f t="shared" si="37"/>
        <v>#REF!</v>
      </c>
      <c r="K38" s="288" t="str">
        <f t="shared" si="37"/>
        <v>#REF!</v>
      </c>
      <c r="L38" s="288" t="str">
        <f t="shared" si="37"/>
        <v>#REF!</v>
      </c>
      <c r="M38" s="288" t="str">
        <f t="shared" si="37"/>
        <v>#REF!</v>
      </c>
      <c r="N38" s="288" t="str">
        <f t="shared" si="37"/>
        <v>#REF!</v>
      </c>
      <c r="O38" s="288" t="str">
        <f t="shared" si="37"/>
        <v>#REF!</v>
      </c>
      <c r="P38" s="288" t="str">
        <f t="shared" si="37"/>
        <v>#REF!</v>
      </c>
      <c r="Q38" s="242"/>
      <c r="R38" s="96"/>
      <c r="S38" s="289"/>
      <c r="T38" s="290"/>
      <c r="U38" s="290"/>
      <c r="V38" s="290"/>
      <c r="AA38" s="86"/>
      <c r="AB38" s="86"/>
      <c r="AD38" s="86"/>
      <c r="AE38" s="86"/>
      <c r="AF38" s="86"/>
    </row>
    <row r="39">
      <c r="A39" s="239" t="s">
        <v>296</v>
      </c>
      <c r="B39" s="135">
        <v>22.0</v>
      </c>
      <c r="C39" s="138" t="s">
        <v>91</v>
      </c>
      <c r="D39" s="138"/>
      <c r="E39" s="138" t="s">
        <v>213</v>
      </c>
      <c r="F39" s="139"/>
      <c r="G39" s="239"/>
      <c r="H39" s="239"/>
      <c r="I39" s="288" t="str">
        <f>'Plan - NL'!I25</f>
        <v>FR</v>
      </c>
      <c r="J39" s="288" t="str">
        <f>'Plan - NL'!J25</f>
        <v>DS</v>
      </c>
      <c r="K39" s="288" t="str">
        <f>'Plan - NL'!K25</f>
        <v>HP</v>
      </c>
      <c r="L39" s="288" t="str">
        <f>'Plan - NL'!L25</f>
        <v>KE</v>
      </c>
      <c r="M39" s="288" t="str">
        <f>'Plan - NL'!M25</f>
        <v>JE</v>
      </c>
      <c r="N39" s="288" t="str">
        <f>'Plan - NL'!N25</f>
        <v>ER</v>
      </c>
      <c r="O39" s="288" t="str">
        <f>'Plan - NL'!O25</f>
        <v>KJ</v>
      </c>
      <c r="P39" s="288" t="str">
        <f>'Plan - NL'!P25</f>
        <v/>
      </c>
      <c r="Q39" s="242"/>
      <c r="R39" s="96"/>
      <c r="S39" s="289"/>
      <c r="T39" s="290"/>
      <c r="U39" s="290"/>
      <c r="V39" s="290"/>
      <c r="W39" s="290"/>
      <c r="X39" s="290"/>
      <c r="Y39" s="290"/>
      <c r="Z39" s="290"/>
      <c r="AA39" s="290"/>
      <c r="AB39" s="87"/>
      <c r="AC39" s="87"/>
      <c r="AD39" s="87"/>
      <c r="AE39" s="87"/>
      <c r="AF39" s="87"/>
    </row>
    <row r="40">
      <c r="A40" s="239" t="s">
        <v>301</v>
      </c>
      <c r="B40" s="135">
        <v>22.0</v>
      </c>
      <c r="C40" s="138" t="s">
        <v>91</v>
      </c>
      <c r="D40" s="138"/>
      <c r="E40" s="138" t="s">
        <v>213</v>
      </c>
      <c r="F40" s="139"/>
      <c r="G40" s="239"/>
      <c r="H40" s="239"/>
      <c r="I40" s="288" t="str">
        <f t="shared" ref="I40:P40" si="38">#REF!</f>
        <v>#REF!</v>
      </c>
      <c r="J40" s="288" t="str">
        <f t="shared" si="38"/>
        <v>#REF!</v>
      </c>
      <c r="K40" s="288" t="str">
        <f t="shared" si="38"/>
        <v>#REF!</v>
      </c>
      <c r="L40" s="288" t="str">
        <f t="shared" si="38"/>
        <v>#REF!</v>
      </c>
      <c r="M40" s="288" t="str">
        <f t="shared" si="38"/>
        <v>#REF!</v>
      </c>
      <c r="N40" s="288" t="str">
        <f t="shared" si="38"/>
        <v>#REF!</v>
      </c>
      <c r="O40" s="288" t="str">
        <f t="shared" si="38"/>
        <v>#REF!</v>
      </c>
      <c r="P40" s="288" t="str">
        <f t="shared" si="38"/>
        <v>#REF!</v>
      </c>
      <c r="Q40" s="242"/>
      <c r="R40" s="96"/>
      <c r="S40" s="289"/>
      <c r="T40" s="290"/>
      <c r="U40" s="290"/>
      <c r="V40" s="290"/>
      <c r="W40" s="290"/>
      <c r="X40" s="290"/>
      <c r="Y40" s="290"/>
      <c r="Z40" s="290"/>
      <c r="AA40" s="290"/>
      <c r="AB40" s="87"/>
      <c r="AC40" s="87"/>
      <c r="AD40" s="87"/>
      <c r="AE40" s="87"/>
      <c r="AF40" s="87"/>
    </row>
    <row r="41">
      <c r="A41" s="137" t="s">
        <v>433</v>
      </c>
      <c r="B41" s="135">
        <v>23.0</v>
      </c>
      <c r="C41" s="138" t="s">
        <v>91</v>
      </c>
      <c r="D41" s="138"/>
      <c r="E41" s="138" t="s">
        <v>242</v>
      </c>
      <c r="F41" s="139"/>
      <c r="G41" s="239"/>
      <c r="H41" s="239"/>
      <c r="I41" s="288" t="str">
        <f t="shared" ref="I41:P41" si="39">#REF!</f>
        <v>#REF!</v>
      </c>
      <c r="J41" s="288" t="str">
        <f t="shared" si="39"/>
        <v>#REF!</v>
      </c>
      <c r="K41" s="288" t="str">
        <f t="shared" si="39"/>
        <v>#REF!</v>
      </c>
      <c r="L41" s="288" t="str">
        <f t="shared" si="39"/>
        <v>#REF!</v>
      </c>
      <c r="M41" s="288" t="str">
        <f t="shared" si="39"/>
        <v>#REF!</v>
      </c>
      <c r="N41" s="288" t="str">
        <f t="shared" si="39"/>
        <v>#REF!</v>
      </c>
      <c r="O41" s="288" t="str">
        <f t="shared" si="39"/>
        <v>#REF!</v>
      </c>
      <c r="P41" s="288" t="str">
        <f t="shared" si="39"/>
        <v>#REF!</v>
      </c>
      <c r="Q41" s="242"/>
      <c r="R41" s="96"/>
      <c r="S41" s="289"/>
      <c r="T41" s="290"/>
      <c r="U41" s="297"/>
      <c r="V41" s="297"/>
      <c r="W41" s="297"/>
      <c r="X41" s="297"/>
      <c r="Y41" s="297"/>
      <c r="Z41" s="297"/>
      <c r="AA41" s="297"/>
      <c r="AB41" s="87"/>
      <c r="AC41" s="87"/>
      <c r="AD41" s="87"/>
      <c r="AE41" s="87"/>
      <c r="AF41" s="87"/>
    </row>
    <row r="42">
      <c r="A42" s="18" t="s">
        <v>245</v>
      </c>
      <c r="B42" s="29">
        <v>24.0</v>
      </c>
      <c r="C42" s="148" t="s">
        <v>91</v>
      </c>
      <c r="D42" s="148"/>
      <c r="E42" s="148" t="s">
        <v>242</v>
      </c>
      <c r="F42" s="192"/>
      <c r="G42" s="29"/>
      <c r="H42" s="29"/>
      <c r="I42" s="288" t="str">
        <f t="shared" ref="I42:P42" si="40">#REF!</f>
        <v>#REF!</v>
      </c>
      <c r="J42" s="288" t="str">
        <f t="shared" si="40"/>
        <v>#REF!</v>
      </c>
      <c r="K42" s="288" t="str">
        <f t="shared" si="40"/>
        <v>#REF!</v>
      </c>
      <c r="L42" s="288" t="str">
        <f t="shared" si="40"/>
        <v>#REF!</v>
      </c>
      <c r="M42" s="288" t="str">
        <f t="shared" si="40"/>
        <v>#REF!</v>
      </c>
      <c r="N42" s="288" t="str">
        <f t="shared" si="40"/>
        <v>#REF!</v>
      </c>
      <c r="O42" s="288" t="str">
        <f t="shared" si="40"/>
        <v>#REF!</v>
      </c>
      <c r="P42" s="288" t="str">
        <f t="shared" si="40"/>
        <v>#REF!</v>
      </c>
      <c r="Q42" s="242"/>
      <c r="R42" s="96"/>
      <c r="S42" s="289"/>
      <c r="T42" s="290"/>
      <c r="U42" s="290"/>
      <c r="V42" s="290"/>
      <c r="W42" s="290"/>
      <c r="X42" s="290"/>
      <c r="Y42" s="290"/>
      <c r="Z42" s="290"/>
      <c r="AA42" s="290"/>
      <c r="AB42" s="87"/>
      <c r="AC42" s="87"/>
      <c r="AD42" s="87"/>
      <c r="AE42" s="87"/>
      <c r="AF42" s="87"/>
    </row>
    <row r="43">
      <c r="A43" s="86"/>
      <c r="B43" s="298"/>
      <c r="C43" s="11"/>
      <c r="D43" s="11"/>
      <c r="E43" s="11"/>
      <c r="F43" s="11"/>
      <c r="G43" s="11"/>
      <c r="H43" s="11"/>
      <c r="I43" s="87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>
      <c r="A44" s="76" t="s">
        <v>29</v>
      </c>
      <c r="B44" s="86"/>
      <c r="C44" s="11"/>
      <c r="D44" s="11"/>
      <c r="E44" s="11"/>
      <c r="F44" s="11"/>
      <c r="G44" s="11"/>
      <c r="H44" s="11"/>
      <c r="I44" s="87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>
      <c r="A45" s="86" t="s">
        <v>199</v>
      </c>
      <c r="B45" s="86" t="s">
        <v>64</v>
      </c>
      <c r="C45" s="11"/>
      <c r="D45" s="11"/>
      <c r="E45" s="11"/>
      <c r="F45" s="11"/>
      <c r="G45" s="11"/>
      <c r="H45" s="11"/>
      <c r="I45" s="87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>
      <c r="A46" s="86" t="s">
        <v>307</v>
      </c>
      <c r="B46" s="86" t="s">
        <v>113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 t="str">
        <f>DATA!I65</f>
        <v/>
      </c>
      <c r="R46" s="261"/>
      <c r="S46" s="261"/>
      <c r="T46" s="261"/>
      <c r="U46" s="261"/>
      <c r="V46" s="261"/>
      <c r="W46" s="261"/>
      <c r="X46" s="261"/>
      <c r="Y46" s="299">
        <v>0.0</v>
      </c>
      <c r="Z46" s="300">
        <v>0.0</v>
      </c>
      <c r="AA46" s="261"/>
      <c r="AB46" s="86" t="s">
        <v>306</v>
      </c>
      <c r="AC46" s="86"/>
      <c r="AD46" s="86"/>
      <c r="AE46" s="86"/>
      <c r="AF46" s="86"/>
    </row>
    <row r="47">
      <c r="A47" s="86" t="s">
        <v>299</v>
      </c>
      <c r="B47" s="86" t="s">
        <v>104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 t="str">
        <f>DATA!I66</f>
        <v/>
      </c>
      <c r="R47" s="11"/>
      <c r="S47" s="11"/>
      <c r="T47" s="86" t="s">
        <v>308</v>
      </c>
      <c r="U47" s="11"/>
      <c r="V47" s="11"/>
      <c r="W47" s="11"/>
      <c r="X47" s="11"/>
      <c r="Y47" s="301" t="e">
        <v>#DIV/0!</v>
      </c>
      <c r="Z47" s="266"/>
      <c r="AA47" s="266"/>
      <c r="AB47" s="86" t="s">
        <v>309</v>
      </c>
      <c r="AC47" s="86"/>
      <c r="AD47" s="86"/>
      <c r="AE47" s="86"/>
      <c r="AF47" s="86"/>
    </row>
    <row r="48">
      <c r="A48" s="87" t="s">
        <v>88</v>
      </c>
      <c r="B48" s="87" t="s">
        <v>86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 t="str">
        <f>DATA!I67</f>
        <v/>
      </c>
      <c r="R48" s="11"/>
      <c r="S48" s="11"/>
      <c r="T48" s="86" t="s">
        <v>310</v>
      </c>
      <c r="U48" s="11"/>
      <c r="V48" s="11"/>
      <c r="W48" s="11"/>
      <c r="X48" s="11"/>
      <c r="Y48" s="301" t="e">
        <v>#NUM!</v>
      </c>
      <c r="Z48" s="266"/>
      <c r="AA48" s="266"/>
      <c r="AB48" s="86" t="s">
        <v>312</v>
      </c>
      <c r="AC48" s="86"/>
      <c r="AD48" s="86"/>
      <c r="AE48" s="86"/>
      <c r="AF48" s="86"/>
    </row>
    <row r="49">
      <c r="A49" s="86" t="s">
        <v>132</v>
      </c>
      <c r="B49" s="86" t="s">
        <v>131</v>
      </c>
      <c r="C49" s="11"/>
      <c r="D49" s="11"/>
      <c r="E49" s="11"/>
      <c r="F49" s="11"/>
      <c r="G49" s="11"/>
      <c r="H49" s="11"/>
      <c r="I49" s="87"/>
      <c r="J49" s="11"/>
      <c r="K49" s="11"/>
      <c r="L49" s="11"/>
      <c r="M49" s="11"/>
      <c r="N49" s="11"/>
      <c r="O49" s="11"/>
      <c r="P49" s="11">
        <f>41-P50</f>
        <v>40</v>
      </c>
      <c r="Q49" s="11" t="str">
        <f>Y47/8</f>
        <v>#DIV/0!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86" t="s">
        <v>315</v>
      </c>
      <c r="AC49" s="86"/>
      <c r="AD49" s="86"/>
      <c r="AE49" s="86"/>
      <c r="AF49" s="86"/>
    </row>
    <row r="50">
      <c r="A50" s="87" t="s">
        <v>141</v>
      </c>
      <c r="B50" s="86" t="s">
        <v>98</v>
      </c>
      <c r="C50" s="11"/>
      <c r="D50" s="11"/>
      <c r="E50" s="87"/>
      <c r="F50" s="87"/>
      <c r="G50" s="11"/>
      <c r="H50" s="11"/>
      <c r="I50" s="87"/>
      <c r="J50" s="11"/>
      <c r="K50" s="11"/>
      <c r="L50" s="11"/>
      <c r="M50" s="11"/>
      <c r="N50" s="11"/>
      <c r="O50" s="11"/>
      <c r="P50" s="11">
        <f>COUNTBLANK(I2:P42)</f>
        <v>1</v>
      </c>
      <c r="Q50" s="11" t="str">
        <f>Y48/7</f>
        <v>#NUM!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86" t="s">
        <v>318</v>
      </c>
      <c r="AC50" s="86"/>
      <c r="AD50" s="86"/>
      <c r="AE50" s="86"/>
      <c r="AF50" s="86"/>
    </row>
    <row r="51">
      <c r="A51" s="87" t="s">
        <v>151</v>
      </c>
      <c r="B51" s="87" t="s">
        <v>69</v>
      </c>
      <c r="C51" s="11"/>
      <c r="D51" s="11"/>
      <c r="E51" s="87"/>
      <c r="F51" s="87"/>
      <c r="G51" s="11"/>
      <c r="H51" s="11"/>
      <c r="I51" s="87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>
      <c r="A52" s="87" t="s">
        <v>207</v>
      </c>
      <c r="B52" s="87" t="s">
        <v>95</v>
      </c>
      <c r="C52" s="11"/>
      <c r="D52" s="11"/>
      <c r="E52" s="87"/>
      <c r="F52" s="87"/>
      <c r="G52" s="11"/>
      <c r="H52" s="11"/>
      <c r="I52" s="87"/>
      <c r="J52" s="11"/>
      <c r="K52" s="11"/>
      <c r="L52" s="11"/>
      <c r="M52" s="11"/>
      <c r="N52" s="11"/>
      <c r="O52" s="11"/>
      <c r="P52" s="11"/>
      <c r="Q52" s="11">
        <f>800*28</f>
        <v>22400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>
      <c r="A53" s="87" t="s">
        <v>208</v>
      </c>
      <c r="B53" s="87" t="s">
        <v>85</v>
      </c>
      <c r="C53" s="11"/>
      <c r="D53" s="11"/>
      <c r="E53" s="87"/>
      <c r="F53" s="87"/>
      <c r="G53" s="11"/>
      <c r="H53" s="11"/>
      <c r="I53" s="87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>
      <c r="A54" s="87" t="s">
        <v>319</v>
      </c>
      <c r="B54" s="87" t="s">
        <v>320</v>
      </c>
      <c r="C54" s="11"/>
      <c r="D54" s="11"/>
      <c r="E54" s="87"/>
      <c r="F54" s="87"/>
      <c r="G54" s="11"/>
      <c r="H54" s="11"/>
      <c r="I54" s="87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>
      <c r="A55" s="87" t="s">
        <v>210</v>
      </c>
      <c r="B55" s="87" t="s">
        <v>157</v>
      </c>
      <c r="C55" s="11"/>
      <c r="D55" s="11"/>
      <c r="E55" s="87"/>
      <c r="F55" s="87"/>
      <c r="G55" s="11"/>
      <c r="H55" s="11"/>
      <c r="I55" s="87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>
      <c r="A56" s="86" t="s">
        <v>211</v>
      </c>
      <c r="B56" s="86" t="s">
        <v>82</v>
      </c>
      <c r="C56" s="11"/>
      <c r="D56" s="11"/>
      <c r="E56" s="11"/>
      <c r="F56" s="11"/>
      <c r="G56" s="11"/>
      <c r="H56" s="11"/>
      <c r="I56" s="87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>
      <c r="A57" s="87" t="s">
        <v>321</v>
      </c>
      <c r="B57" s="87" t="s">
        <v>322</v>
      </c>
      <c r="C57" s="11"/>
      <c r="D57" s="11"/>
      <c r="E57" s="11"/>
      <c r="F57" s="11"/>
      <c r="G57" s="11"/>
      <c r="H57" s="11"/>
      <c r="I57" s="87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>
      <c r="A58" s="87" t="s">
        <v>323</v>
      </c>
      <c r="B58" s="87" t="s">
        <v>324</v>
      </c>
      <c r="C58" s="11"/>
      <c r="D58" s="11"/>
      <c r="E58" s="11"/>
      <c r="F58" s="11"/>
      <c r="G58" s="11"/>
      <c r="H58" s="11"/>
      <c r="I58" s="87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>
      <c r="A59" s="87" t="s">
        <v>185</v>
      </c>
      <c r="B59" s="87" t="s">
        <v>110</v>
      </c>
      <c r="C59" s="11"/>
      <c r="D59" s="11"/>
      <c r="E59" s="87"/>
      <c r="F59" s="87"/>
      <c r="G59" s="11"/>
      <c r="H59" s="11"/>
      <c r="I59" s="87"/>
      <c r="J59" s="11"/>
      <c r="K59" s="11"/>
      <c r="L59" s="11"/>
      <c r="M59" s="11"/>
      <c r="N59" s="11"/>
      <c r="O59" s="11"/>
      <c r="P59" s="268" t="s">
        <v>100</v>
      </c>
      <c r="Q59" s="11">
        <f t="shared" ref="Q59:Q66" si="41">COUNTIF(G$2:G$42,P59)</f>
        <v>5</v>
      </c>
      <c r="R59" s="11" t="str">
        <f t="shared" ref="R59:R66" si="42">SUMIF(G$2:G$42,P59,Y$39:Y$42)</f>
        <v>#NUM!</v>
      </c>
      <c r="S59" s="11" t="str">
        <f t="shared" ref="S59:S66" si="43">R59/Q59</f>
        <v>#NUM!</v>
      </c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>
      <c r="A60" s="87" t="s">
        <v>325</v>
      </c>
      <c r="B60" s="87" t="s">
        <v>326</v>
      </c>
      <c r="C60" s="11"/>
      <c r="D60" s="11"/>
      <c r="E60" s="87"/>
      <c r="F60" s="87"/>
      <c r="G60" s="11"/>
      <c r="H60" s="11"/>
      <c r="I60" s="87"/>
      <c r="J60" s="11"/>
      <c r="K60" s="11"/>
      <c r="L60" s="11"/>
      <c r="M60" s="11"/>
      <c r="N60" s="11"/>
      <c r="O60" s="11"/>
      <c r="P60" s="268" t="s">
        <v>107</v>
      </c>
      <c r="Q60" s="11">
        <f t="shared" si="41"/>
        <v>5</v>
      </c>
      <c r="R60" s="11">
        <f t="shared" si="42"/>
        <v>0</v>
      </c>
      <c r="S60" s="11">
        <f t="shared" si="43"/>
        <v>0</v>
      </c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>
      <c r="A61" s="87" t="s">
        <v>164</v>
      </c>
      <c r="B61" s="87" t="s">
        <v>81</v>
      </c>
      <c r="C61" s="11"/>
      <c r="D61" s="11"/>
      <c r="E61" s="87"/>
      <c r="F61" s="87"/>
      <c r="G61" s="11"/>
      <c r="H61" s="11"/>
      <c r="I61" s="87"/>
      <c r="J61" s="11"/>
      <c r="K61" s="11"/>
      <c r="L61" s="11"/>
      <c r="M61" s="11"/>
      <c r="N61" s="11"/>
      <c r="O61" s="11"/>
      <c r="P61" s="268" t="s">
        <v>106</v>
      </c>
      <c r="Q61" s="11">
        <f t="shared" si="41"/>
        <v>5</v>
      </c>
      <c r="R61" s="11" t="str">
        <f t="shared" si="42"/>
        <v>#DIV/0!</v>
      </c>
      <c r="S61" s="11" t="str">
        <f t="shared" si="43"/>
        <v>#DIV/0!</v>
      </c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>
      <c r="A62" s="86" t="s">
        <v>119</v>
      </c>
      <c r="B62" s="86" t="s">
        <v>118</v>
      </c>
      <c r="C62" s="11"/>
      <c r="D62" s="11"/>
      <c r="E62" s="11"/>
      <c r="F62" s="11"/>
      <c r="G62" s="11"/>
      <c r="H62" s="11"/>
      <c r="I62" s="87"/>
      <c r="J62" s="11"/>
      <c r="K62" s="11"/>
      <c r="L62" s="11"/>
      <c r="M62" s="11"/>
      <c r="N62" s="11"/>
      <c r="O62" s="11"/>
      <c r="P62" s="268" t="s">
        <v>80</v>
      </c>
      <c r="Q62" s="11">
        <f t="shared" si="41"/>
        <v>5</v>
      </c>
      <c r="R62" s="11">
        <f t="shared" si="42"/>
        <v>0</v>
      </c>
      <c r="S62" s="11">
        <f t="shared" si="43"/>
        <v>0</v>
      </c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>
      <c r="A63" s="86" t="s">
        <v>327</v>
      </c>
      <c r="B63" s="87" t="s">
        <v>328</v>
      </c>
      <c r="C63" s="11"/>
      <c r="D63" s="11"/>
      <c r="E63" s="87"/>
      <c r="F63" s="87"/>
      <c r="G63" s="11"/>
      <c r="H63" s="11"/>
      <c r="I63" s="87"/>
      <c r="J63" s="11"/>
      <c r="K63" s="11"/>
      <c r="L63" s="11"/>
      <c r="M63" s="11"/>
      <c r="N63" s="11"/>
      <c r="O63" s="11"/>
      <c r="P63" s="268" t="s">
        <v>79</v>
      </c>
      <c r="Q63" s="11">
        <f t="shared" si="41"/>
        <v>5</v>
      </c>
      <c r="R63" s="11">
        <f t="shared" si="42"/>
        <v>0</v>
      </c>
      <c r="S63" s="11">
        <f t="shared" si="43"/>
        <v>0</v>
      </c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>
      <c r="A64" s="86" t="s">
        <v>329</v>
      </c>
      <c r="B64" s="86" t="s">
        <v>330</v>
      </c>
      <c r="C64" s="11"/>
      <c r="D64" s="11"/>
      <c r="E64" s="11"/>
      <c r="F64" s="11"/>
      <c r="G64" s="11"/>
      <c r="H64" s="11"/>
      <c r="I64" s="87"/>
      <c r="J64" s="11"/>
      <c r="K64" s="11"/>
      <c r="L64" s="11"/>
      <c r="M64" s="11"/>
      <c r="N64" s="11"/>
      <c r="O64" s="11"/>
      <c r="P64" s="268" t="s">
        <v>440</v>
      </c>
      <c r="Q64" s="11">
        <f t="shared" si="41"/>
        <v>0</v>
      </c>
      <c r="R64" s="11">
        <f t="shared" si="42"/>
        <v>0</v>
      </c>
      <c r="S64" s="11" t="str">
        <f t="shared" si="43"/>
        <v>#DIV/0!</v>
      </c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>
      <c r="A65" s="86" t="s">
        <v>215</v>
      </c>
      <c r="B65" s="86" t="s">
        <v>216</v>
      </c>
      <c r="C65" s="11"/>
      <c r="D65" s="11"/>
      <c r="E65" s="11"/>
      <c r="F65" s="11"/>
      <c r="G65" s="11"/>
      <c r="H65" s="11"/>
      <c r="I65" s="87"/>
      <c r="J65" s="11"/>
      <c r="K65" s="11"/>
      <c r="L65" s="11"/>
      <c r="M65" s="11"/>
      <c r="N65" s="11"/>
      <c r="O65" s="11"/>
      <c r="P65" s="268" t="s">
        <v>65</v>
      </c>
      <c r="Q65" s="11">
        <f t="shared" si="41"/>
        <v>5</v>
      </c>
      <c r="R65" s="11">
        <f t="shared" si="42"/>
        <v>0</v>
      </c>
      <c r="S65" s="11">
        <f t="shared" si="43"/>
        <v>0</v>
      </c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>
      <c r="A66" s="87" t="s">
        <v>218</v>
      </c>
      <c r="B66" s="87" t="s">
        <v>72</v>
      </c>
      <c r="C66" s="11"/>
      <c r="D66" s="11"/>
      <c r="E66" s="11"/>
      <c r="F66" s="11"/>
      <c r="G66" s="11"/>
      <c r="H66" s="11"/>
      <c r="I66" s="87"/>
      <c r="J66" s="11"/>
      <c r="K66" s="11"/>
      <c r="L66" s="11"/>
      <c r="M66" s="11"/>
      <c r="N66" s="11"/>
      <c r="O66" s="11"/>
      <c r="P66" s="268" t="s">
        <v>117</v>
      </c>
      <c r="Q66" s="11">
        <f t="shared" si="41"/>
        <v>5</v>
      </c>
      <c r="R66" s="11">
        <f t="shared" si="42"/>
        <v>0</v>
      </c>
      <c r="S66" s="11">
        <f t="shared" si="43"/>
        <v>0</v>
      </c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>
      <c r="A67" s="87" t="s">
        <v>220</v>
      </c>
      <c r="B67" s="87" t="s">
        <v>101</v>
      </c>
      <c r="C67" s="11"/>
      <c r="D67" s="11"/>
      <c r="E67" s="87"/>
      <c r="F67" s="87"/>
      <c r="G67" s="11"/>
      <c r="H67" s="11"/>
      <c r="I67" s="87"/>
      <c r="J67" s="11"/>
      <c r="K67" s="11"/>
      <c r="L67" s="11"/>
      <c r="M67" s="11"/>
      <c r="N67" s="11"/>
      <c r="O67" s="11"/>
      <c r="P67" s="268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>
      <c r="A68" s="87" t="s">
        <v>331</v>
      </c>
      <c r="B68" s="87" t="s">
        <v>332</v>
      </c>
      <c r="C68" s="11"/>
      <c r="D68" s="11"/>
      <c r="E68" s="11"/>
      <c r="F68" s="11"/>
      <c r="G68" s="11"/>
      <c r="H68" s="11"/>
      <c r="I68" s="87"/>
      <c r="J68" s="11"/>
      <c r="K68" s="11"/>
      <c r="L68" s="11"/>
      <c r="M68" s="11"/>
      <c r="N68" s="11"/>
      <c r="O68" s="11"/>
      <c r="P68" s="226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>
      <c r="A69" s="87" t="s">
        <v>221</v>
      </c>
      <c r="B69" s="86" t="s">
        <v>176</v>
      </c>
      <c r="C69" s="11"/>
      <c r="D69" s="11"/>
      <c r="E69" s="87"/>
      <c r="F69" s="87"/>
      <c r="G69" s="11"/>
      <c r="H69" s="11"/>
      <c r="I69" s="87"/>
      <c r="J69" s="11"/>
      <c r="K69" s="11"/>
      <c r="L69" s="11"/>
      <c r="M69" s="11"/>
      <c r="N69" s="11"/>
      <c r="O69" s="11"/>
      <c r="P69" s="268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>
      <c r="A70" s="87" t="s">
        <v>222</v>
      </c>
      <c r="B70" s="87" t="s">
        <v>103</v>
      </c>
      <c r="C70" s="11"/>
      <c r="D70" s="11"/>
      <c r="E70" s="87"/>
      <c r="F70" s="87"/>
      <c r="G70" s="11"/>
      <c r="H70" s="11"/>
      <c r="I70" s="87"/>
      <c r="J70" s="11"/>
      <c r="K70" s="11"/>
      <c r="L70" s="11"/>
      <c r="M70" s="11"/>
      <c r="N70" s="11"/>
      <c r="O70" s="11"/>
      <c r="P70" s="268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>
      <c r="A71" s="87" t="s">
        <v>333</v>
      </c>
      <c r="B71" s="87" t="s">
        <v>334</v>
      </c>
      <c r="C71" s="11"/>
      <c r="D71" s="11"/>
      <c r="E71" s="87"/>
      <c r="F71" s="87"/>
      <c r="G71" s="11"/>
      <c r="H71" s="11"/>
      <c r="I71" s="87"/>
      <c r="J71" s="11"/>
      <c r="K71" s="11"/>
      <c r="L71" s="11"/>
      <c r="M71" s="11"/>
      <c r="N71" s="11"/>
      <c r="O71" s="11"/>
      <c r="P71" s="268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>
      <c r="A72" s="87" t="s">
        <v>223</v>
      </c>
      <c r="B72" s="87" t="s">
        <v>123</v>
      </c>
      <c r="C72" s="11"/>
      <c r="D72" s="11"/>
      <c r="E72" s="87"/>
      <c r="F72" s="87"/>
      <c r="G72" s="11"/>
      <c r="H72" s="11"/>
      <c r="I72" s="87"/>
      <c r="J72" s="11"/>
      <c r="K72" s="11"/>
      <c r="L72" s="11"/>
      <c r="M72" s="11"/>
      <c r="N72" s="11"/>
      <c r="O72" s="11"/>
      <c r="P72" s="268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>
      <c r="A73" s="87" t="s">
        <v>441</v>
      </c>
      <c r="B73" s="87" t="s">
        <v>442</v>
      </c>
      <c r="C73" s="11"/>
      <c r="D73" s="11"/>
      <c r="E73" s="87"/>
      <c r="F73" s="87"/>
      <c r="G73" s="11"/>
      <c r="H73" s="11"/>
      <c r="I73" s="87"/>
      <c r="J73" s="11"/>
      <c r="K73" s="11"/>
      <c r="L73" s="11"/>
      <c r="M73" s="11"/>
      <c r="N73" s="11"/>
      <c r="O73" s="11"/>
      <c r="P73" s="268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>
      <c r="A74" s="86" t="s">
        <v>335</v>
      </c>
      <c r="B74" s="86" t="s">
        <v>336</v>
      </c>
      <c r="C74" s="11"/>
      <c r="D74" s="11"/>
      <c r="E74" s="11"/>
      <c r="F74" s="11"/>
      <c r="G74" s="11"/>
      <c r="H74" s="11"/>
      <c r="I74" s="87"/>
      <c r="J74" s="11"/>
      <c r="K74" s="11"/>
      <c r="L74" s="11"/>
      <c r="M74" s="11"/>
      <c r="N74" s="11"/>
      <c r="O74" s="11"/>
      <c r="P74" s="268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>
      <c r="A75" s="87" t="s">
        <v>337</v>
      </c>
      <c r="B75" s="87" t="s">
        <v>225</v>
      </c>
      <c r="C75" s="11"/>
      <c r="D75" s="11"/>
      <c r="E75" s="87"/>
      <c r="F75" s="87"/>
      <c r="G75" s="11"/>
      <c r="H75" s="11"/>
      <c r="I75" s="87"/>
      <c r="J75" s="11"/>
      <c r="K75" s="11"/>
      <c r="L75" s="11"/>
      <c r="M75" s="11"/>
      <c r="N75" s="11"/>
      <c r="O75" s="11"/>
      <c r="P75" s="268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>
      <c r="A76" s="86" t="s">
        <v>338</v>
      </c>
      <c r="B76" s="87" t="s">
        <v>97</v>
      </c>
      <c r="C76" s="11"/>
      <c r="D76" s="11"/>
      <c r="E76" s="87"/>
      <c r="F76" s="87"/>
      <c r="G76" s="11"/>
      <c r="H76" s="11"/>
      <c r="I76" s="87"/>
      <c r="J76" s="11"/>
      <c r="K76" s="11"/>
      <c r="L76" s="11"/>
      <c r="M76" s="11"/>
      <c r="N76" s="11"/>
      <c r="O76" s="11"/>
      <c r="P76" s="268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>
      <c r="A77" s="87" t="s">
        <v>339</v>
      </c>
      <c r="B77" s="87" t="s">
        <v>340</v>
      </c>
      <c r="C77" s="11"/>
      <c r="D77" s="11"/>
      <c r="E77" s="87"/>
      <c r="F77" s="87"/>
      <c r="G77" s="11"/>
      <c r="H77" s="11"/>
      <c r="I77" s="87"/>
      <c r="J77" s="11"/>
      <c r="K77" s="11"/>
      <c r="L77" s="11"/>
      <c r="M77" s="11"/>
      <c r="N77" s="11"/>
      <c r="O77" s="11"/>
      <c r="P77" s="226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>
      <c r="A78" s="86" t="s">
        <v>229</v>
      </c>
      <c r="B78" s="86" t="s">
        <v>105</v>
      </c>
      <c r="C78" s="11"/>
      <c r="D78" s="11"/>
      <c r="E78" s="11"/>
      <c r="F78" s="11"/>
      <c r="G78" s="11"/>
      <c r="H78" s="11"/>
      <c r="I78" s="87"/>
      <c r="J78" s="11"/>
      <c r="K78" s="11"/>
      <c r="L78" s="11"/>
      <c r="M78" s="11"/>
      <c r="N78" s="11"/>
      <c r="O78" s="11"/>
      <c r="P78" s="268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>
      <c r="A79" s="87" t="s">
        <v>231</v>
      </c>
      <c r="B79" s="87" t="s">
        <v>148</v>
      </c>
      <c r="C79" s="11"/>
      <c r="D79" s="11"/>
      <c r="E79" s="87"/>
      <c r="F79" s="87"/>
      <c r="G79" s="11"/>
      <c r="H79" s="11"/>
      <c r="I79" s="87"/>
      <c r="J79" s="11"/>
      <c r="K79" s="11"/>
      <c r="L79" s="11"/>
      <c r="M79" s="11"/>
      <c r="N79" s="11"/>
      <c r="O79" s="11"/>
      <c r="P79" s="268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>
      <c r="A80" s="87" t="s">
        <v>145</v>
      </c>
      <c r="B80" s="87" t="s">
        <v>144</v>
      </c>
      <c r="C80" s="11"/>
      <c r="D80" s="11"/>
      <c r="E80" s="87"/>
      <c r="F80" s="87"/>
      <c r="G80" s="11"/>
      <c r="H80" s="11"/>
      <c r="I80" s="87"/>
      <c r="J80" s="11"/>
      <c r="K80" s="11"/>
      <c r="L80" s="11"/>
      <c r="M80" s="11"/>
      <c r="N80" s="11"/>
      <c r="O80" s="11"/>
      <c r="P80" s="226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>
      <c r="A81" s="87" t="s">
        <v>232</v>
      </c>
      <c r="B81" s="87" t="s">
        <v>71</v>
      </c>
      <c r="C81" s="11"/>
      <c r="D81" s="11"/>
      <c r="E81" s="11"/>
      <c r="F81" s="11"/>
      <c r="G81" s="11"/>
      <c r="H81" s="11"/>
      <c r="I81" s="87"/>
      <c r="J81" s="11"/>
      <c r="K81" s="11"/>
      <c r="L81" s="11"/>
      <c r="M81" s="11"/>
      <c r="N81" s="11"/>
      <c r="O81" s="11"/>
      <c r="P81" s="268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268"/>
      <c r="Q82" s="11"/>
      <c r="R82" s="261"/>
      <c r="S82" s="261"/>
      <c r="T82" s="261"/>
      <c r="U82" s="261"/>
      <c r="V82" s="261"/>
      <c r="W82" s="261"/>
      <c r="X82" s="261"/>
      <c r="Y82" s="261"/>
      <c r="Z82" s="261"/>
      <c r="AA82" s="261"/>
      <c r="AB82" s="11"/>
      <c r="AC82" s="11"/>
      <c r="AD82" s="11"/>
      <c r="AE82" s="11"/>
      <c r="AF82" s="11"/>
    </row>
    <row r="83">
      <c r="A83" s="27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268"/>
      <c r="Q83" s="11" t="str">
        <f>DATA!I64</f>
        <v/>
      </c>
      <c r="R83" s="261"/>
      <c r="S83" s="261"/>
      <c r="T83" s="261"/>
      <c r="U83" s="261"/>
      <c r="V83" s="261"/>
      <c r="W83" s="261"/>
      <c r="X83" s="261"/>
      <c r="Y83" s="300" t="e">
        <v>#DIV/0!</v>
      </c>
      <c r="Z83" s="261"/>
      <c r="AA83" s="261"/>
      <c r="AB83" s="86" t="s">
        <v>341</v>
      </c>
      <c r="AC83" s="86"/>
      <c r="AD83" s="86"/>
      <c r="AE83" s="86"/>
      <c r="AF83" s="86"/>
    </row>
    <row r="84">
      <c r="A84" s="11"/>
      <c r="B84" s="11"/>
      <c r="C84" s="11"/>
      <c r="D84" s="11"/>
      <c r="E84" s="11"/>
      <c r="F84" s="11"/>
      <c r="G84" s="11"/>
      <c r="H84" s="11"/>
      <c r="I84" s="87"/>
      <c r="J84" s="11"/>
      <c r="K84" s="11"/>
      <c r="L84" s="11"/>
      <c r="M84" s="11"/>
      <c r="N84" s="11"/>
      <c r="O84" s="11"/>
      <c r="P84" s="226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>
      <c r="A85" s="11"/>
      <c r="B85" s="11"/>
      <c r="C85" s="11"/>
      <c r="D85" s="11"/>
      <c r="E85" s="11"/>
      <c r="F85" s="11"/>
      <c r="G85" s="11"/>
      <c r="H85" s="11"/>
      <c r="I85" s="87"/>
      <c r="J85" s="11"/>
      <c r="K85" s="11"/>
      <c r="L85" s="11"/>
      <c r="M85" s="11"/>
      <c r="N85" s="11"/>
      <c r="O85" s="11"/>
      <c r="P85" s="268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>
      <c r="A86" s="11"/>
      <c r="B86" s="11"/>
      <c r="C86" s="11"/>
      <c r="D86" s="11"/>
      <c r="E86" s="11"/>
      <c r="F86" s="11"/>
      <c r="G86" s="11"/>
      <c r="H86" s="11"/>
      <c r="I86" s="87"/>
      <c r="J86" s="11"/>
      <c r="K86" s="11"/>
      <c r="L86" s="11"/>
      <c r="M86" s="11"/>
      <c r="N86" s="11"/>
      <c r="O86" s="11"/>
      <c r="P86" s="268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>
      <c r="A87" s="11"/>
      <c r="B87" s="11"/>
      <c r="C87" s="11"/>
      <c r="D87" s="11"/>
      <c r="E87" s="11"/>
      <c r="F87" s="11"/>
      <c r="G87" s="11"/>
      <c r="H87" s="11"/>
      <c r="I87" s="87"/>
      <c r="J87" s="11"/>
      <c r="K87" s="11"/>
      <c r="L87" s="11"/>
      <c r="M87" s="11"/>
      <c r="N87" s="11"/>
      <c r="O87" s="11"/>
      <c r="P87" s="268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>
      <c r="A88" s="11"/>
      <c r="B88" s="11"/>
      <c r="C88" s="11"/>
      <c r="D88" s="11"/>
      <c r="E88" s="11"/>
      <c r="F88" s="11"/>
      <c r="G88" s="11"/>
      <c r="H88" s="11"/>
      <c r="I88" s="87"/>
      <c r="J88" s="11"/>
      <c r="K88" s="11"/>
      <c r="L88" s="11"/>
      <c r="M88" s="11"/>
      <c r="N88" s="11"/>
      <c r="O88" s="11"/>
      <c r="P88" s="226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>
      <c r="A89" s="11"/>
      <c r="B89" s="11"/>
      <c r="C89" s="11"/>
      <c r="D89" s="11"/>
      <c r="E89" s="11"/>
      <c r="F89" s="11"/>
      <c r="G89" s="11"/>
      <c r="H89" s="11"/>
      <c r="I89" s="87"/>
      <c r="J89" s="11"/>
      <c r="K89" s="11"/>
      <c r="L89" s="11"/>
      <c r="M89" s="11"/>
      <c r="N89" s="11"/>
      <c r="O89" s="11"/>
      <c r="P89" s="98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>
      <c r="A90" s="11"/>
      <c r="B90" s="11"/>
      <c r="C90" s="11"/>
      <c r="D90" s="11"/>
      <c r="E90" s="11"/>
      <c r="F90" s="11"/>
      <c r="G90" s="11"/>
      <c r="H90" s="11"/>
      <c r="I90" s="87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>
      <c r="A91" s="11"/>
      <c r="B91" s="11"/>
      <c r="C91" s="11"/>
      <c r="D91" s="11"/>
      <c r="E91" s="11"/>
      <c r="F91" s="11"/>
      <c r="G91" s="11"/>
      <c r="H91" s="11"/>
      <c r="I91" s="87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>
      <c r="A92" s="11"/>
      <c r="B92" s="11"/>
      <c r="C92" s="11"/>
      <c r="D92" s="11"/>
      <c r="E92" s="11"/>
      <c r="F92" s="11"/>
      <c r="G92" s="11"/>
      <c r="H92" s="11"/>
      <c r="I92" s="87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>
      <c r="A93" s="11"/>
      <c r="B93" s="11"/>
      <c r="C93" s="11"/>
      <c r="D93" s="11"/>
      <c r="E93" s="11"/>
      <c r="F93" s="11"/>
      <c r="G93" s="11"/>
      <c r="H93" s="11"/>
      <c r="I93" s="87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>
      <c r="A94" s="11"/>
      <c r="B94" s="11"/>
      <c r="C94" s="11"/>
      <c r="D94" s="11"/>
      <c r="E94" s="11"/>
      <c r="F94" s="11"/>
      <c r="G94" s="11"/>
      <c r="H94" s="11"/>
      <c r="I94" s="87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>
      <c r="A95" s="11"/>
      <c r="B95" s="11"/>
      <c r="C95" s="11"/>
      <c r="D95" s="11"/>
      <c r="E95" s="11"/>
      <c r="F95" s="11"/>
      <c r="G95" s="11"/>
      <c r="H95" s="11"/>
      <c r="I95" s="87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>
      <c r="A96" s="11"/>
      <c r="B96" s="11"/>
      <c r="C96" s="11"/>
      <c r="D96" s="11"/>
      <c r="E96" s="11"/>
      <c r="F96" s="11"/>
      <c r="G96" s="11"/>
      <c r="H96" s="11"/>
      <c r="I96" s="87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>
      <c r="A97" s="11"/>
      <c r="B97" s="11"/>
      <c r="C97" s="11"/>
      <c r="D97" s="11"/>
      <c r="E97" s="11"/>
      <c r="F97" s="11"/>
      <c r="G97" s="11"/>
      <c r="H97" s="11"/>
      <c r="I97" s="87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>
      <c r="A98" s="11"/>
      <c r="B98" s="11"/>
      <c r="C98" s="11"/>
      <c r="D98" s="11"/>
      <c r="E98" s="11"/>
      <c r="F98" s="11"/>
      <c r="G98" s="11"/>
      <c r="H98" s="11"/>
      <c r="I98" s="87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>
      <c r="A99" s="11"/>
      <c r="B99" s="11"/>
      <c r="C99" s="11"/>
      <c r="D99" s="11"/>
      <c r="E99" s="11"/>
      <c r="F99" s="11"/>
      <c r="G99" s="11"/>
      <c r="H99" s="11"/>
      <c r="I99" s="87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>
      <c r="A100" s="11"/>
      <c r="B100" s="11"/>
      <c r="C100" s="11"/>
      <c r="D100" s="11"/>
      <c r="E100" s="11"/>
      <c r="F100" s="11"/>
      <c r="G100" s="11"/>
      <c r="H100" s="11"/>
      <c r="I100" s="87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87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87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87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87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87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87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87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</sheetData>
  <autoFilter ref="$A$1:$AB$81"/>
  <mergeCells count="1">
    <mergeCell ref="T4:V4"/>
  </mergeCells>
  <conditionalFormatting sqref="I2:P42">
    <cfRule type="containsBlanks" dxfId="0" priority="1">
      <formula>LEN(TRIM(I2))=0</formula>
    </cfRule>
  </conditionalFormatting>
  <conditionalFormatting sqref="I2:P42">
    <cfRule type="notContainsText" dxfId="1" priority="2" operator="notContains" text="(">
      <formula>ISERROR(SEARCH(("("),(I2)))</formula>
    </cfRule>
  </conditionalFormatting>
  <conditionalFormatting sqref="I2:P42">
    <cfRule type="containsText" dxfId="2" priority="3" operator="containsText" text="(">
      <formula>NOT(ISERROR(SEARCH(("("),(I2))))</formula>
    </cfRule>
  </conditionalFormatting>
  <conditionalFormatting sqref="G47">
    <cfRule type="colorScale" priority="4">
      <colorScale>
        <cfvo type="min"/>
        <cfvo type="max"/>
        <color rgb="FF57BB8A"/>
        <color rgb="FFFFFFFF"/>
      </colorScale>
    </cfRule>
  </conditionalFormatting>
  <conditionalFormatting sqref="F2:F36 F37:F42">
    <cfRule type="notContainsText" dxfId="3" priority="5" operator="notContains" text="14.00">
      <formula>ISERROR(SEARCH(("14.00"),(F2)))</formula>
    </cfRule>
  </conditionalFormatting>
  <printOptions gridLines="1" horizontalCentered="1"/>
  <pageMargins bottom="0.75" footer="0.0" header="0.0" left="0.7" right="0.7" top="0.75"/>
  <pageSetup paperSize="9" scale="73" cellComments="atEnd" orientation="landscape" pageOrder="overThenDown"/>
  <drawing r:id="rId1"/>
</worksheet>
</file>